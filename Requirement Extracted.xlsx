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89" yWindow="531" windowWidth="24309" windowHeight="13414" tabRatio="916" activeTab="6"/>
  </bookViews>
  <sheets>
    <sheet name="Cornelius_Clean" sheetId="1" r:id="rId1"/>
    <sheet name="Ambiguity_dataset" sheetId="2" state="hidden" r:id="rId2"/>
    <sheet name="Inconsistency_dataset" sheetId="3" state="hidden" r:id="rId3"/>
    <sheet name="Inconsistency_PivotTable" sheetId="4" state="hidden" r:id="rId4"/>
    <sheet name="Ambiguity_Requirements_80" sheetId="5" r:id="rId5"/>
    <sheet name="Reorganized_Ambiguity" sheetId="6" state="hidden" r:id="rId6"/>
    <sheet name="Ambiguity_dataset_Human_Label" sheetId="7" r:id="rId7"/>
    <sheet name="Ambiguity_gpt-5.4_Result" sheetId="8" r:id="rId8"/>
    <sheet name="Ambiguity_claude-sonnet-4-5_Res" sheetId="9" r:id="rId9"/>
    <sheet name="Ambiguity_Evaluation Hum_vs_gpt" sheetId="10" r:id="rId10"/>
    <sheet name="Ambiguity_Evaluation Hum_vs_Cla" sheetId="11" r:id="rId11"/>
    <sheet name="Inconsistency_Requirements_112" sheetId="12" r:id="rId12"/>
    <sheet name="INCONSISTENCY_Human_Result" sheetId="17" r:id="rId13"/>
    <sheet name="INCONSISTENCY_gpt-5.4_Result" sheetId="13" r:id="rId14"/>
    <sheet name="INCONSISTENCY_claude-sonnet-4-5" sheetId="14" r:id="rId15"/>
    <sheet name="Inconsistency_Eval Hum_vs GPT" sheetId="15" r:id="rId16"/>
    <sheet name="Inconsistency_Eval. Hum_vs Clau" sheetId="16" r:id="rId17"/>
  </sheets>
  <definedNames>
    <definedName name="_xlnm._FilterDatabase" localSheetId="1" hidden="1">Ambiguity_dataset!$A$1:$A$2146</definedName>
    <definedName name="Z_1F0BA76F_E870_4F61_B1EE_BE05A9E18180_.wvu.FilterData" localSheetId="2" hidden="1">Inconsistency_dataset!$F$1:$I$2123</definedName>
    <definedName name="Z_1F0BA76F_E870_4F61_B1EE_BE05A9E18180_.wvu.FilterData" localSheetId="3" hidden="1">Inconsistency_PivotTable!$A$1:$D$824</definedName>
  </definedNames>
  <calcPr calcId="145621"/>
  <customWorkbookViews>
    <customWorkbookView name="Filter 1" guid="{1F0BA76F-E870-4F61-B1EE-BE05A9E18180}" maximized="1" windowWidth="0" windowHeight="0" activeSheetId="0"/>
  </customWorkbookViews>
  <pivotCaches>
    <pivotCache cacheId="5" r:id="rId18"/>
  </pivotCaches>
</workbook>
</file>

<file path=xl/calcChain.xml><?xml version="1.0" encoding="utf-8"?>
<calcChain xmlns="http://schemas.openxmlformats.org/spreadsheetml/2006/main">
  <c r="H374" i="17" l="1"/>
  <c r="G374" i="17"/>
  <c r="I372" i="16" l="1"/>
  <c r="H372" i="16"/>
  <c r="I371" i="16"/>
  <c r="H371" i="16"/>
  <c r="I370" i="16"/>
  <c r="H370" i="16"/>
  <c r="I369" i="16"/>
  <c r="H369" i="16"/>
  <c r="I368" i="16"/>
  <c r="H368" i="16"/>
  <c r="I367" i="16"/>
  <c r="H367" i="16"/>
  <c r="I366" i="16"/>
  <c r="H366" i="16"/>
  <c r="I365" i="16"/>
  <c r="H365" i="16"/>
  <c r="I364" i="16"/>
  <c r="H364" i="16"/>
  <c r="I363" i="16"/>
  <c r="H363" i="16"/>
  <c r="I362" i="16"/>
  <c r="H362" i="16"/>
  <c r="I361" i="16"/>
  <c r="H361" i="16"/>
  <c r="I360" i="16"/>
  <c r="H360" i="16"/>
  <c r="I359" i="16"/>
  <c r="H359" i="16"/>
  <c r="I358" i="16"/>
  <c r="H358" i="16"/>
  <c r="I357" i="16"/>
  <c r="H357" i="16"/>
  <c r="I356" i="16"/>
  <c r="H356" i="16"/>
  <c r="I355" i="16"/>
  <c r="H355" i="16"/>
  <c r="I354" i="16"/>
  <c r="H354" i="16"/>
  <c r="I353" i="16"/>
  <c r="H353" i="16"/>
  <c r="I352" i="16"/>
  <c r="H352" i="16"/>
  <c r="I351" i="16"/>
  <c r="H351" i="16"/>
  <c r="I350" i="16"/>
  <c r="H350" i="16"/>
  <c r="I349" i="16"/>
  <c r="H349" i="16"/>
  <c r="I348" i="16"/>
  <c r="H348" i="16"/>
  <c r="I347" i="16"/>
  <c r="H347" i="16"/>
  <c r="I346" i="16"/>
  <c r="H346" i="16"/>
  <c r="I345" i="16"/>
  <c r="H345" i="16"/>
  <c r="I344" i="16"/>
  <c r="H344" i="16"/>
  <c r="I343" i="16"/>
  <c r="H343" i="16"/>
  <c r="I342" i="16"/>
  <c r="H342" i="16"/>
  <c r="I341" i="16"/>
  <c r="H341" i="16"/>
  <c r="I340" i="16"/>
  <c r="H340" i="16"/>
  <c r="I339" i="16"/>
  <c r="H339" i="16"/>
  <c r="I338" i="16"/>
  <c r="H338" i="16"/>
  <c r="I337" i="16"/>
  <c r="H337" i="16"/>
  <c r="I336" i="16"/>
  <c r="H336" i="16"/>
  <c r="I335" i="16"/>
  <c r="H335" i="16"/>
  <c r="I334" i="16"/>
  <c r="H334" i="16"/>
  <c r="I333" i="16"/>
  <c r="H333" i="16"/>
  <c r="I332" i="16"/>
  <c r="H332" i="16"/>
  <c r="I331" i="16"/>
  <c r="H331" i="16"/>
  <c r="I330" i="16"/>
  <c r="H330" i="16"/>
  <c r="I329" i="16"/>
  <c r="H329" i="16"/>
  <c r="I328" i="16"/>
  <c r="H328" i="16"/>
  <c r="I327" i="16"/>
  <c r="H327" i="16"/>
  <c r="I326" i="16"/>
  <c r="H326" i="16"/>
  <c r="I325" i="16"/>
  <c r="H325" i="16"/>
  <c r="I324" i="16"/>
  <c r="H324" i="16"/>
  <c r="I323" i="16"/>
  <c r="H323" i="16"/>
  <c r="I322" i="16"/>
  <c r="H322" i="16"/>
  <c r="I321" i="16"/>
  <c r="H321" i="16"/>
  <c r="I320" i="16"/>
  <c r="H320" i="16"/>
  <c r="I319" i="16"/>
  <c r="H319" i="16"/>
  <c r="I318" i="16"/>
  <c r="H318" i="16"/>
  <c r="I317" i="16"/>
  <c r="H317" i="16"/>
  <c r="I316" i="16"/>
  <c r="H316" i="16"/>
  <c r="I315" i="16"/>
  <c r="H315" i="16"/>
  <c r="I314" i="16"/>
  <c r="H314" i="16"/>
  <c r="I313" i="16"/>
  <c r="H313" i="16"/>
  <c r="I312" i="16"/>
  <c r="H312" i="16"/>
  <c r="I311" i="16"/>
  <c r="H311" i="16"/>
  <c r="I310" i="16"/>
  <c r="H310" i="16"/>
  <c r="I309" i="16"/>
  <c r="H309" i="16"/>
  <c r="I308" i="16"/>
  <c r="H308" i="16"/>
  <c r="I307" i="16"/>
  <c r="H307" i="16"/>
  <c r="I306" i="16"/>
  <c r="H306" i="16"/>
  <c r="I305" i="16"/>
  <c r="H305" i="16"/>
  <c r="I304" i="16"/>
  <c r="H304" i="16"/>
  <c r="I303" i="16"/>
  <c r="H303" i="16"/>
  <c r="I302" i="16"/>
  <c r="H302" i="16"/>
  <c r="I301" i="16"/>
  <c r="H301" i="16"/>
  <c r="I300" i="16"/>
  <c r="H300" i="16"/>
  <c r="I299" i="16"/>
  <c r="H299" i="16"/>
  <c r="I298" i="16"/>
  <c r="H298" i="16"/>
  <c r="I297" i="16"/>
  <c r="H297" i="16"/>
  <c r="I296" i="16"/>
  <c r="H296" i="16"/>
  <c r="I295" i="16"/>
  <c r="H295" i="16"/>
  <c r="I294" i="16"/>
  <c r="H294" i="16"/>
  <c r="I293" i="16"/>
  <c r="H293" i="16"/>
  <c r="I292" i="16"/>
  <c r="H292" i="16"/>
  <c r="I291" i="16"/>
  <c r="H291" i="16"/>
  <c r="I290" i="16"/>
  <c r="H290" i="16"/>
  <c r="I289" i="16"/>
  <c r="H289" i="16"/>
  <c r="I288" i="16"/>
  <c r="H288" i="16"/>
  <c r="I287" i="16"/>
  <c r="H287" i="16"/>
  <c r="I286" i="16"/>
  <c r="H286" i="16"/>
  <c r="I285" i="16"/>
  <c r="H285" i="16"/>
  <c r="I284" i="16"/>
  <c r="H284" i="16"/>
  <c r="I283" i="16"/>
  <c r="H283" i="16"/>
  <c r="I282" i="16"/>
  <c r="H282" i="16"/>
  <c r="I281" i="16"/>
  <c r="H281" i="16"/>
  <c r="I280" i="16"/>
  <c r="H280" i="16"/>
  <c r="I279" i="16"/>
  <c r="H279" i="16"/>
  <c r="I278" i="16"/>
  <c r="H278" i="16"/>
  <c r="I277" i="16"/>
  <c r="H277" i="16"/>
  <c r="I276" i="16"/>
  <c r="H276" i="16"/>
  <c r="I275" i="16"/>
  <c r="H275" i="16"/>
  <c r="I274" i="16"/>
  <c r="H274" i="16"/>
  <c r="I273" i="16"/>
  <c r="H273" i="16"/>
  <c r="I272" i="16"/>
  <c r="H272" i="16"/>
  <c r="I271" i="16"/>
  <c r="H271" i="16"/>
  <c r="I270" i="16"/>
  <c r="H270" i="16"/>
  <c r="I269" i="16"/>
  <c r="H269" i="16"/>
  <c r="I268" i="16"/>
  <c r="H268" i="16"/>
  <c r="I267" i="16"/>
  <c r="H267" i="16"/>
  <c r="I266" i="16"/>
  <c r="H266" i="16"/>
  <c r="I265" i="16"/>
  <c r="H265" i="16"/>
  <c r="I264" i="16"/>
  <c r="H264" i="16"/>
  <c r="I263" i="16"/>
  <c r="H263" i="16"/>
  <c r="I262" i="16"/>
  <c r="H262" i="16"/>
  <c r="I261" i="16"/>
  <c r="H261" i="16"/>
  <c r="I260" i="16"/>
  <c r="H260" i="16"/>
  <c r="I259" i="16"/>
  <c r="H259" i="16"/>
  <c r="I258" i="16"/>
  <c r="H258" i="16"/>
  <c r="I257" i="16"/>
  <c r="H257" i="16"/>
  <c r="I256" i="16"/>
  <c r="H256" i="16"/>
  <c r="I255" i="16"/>
  <c r="H255" i="16"/>
  <c r="I254" i="16"/>
  <c r="H254" i="16"/>
  <c r="I253" i="16"/>
  <c r="H253" i="16"/>
  <c r="I252" i="16"/>
  <c r="H252" i="16"/>
  <c r="I251" i="16"/>
  <c r="H251" i="16"/>
  <c r="I250" i="16"/>
  <c r="H250" i="16"/>
  <c r="I249" i="16"/>
  <c r="H249" i="16"/>
  <c r="I248" i="16"/>
  <c r="H248" i="16"/>
  <c r="I247" i="16"/>
  <c r="H247" i="16"/>
  <c r="I246" i="16"/>
  <c r="H246" i="16"/>
  <c r="I245" i="16"/>
  <c r="H245" i="16"/>
  <c r="I244" i="16"/>
  <c r="H244" i="16"/>
  <c r="I243" i="16"/>
  <c r="H243" i="16"/>
  <c r="I242" i="16"/>
  <c r="H242" i="16"/>
  <c r="I241" i="16"/>
  <c r="H241" i="16"/>
  <c r="I240" i="16"/>
  <c r="H240" i="16"/>
  <c r="I239" i="16"/>
  <c r="H239" i="16"/>
  <c r="I238" i="16"/>
  <c r="H238" i="16"/>
  <c r="I237" i="16"/>
  <c r="H237" i="16"/>
  <c r="I236" i="16"/>
  <c r="H236" i="16"/>
  <c r="I235" i="16"/>
  <c r="H235" i="16"/>
  <c r="I234" i="16"/>
  <c r="H234" i="16"/>
  <c r="I233" i="16"/>
  <c r="H233" i="16"/>
  <c r="I232" i="16"/>
  <c r="H232" i="16"/>
  <c r="I231" i="16"/>
  <c r="H231" i="16"/>
  <c r="I230" i="16"/>
  <c r="H230" i="16"/>
  <c r="I229" i="16"/>
  <c r="H229" i="16"/>
  <c r="I228" i="16"/>
  <c r="H228" i="16"/>
  <c r="I227" i="16"/>
  <c r="H227" i="16"/>
  <c r="I226" i="16"/>
  <c r="H226" i="16"/>
  <c r="I225" i="16"/>
  <c r="H225" i="16"/>
  <c r="I224" i="16"/>
  <c r="H224" i="16"/>
  <c r="I223" i="16"/>
  <c r="H223" i="16"/>
  <c r="I222" i="16"/>
  <c r="H222" i="16"/>
  <c r="I221" i="16"/>
  <c r="H221" i="16"/>
  <c r="I220" i="16"/>
  <c r="H220" i="16"/>
  <c r="I219" i="16"/>
  <c r="H219" i="16"/>
  <c r="I218" i="16"/>
  <c r="H218" i="16"/>
  <c r="I217" i="16"/>
  <c r="H217" i="16"/>
  <c r="I216" i="16"/>
  <c r="H216" i="16"/>
  <c r="I215" i="16"/>
  <c r="H215" i="16"/>
  <c r="I214" i="16"/>
  <c r="H214" i="16"/>
  <c r="I213" i="16"/>
  <c r="H213" i="16"/>
  <c r="I212" i="16"/>
  <c r="H212" i="16"/>
  <c r="I211" i="16"/>
  <c r="H211" i="16"/>
  <c r="I210" i="16"/>
  <c r="H210" i="16"/>
  <c r="I209" i="16"/>
  <c r="H209" i="16"/>
  <c r="I208" i="16"/>
  <c r="H208" i="16"/>
  <c r="I207" i="16"/>
  <c r="H207" i="16"/>
  <c r="I206" i="16"/>
  <c r="H206" i="16"/>
  <c r="I205" i="16"/>
  <c r="H205" i="16"/>
  <c r="I204" i="16"/>
  <c r="H204" i="16"/>
  <c r="I203" i="16"/>
  <c r="H203" i="16"/>
  <c r="I202" i="16"/>
  <c r="H202" i="16"/>
  <c r="I201" i="16"/>
  <c r="H201" i="16"/>
  <c r="I200" i="16"/>
  <c r="H200" i="16"/>
  <c r="I199" i="16"/>
  <c r="H199" i="16"/>
  <c r="I198" i="16"/>
  <c r="H198" i="16"/>
  <c r="I197" i="16"/>
  <c r="H197" i="16"/>
  <c r="I196" i="16"/>
  <c r="H196" i="16"/>
  <c r="I195" i="16"/>
  <c r="H195" i="16"/>
  <c r="I194" i="16"/>
  <c r="H194" i="16"/>
  <c r="I193" i="16"/>
  <c r="H193" i="16"/>
  <c r="I192" i="16"/>
  <c r="H192" i="16"/>
  <c r="I191" i="16"/>
  <c r="H191" i="16"/>
  <c r="I190" i="16"/>
  <c r="H190" i="16"/>
  <c r="I189" i="16"/>
  <c r="H189" i="16"/>
  <c r="I188" i="16"/>
  <c r="H188" i="16"/>
  <c r="I187" i="16"/>
  <c r="H187" i="16"/>
  <c r="I186" i="16"/>
  <c r="H186" i="16"/>
  <c r="I185" i="16"/>
  <c r="H185" i="16"/>
  <c r="I184" i="16"/>
  <c r="H184" i="16"/>
  <c r="I183" i="16"/>
  <c r="H183" i="16"/>
  <c r="I182" i="16"/>
  <c r="H182" i="16"/>
  <c r="I181" i="16"/>
  <c r="H181" i="16"/>
  <c r="I180" i="16"/>
  <c r="H180" i="16"/>
  <c r="I179" i="16"/>
  <c r="H179" i="16"/>
  <c r="I178" i="16"/>
  <c r="H178" i="16"/>
  <c r="I177" i="16"/>
  <c r="H177" i="16"/>
  <c r="I176" i="16"/>
  <c r="H176" i="16"/>
  <c r="I175" i="16"/>
  <c r="H175" i="16"/>
  <c r="I174" i="16"/>
  <c r="H174" i="16"/>
  <c r="I173" i="16"/>
  <c r="H173" i="16"/>
  <c r="I172" i="16"/>
  <c r="H172" i="16"/>
  <c r="I171" i="16"/>
  <c r="H171" i="16"/>
  <c r="I170" i="16"/>
  <c r="H170" i="16"/>
  <c r="I169" i="16"/>
  <c r="H169" i="16"/>
  <c r="I168" i="16"/>
  <c r="H168" i="16"/>
  <c r="I167" i="16"/>
  <c r="H167" i="16"/>
  <c r="I166" i="16"/>
  <c r="H166" i="16"/>
  <c r="I165" i="16"/>
  <c r="H165" i="16"/>
  <c r="I164" i="16"/>
  <c r="H164" i="16"/>
  <c r="I163" i="16"/>
  <c r="H163" i="16"/>
  <c r="I162" i="16"/>
  <c r="H162" i="16"/>
  <c r="I161" i="16"/>
  <c r="H161" i="16"/>
  <c r="I160" i="16"/>
  <c r="H160" i="16"/>
  <c r="I159" i="16"/>
  <c r="H159" i="16"/>
  <c r="I158" i="16"/>
  <c r="H158" i="16"/>
  <c r="I157" i="16"/>
  <c r="H157" i="16"/>
  <c r="I156" i="16"/>
  <c r="H156" i="16"/>
  <c r="I155" i="16"/>
  <c r="H155" i="16"/>
  <c r="I154" i="16"/>
  <c r="H154" i="16"/>
  <c r="I153" i="16"/>
  <c r="H153" i="16"/>
  <c r="I152" i="16"/>
  <c r="H152" i="16"/>
  <c r="I151" i="16"/>
  <c r="H151" i="16"/>
  <c r="I150" i="16"/>
  <c r="H150" i="16"/>
  <c r="I149" i="16"/>
  <c r="H149" i="16"/>
  <c r="I148" i="16"/>
  <c r="H148" i="16"/>
  <c r="I147" i="16"/>
  <c r="H147" i="16"/>
  <c r="I146" i="16"/>
  <c r="H146" i="16"/>
  <c r="I145" i="16"/>
  <c r="H145" i="16"/>
  <c r="I144" i="16"/>
  <c r="H144" i="16"/>
  <c r="I143" i="16"/>
  <c r="H143" i="16"/>
  <c r="I142" i="16"/>
  <c r="H142" i="16"/>
  <c r="I141" i="16"/>
  <c r="H141" i="16"/>
  <c r="I140" i="16"/>
  <c r="H140" i="16"/>
  <c r="I139" i="16"/>
  <c r="H139" i="16"/>
  <c r="I138" i="16"/>
  <c r="H138" i="16"/>
  <c r="I137" i="16"/>
  <c r="H137" i="16"/>
  <c r="I136" i="16"/>
  <c r="H136" i="16"/>
  <c r="I135" i="16"/>
  <c r="H135" i="16"/>
  <c r="I134" i="16"/>
  <c r="H134" i="16"/>
  <c r="I133" i="16"/>
  <c r="H133" i="16"/>
  <c r="I132" i="16"/>
  <c r="H132" i="16"/>
  <c r="I131" i="16"/>
  <c r="H131" i="16"/>
  <c r="I130" i="16"/>
  <c r="H130" i="16"/>
  <c r="I129" i="16"/>
  <c r="H129" i="16"/>
  <c r="I128" i="16"/>
  <c r="H128" i="16"/>
  <c r="I127" i="16"/>
  <c r="H127" i="16"/>
  <c r="I126" i="16"/>
  <c r="H126" i="16"/>
  <c r="I125" i="16"/>
  <c r="H125" i="16"/>
  <c r="I124" i="16"/>
  <c r="H124" i="16"/>
  <c r="I123" i="16"/>
  <c r="H123" i="16"/>
  <c r="I122" i="16"/>
  <c r="H122" i="16"/>
  <c r="I121" i="16"/>
  <c r="H121" i="16"/>
  <c r="I120" i="16"/>
  <c r="H120" i="16"/>
  <c r="I119" i="16"/>
  <c r="H119" i="16"/>
  <c r="I118" i="16"/>
  <c r="H118" i="16"/>
  <c r="I117" i="16"/>
  <c r="H117" i="16"/>
  <c r="I116" i="16"/>
  <c r="H116" i="16"/>
  <c r="I115" i="16"/>
  <c r="H115" i="16"/>
  <c r="I114" i="16"/>
  <c r="H114" i="16"/>
  <c r="I113" i="16"/>
  <c r="H113" i="16"/>
  <c r="I112" i="16"/>
  <c r="H112" i="16"/>
  <c r="I111" i="16"/>
  <c r="H111" i="16"/>
  <c r="I110" i="16"/>
  <c r="H110" i="16"/>
  <c r="I109" i="16"/>
  <c r="H109" i="16"/>
  <c r="I108" i="16"/>
  <c r="H108" i="16"/>
  <c r="I107" i="16"/>
  <c r="H107" i="16"/>
  <c r="I106" i="16"/>
  <c r="H106" i="16"/>
  <c r="I105" i="16"/>
  <c r="H105" i="16"/>
  <c r="I104" i="16"/>
  <c r="H104" i="16"/>
  <c r="I103" i="16"/>
  <c r="H103" i="16"/>
  <c r="I102" i="16"/>
  <c r="H102" i="16"/>
  <c r="I101" i="16"/>
  <c r="H101" i="16"/>
  <c r="I100" i="16"/>
  <c r="H100" i="16"/>
  <c r="I99" i="16"/>
  <c r="H99" i="16"/>
  <c r="I98" i="16"/>
  <c r="H98" i="16"/>
  <c r="I97" i="16"/>
  <c r="H97" i="16"/>
  <c r="I96" i="16"/>
  <c r="H96" i="16"/>
  <c r="I95" i="16"/>
  <c r="H95" i="16"/>
  <c r="I94" i="16"/>
  <c r="H94" i="16"/>
  <c r="I93" i="16"/>
  <c r="H93" i="16"/>
  <c r="I92" i="16"/>
  <c r="H92" i="16"/>
  <c r="I91" i="16"/>
  <c r="H91" i="16"/>
  <c r="I90" i="16"/>
  <c r="H90" i="16"/>
  <c r="I89" i="16"/>
  <c r="H89" i="16"/>
  <c r="I88" i="16"/>
  <c r="H88" i="16"/>
  <c r="I87" i="16"/>
  <c r="H87" i="16"/>
  <c r="I86" i="16"/>
  <c r="H86" i="16"/>
  <c r="I85" i="16"/>
  <c r="H85" i="16"/>
  <c r="I84" i="16"/>
  <c r="H84" i="16"/>
  <c r="I83" i="16"/>
  <c r="H83" i="16"/>
  <c r="I82" i="16"/>
  <c r="H82" i="16"/>
  <c r="I81" i="16"/>
  <c r="H81" i="16"/>
  <c r="I80" i="16"/>
  <c r="H80" i="16"/>
  <c r="I79" i="16"/>
  <c r="H79" i="16"/>
  <c r="I78" i="16"/>
  <c r="H78" i="16"/>
  <c r="I77" i="16"/>
  <c r="H77" i="16"/>
  <c r="I76" i="16"/>
  <c r="H76" i="16"/>
  <c r="I75" i="16"/>
  <c r="H75" i="16"/>
  <c r="I74" i="16"/>
  <c r="H74" i="16"/>
  <c r="I73" i="16"/>
  <c r="H73" i="16"/>
  <c r="I72" i="16"/>
  <c r="H72" i="16"/>
  <c r="I71" i="16"/>
  <c r="H71" i="16"/>
  <c r="I70" i="16"/>
  <c r="H70" i="16"/>
  <c r="I69" i="16"/>
  <c r="H69" i="16"/>
  <c r="I68" i="16"/>
  <c r="H68" i="16"/>
  <c r="I67" i="16"/>
  <c r="H67" i="16"/>
  <c r="I66" i="16"/>
  <c r="H66" i="16"/>
  <c r="I65" i="16"/>
  <c r="H65" i="16"/>
  <c r="I64" i="16"/>
  <c r="H64" i="16"/>
  <c r="I63" i="16"/>
  <c r="H63" i="16"/>
  <c r="I62" i="16"/>
  <c r="H62" i="16"/>
  <c r="I61" i="16"/>
  <c r="H61" i="16"/>
  <c r="I60" i="16"/>
  <c r="H60" i="16"/>
  <c r="I59" i="16"/>
  <c r="H59" i="16"/>
  <c r="I58" i="16"/>
  <c r="H58" i="16"/>
  <c r="I57" i="16"/>
  <c r="H57" i="16"/>
  <c r="I56" i="16"/>
  <c r="H56" i="16"/>
  <c r="I55" i="16"/>
  <c r="H55" i="16"/>
  <c r="I54" i="16"/>
  <c r="H54" i="16"/>
  <c r="I53" i="16"/>
  <c r="H53" i="16"/>
  <c r="I52" i="16"/>
  <c r="H52" i="16"/>
  <c r="I51" i="16"/>
  <c r="H51" i="16"/>
  <c r="I50" i="16"/>
  <c r="H50" i="16"/>
  <c r="I49" i="16"/>
  <c r="H49" i="16"/>
  <c r="I48" i="16"/>
  <c r="H48" i="16"/>
  <c r="I47" i="16"/>
  <c r="H47" i="16"/>
  <c r="I46" i="16"/>
  <c r="H46" i="16"/>
  <c r="I45" i="16"/>
  <c r="H45" i="16"/>
  <c r="I44" i="16"/>
  <c r="H44" i="16"/>
  <c r="I43" i="16"/>
  <c r="H43" i="16"/>
  <c r="I42" i="16"/>
  <c r="H42" i="16"/>
  <c r="I41" i="16"/>
  <c r="H41" i="16"/>
  <c r="I40" i="16"/>
  <c r="H40" i="16"/>
  <c r="I39" i="16"/>
  <c r="H39" i="16"/>
  <c r="I38" i="16"/>
  <c r="H38" i="16"/>
  <c r="I37" i="16"/>
  <c r="H37" i="16"/>
  <c r="I36" i="16"/>
  <c r="H36" i="16"/>
  <c r="I35" i="16"/>
  <c r="H35" i="16"/>
  <c r="I34" i="16"/>
  <c r="H34" i="16"/>
  <c r="I33" i="16"/>
  <c r="H33" i="16"/>
  <c r="I32" i="16"/>
  <c r="H32" i="16"/>
  <c r="I31" i="16"/>
  <c r="H31" i="16"/>
  <c r="I30" i="16"/>
  <c r="H30" i="16"/>
  <c r="I29" i="16"/>
  <c r="H29" i="16"/>
  <c r="I28" i="16"/>
  <c r="H28" i="16"/>
  <c r="I27" i="16"/>
  <c r="H27" i="16"/>
  <c r="I26" i="16"/>
  <c r="H26" i="16"/>
  <c r="I25" i="16"/>
  <c r="H25" i="16"/>
  <c r="I24" i="16"/>
  <c r="H24" i="16"/>
  <c r="I23" i="16"/>
  <c r="H23" i="16"/>
  <c r="I22" i="16"/>
  <c r="H22" i="16"/>
  <c r="I21" i="16"/>
  <c r="H21" i="16"/>
  <c r="I20" i="16"/>
  <c r="H20" i="16"/>
  <c r="I19" i="16"/>
  <c r="H19" i="16"/>
  <c r="I18" i="16"/>
  <c r="H18" i="16"/>
  <c r="I17" i="16"/>
  <c r="H17" i="16"/>
  <c r="I16" i="16"/>
  <c r="H16" i="16"/>
  <c r="I15" i="16"/>
  <c r="H15" i="16"/>
  <c r="I14" i="16"/>
  <c r="H14" i="16"/>
  <c r="I13" i="16"/>
  <c r="H13" i="16"/>
  <c r="I12" i="16"/>
  <c r="H12" i="16"/>
  <c r="I11" i="16"/>
  <c r="H11" i="16"/>
  <c r="I10" i="16"/>
  <c r="H10" i="16"/>
  <c r="I9" i="16"/>
  <c r="H9" i="16"/>
  <c r="I8" i="16"/>
  <c r="H8" i="16"/>
  <c r="I7" i="16"/>
  <c r="H7" i="16"/>
  <c r="I6" i="16"/>
  <c r="H6" i="16"/>
  <c r="I5" i="16"/>
  <c r="H5" i="16"/>
  <c r="I4" i="16"/>
  <c r="L2" i="16" s="1"/>
  <c r="H4" i="16"/>
  <c r="I3" i="16"/>
  <c r="H3" i="16"/>
  <c r="M2" i="16"/>
  <c r="I2" i="16"/>
  <c r="H2" i="16"/>
  <c r="I372" i="15"/>
  <c r="H372" i="15"/>
  <c r="I371" i="15"/>
  <c r="H371" i="15"/>
  <c r="I370" i="15"/>
  <c r="H370" i="15"/>
  <c r="I369" i="15"/>
  <c r="H369" i="15"/>
  <c r="I368" i="15"/>
  <c r="H368" i="15"/>
  <c r="I367" i="15"/>
  <c r="H367" i="15"/>
  <c r="I366" i="15"/>
  <c r="H366" i="15"/>
  <c r="I365" i="15"/>
  <c r="H365" i="15"/>
  <c r="I364" i="15"/>
  <c r="H364" i="15"/>
  <c r="I363" i="15"/>
  <c r="H363" i="15"/>
  <c r="I362" i="15"/>
  <c r="H362" i="15"/>
  <c r="I361" i="15"/>
  <c r="H361" i="15"/>
  <c r="I360" i="15"/>
  <c r="H360" i="15"/>
  <c r="I359" i="15"/>
  <c r="H359" i="15"/>
  <c r="I358" i="15"/>
  <c r="H358" i="15"/>
  <c r="I357" i="15"/>
  <c r="H357" i="15"/>
  <c r="I356" i="15"/>
  <c r="H356" i="15"/>
  <c r="I355" i="15"/>
  <c r="H355" i="15"/>
  <c r="I354" i="15"/>
  <c r="H354" i="15"/>
  <c r="I353" i="15"/>
  <c r="H353" i="15"/>
  <c r="I352" i="15"/>
  <c r="H352" i="15"/>
  <c r="I351" i="15"/>
  <c r="H351" i="15"/>
  <c r="I350" i="15"/>
  <c r="H350" i="15"/>
  <c r="I349" i="15"/>
  <c r="H349" i="15"/>
  <c r="I348" i="15"/>
  <c r="H348" i="15"/>
  <c r="I347" i="15"/>
  <c r="H347" i="15"/>
  <c r="I346" i="15"/>
  <c r="H346" i="15"/>
  <c r="I345" i="15"/>
  <c r="H345" i="15"/>
  <c r="I344" i="15"/>
  <c r="H344" i="15"/>
  <c r="I343" i="15"/>
  <c r="H343" i="15"/>
  <c r="I342" i="15"/>
  <c r="H342" i="15"/>
  <c r="I341" i="15"/>
  <c r="H341" i="15"/>
  <c r="I340" i="15"/>
  <c r="H340" i="15"/>
  <c r="I339" i="15"/>
  <c r="H339" i="15"/>
  <c r="I338" i="15"/>
  <c r="H338" i="15"/>
  <c r="I337" i="15"/>
  <c r="H337" i="15"/>
  <c r="I336" i="15"/>
  <c r="H336" i="15"/>
  <c r="I335" i="15"/>
  <c r="H335" i="15"/>
  <c r="I334" i="15"/>
  <c r="H334" i="15"/>
  <c r="I333" i="15"/>
  <c r="H333" i="15"/>
  <c r="I332" i="15"/>
  <c r="H332" i="15"/>
  <c r="I331" i="15"/>
  <c r="H331" i="15"/>
  <c r="I330" i="15"/>
  <c r="H330" i="15"/>
  <c r="I329" i="15"/>
  <c r="H329" i="15"/>
  <c r="I328" i="15"/>
  <c r="H328" i="15"/>
  <c r="I327" i="15"/>
  <c r="H327" i="15"/>
  <c r="I326" i="15"/>
  <c r="H326" i="15"/>
  <c r="I325" i="15"/>
  <c r="H325" i="15"/>
  <c r="I324" i="15"/>
  <c r="H324" i="15"/>
  <c r="I323" i="15"/>
  <c r="H323" i="15"/>
  <c r="I322" i="15"/>
  <c r="H322" i="15"/>
  <c r="I321" i="15"/>
  <c r="H321" i="15"/>
  <c r="I320" i="15"/>
  <c r="H320" i="15"/>
  <c r="I319" i="15"/>
  <c r="H319" i="15"/>
  <c r="I318" i="15"/>
  <c r="H318" i="15"/>
  <c r="I317" i="15"/>
  <c r="H317" i="15"/>
  <c r="I316" i="15"/>
  <c r="H316" i="15"/>
  <c r="I315" i="15"/>
  <c r="H315" i="15"/>
  <c r="I314" i="15"/>
  <c r="H314" i="15"/>
  <c r="I313" i="15"/>
  <c r="H313" i="15"/>
  <c r="I312" i="15"/>
  <c r="H312" i="15"/>
  <c r="I311" i="15"/>
  <c r="H311" i="15"/>
  <c r="I310" i="15"/>
  <c r="H310" i="15"/>
  <c r="I309" i="15"/>
  <c r="H309" i="15"/>
  <c r="I308" i="15"/>
  <c r="H308" i="15"/>
  <c r="I307" i="15"/>
  <c r="H307" i="15"/>
  <c r="I306" i="15"/>
  <c r="H306" i="15"/>
  <c r="I305" i="15"/>
  <c r="H305" i="15"/>
  <c r="I304" i="15"/>
  <c r="H304" i="15"/>
  <c r="I303" i="15"/>
  <c r="H303" i="15"/>
  <c r="I302" i="15"/>
  <c r="H302" i="15"/>
  <c r="I301" i="15"/>
  <c r="H301" i="15"/>
  <c r="I300" i="15"/>
  <c r="H300" i="15"/>
  <c r="I299" i="15"/>
  <c r="H299" i="15"/>
  <c r="I298" i="15"/>
  <c r="H298" i="15"/>
  <c r="I297" i="15"/>
  <c r="H297" i="15"/>
  <c r="I296" i="15"/>
  <c r="H296" i="15"/>
  <c r="I295" i="15"/>
  <c r="H295" i="15"/>
  <c r="I294" i="15"/>
  <c r="H294" i="15"/>
  <c r="I293" i="15"/>
  <c r="H293" i="15"/>
  <c r="I292" i="15"/>
  <c r="H292" i="15"/>
  <c r="I291" i="15"/>
  <c r="H291" i="15"/>
  <c r="I290" i="15"/>
  <c r="H290" i="15"/>
  <c r="I289" i="15"/>
  <c r="H289" i="15"/>
  <c r="I288" i="15"/>
  <c r="H288" i="15"/>
  <c r="I287" i="15"/>
  <c r="H287" i="15"/>
  <c r="I286" i="15"/>
  <c r="H286" i="15"/>
  <c r="I285" i="15"/>
  <c r="H285" i="15"/>
  <c r="I284" i="15"/>
  <c r="H284" i="15"/>
  <c r="I283" i="15"/>
  <c r="H283" i="15"/>
  <c r="I282" i="15"/>
  <c r="H282" i="15"/>
  <c r="I281" i="15"/>
  <c r="H281" i="15"/>
  <c r="I280" i="15"/>
  <c r="H280" i="15"/>
  <c r="I279" i="15"/>
  <c r="H279" i="15"/>
  <c r="I278" i="15"/>
  <c r="H278" i="15"/>
  <c r="I277" i="15"/>
  <c r="H277" i="15"/>
  <c r="I276" i="15"/>
  <c r="H276" i="15"/>
  <c r="I275" i="15"/>
  <c r="H275" i="15"/>
  <c r="I274" i="15"/>
  <c r="H274" i="15"/>
  <c r="I273" i="15"/>
  <c r="H273" i="15"/>
  <c r="I272" i="15"/>
  <c r="H272" i="15"/>
  <c r="I271" i="15"/>
  <c r="H271" i="15"/>
  <c r="I270" i="15"/>
  <c r="H270" i="15"/>
  <c r="I269" i="15"/>
  <c r="H269" i="15"/>
  <c r="I268" i="15"/>
  <c r="H268" i="15"/>
  <c r="I267" i="15"/>
  <c r="H267" i="15"/>
  <c r="I266" i="15"/>
  <c r="H266" i="15"/>
  <c r="I265" i="15"/>
  <c r="H265" i="15"/>
  <c r="I264" i="15"/>
  <c r="H264" i="15"/>
  <c r="I263" i="15"/>
  <c r="H263" i="15"/>
  <c r="I262" i="15"/>
  <c r="H262" i="15"/>
  <c r="I261" i="15"/>
  <c r="H261" i="15"/>
  <c r="I260" i="15"/>
  <c r="H260" i="15"/>
  <c r="I259" i="15"/>
  <c r="H259" i="15"/>
  <c r="I258" i="15"/>
  <c r="H258" i="15"/>
  <c r="I257" i="15"/>
  <c r="H257" i="15"/>
  <c r="I256" i="15"/>
  <c r="H256" i="15"/>
  <c r="I255" i="15"/>
  <c r="H255" i="15"/>
  <c r="I254" i="15"/>
  <c r="H254" i="15"/>
  <c r="I253" i="15"/>
  <c r="H253" i="15"/>
  <c r="I252" i="15"/>
  <c r="H252" i="15"/>
  <c r="I251" i="15"/>
  <c r="H251" i="15"/>
  <c r="I250" i="15"/>
  <c r="H250" i="15"/>
  <c r="I249" i="15"/>
  <c r="H249" i="15"/>
  <c r="I248" i="15"/>
  <c r="H248" i="15"/>
  <c r="I247" i="15"/>
  <c r="H247" i="15"/>
  <c r="I246" i="15"/>
  <c r="H246" i="15"/>
  <c r="I245" i="15"/>
  <c r="H245" i="15"/>
  <c r="I244" i="15"/>
  <c r="H244" i="15"/>
  <c r="I243" i="15"/>
  <c r="H243" i="15"/>
  <c r="I242" i="15"/>
  <c r="H242" i="15"/>
  <c r="I241" i="15"/>
  <c r="H241" i="15"/>
  <c r="I240" i="15"/>
  <c r="H240" i="15"/>
  <c r="I239" i="15"/>
  <c r="H239" i="15"/>
  <c r="I238" i="15"/>
  <c r="H238" i="15"/>
  <c r="I237" i="15"/>
  <c r="H237" i="15"/>
  <c r="I236" i="15"/>
  <c r="H236" i="15"/>
  <c r="I235" i="15"/>
  <c r="H235" i="15"/>
  <c r="I234" i="15"/>
  <c r="H234" i="15"/>
  <c r="I233" i="15"/>
  <c r="H233" i="15"/>
  <c r="I232" i="15"/>
  <c r="H232" i="15"/>
  <c r="I231" i="15"/>
  <c r="H231" i="15"/>
  <c r="I230" i="15"/>
  <c r="H230" i="15"/>
  <c r="I229" i="15"/>
  <c r="H229" i="15"/>
  <c r="I228" i="15"/>
  <c r="H228" i="15"/>
  <c r="I227" i="15"/>
  <c r="H227" i="15"/>
  <c r="I226" i="15"/>
  <c r="H226" i="15"/>
  <c r="I225" i="15"/>
  <c r="H225" i="15"/>
  <c r="I224" i="15"/>
  <c r="H224" i="15"/>
  <c r="I223" i="15"/>
  <c r="H223" i="15"/>
  <c r="I222" i="15"/>
  <c r="H222" i="15"/>
  <c r="I221" i="15"/>
  <c r="H221" i="15"/>
  <c r="I220" i="15"/>
  <c r="H220" i="15"/>
  <c r="I219" i="15"/>
  <c r="H219" i="15"/>
  <c r="I218" i="15"/>
  <c r="H218" i="15"/>
  <c r="I217" i="15"/>
  <c r="H217" i="15"/>
  <c r="I216" i="15"/>
  <c r="H216" i="15"/>
  <c r="I215" i="15"/>
  <c r="H215" i="15"/>
  <c r="I214" i="15"/>
  <c r="H214" i="15"/>
  <c r="I213" i="15"/>
  <c r="H213" i="15"/>
  <c r="I212" i="15"/>
  <c r="H212" i="15"/>
  <c r="I211" i="15"/>
  <c r="H211" i="15"/>
  <c r="I210" i="15"/>
  <c r="H210" i="15"/>
  <c r="I209" i="15"/>
  <c r="H209" i="15"/>
  <c r="I208" i="15"/>
  <c r="H208" i="15"/>
  <c r="I207" i="15"/>
  <c r="H207" i="15"/>
  <c r="I206" i="15"/>
  <c r="H206" i="15"/>
  <c r="I205" i="15"/>
  <c r="H205" i="15"/>
  <c r="I204" i="15"/>
  <c r="H204" i="15"/>
  <c r="I203" i="15"/>
  <c r="H203" i="15"/>
  <c r="I202" i="15"/>
  <c r="H202" i="15"/>
  <c r="I201" i="15"/>
  <c r="H201" i="15"/>
  <c r="I200" i="15"/>
  <c r="H200" i="15"/>
  <c r="I199" i="15"/>
  <c r="H199" i="15"/>
  <c r="I198" i="15"/>
  <c r="H198" i="15"/>
  <c r="I197" i="15"/>
  <c r="H197" i="15"/>
  <c r="I196" i="15"/>
  <c r="H196" i="15"/>
  <c r="I195" i="15"/>
  <c r="H195" i="15"/>
  <c r="I194" i="15"/>
  <c r="H194" i="15"/>
  <c r="I193" i="15"/>
  <c r="H193" i="15"/>
  <c r="I192" i="15"/>
  <c r="H192" i="15"/>
  <c r="I191" i="15"/>
  <c r="H191" i="15"/>
  <c r="I190" i="15"/>
  <c r="H190" i="15"/>
  <c r="I189" i="15"/>
  <c r="H189" i="15"/>
  <c r="I188" i="15"/>
  <c r="H188" i="15"/>
  <c r="I187" i="15"/>
  <c r="H187" i="15"/>
  <c r="I186" i="15"/>
  <c r="H186" i="15"/>
  <c r="I185" i="15"/>
  <c r="H185" i="15"/>
  <c r="I184" i="15"/>
  <c r="H184" i="15"/>
  <c r="I183" i="15"/>
  <c r="H183" i="15"/>
  <c r="I182" i="15"/>
  <c r="H182" i="15"/>
  <c r="I181" i="15"/>
  <c r="H181" i="15"/>
  <c r="I180" i="15"/>
  <c r="H180" i="15"/>
  <c r="I179" i="15"/>
  <c r="H179" i="15"/>
  <c r="I178" i="15"/>
  <c r="H178" i="15"/>
  <c r="I177" i="15"/>
  <c r="H177" i="15"/>
  <c r="I176" i="15"/>
  <c r="H176" i="15"/>
  <c r="I175" i="15"/>
  <c r="H175" i="15"/>
  <c r="I174" i="15"/>
  <c r="H174" i="15"/>
  <c r="I173" i="15"/>
  <c r="H173" i="15"/>
  <c r="I172" i="15"/>
  <c r="H172" i="15"/>
  <c r="I171" i="15"/>
  <c r="H171" i="15"/>
  <c r="I170" i="15"/>
  <c r="H170" i="15"/>
  <c r="I169" i="15"/>
  <c r="H169" i="15"/>
  <c r="I168" i="15"/>
  <c r="H168" i="15"/>
  <c r="I167" i="15"/>
  <c r="H167" i="15"/>
  <c r="I166" i="15"/>
  <c r="H166" i="15"/>
  <c r="I165" i="15"/>
  <c r="H165" i="15"/>
  <c r="I164" i="15"/>
  <c r="H164" i="15"/>
  <c r="I163" i="15"/>
  <c r="H163" i="15"/>
  <c r="I162" i="15"/>
  <c r="H162" i="15"/>
  <c r="I161" i="15"/>
  <c r="H161" i="15"/>
  <c r="I160" i="15"/>
  <c r="H160" i="15"/>
  <c r="I159" i="15"/>
  <c r="H159" i="15"/>
  <c r="I158" i="15"/>
  <c r="H158" i="15"/>
  <c r="I157" i="15"/>
  <c r="H157" i="15"/>
  <c r="I156" i="15"/>
  <c r="H156" i="15"/>
  <c r="I155" i="15"/>
  <c r="H155" i="15"/>
  <c r="I154" i="15"/>
  <c r="H154" i="15"/>
  <c r="I153" i="15"/>
  <c r="H153" i="15"/>
  <c r="I152" i="15"/>
  <c r="H152" i="15"/>
  <c r="I151" i="15"/>
  <c r="H151" i="15"/>
  <c r="I150" i="15"/>
  <c r="H150" i="15"/>
  <c r="I149" i="15"/>
  <c r="H149" i="15"/>
  <c r="I148" i="15"/>
  <c r="H148" i="15"/>
  <c r="I147" i="15"/>
  <c r="H147" i="15"/>
  <c r="I146" i="15"/>
  <c r="H146" i="15"/>
  <c r="I145" i="15"/>
  <c r="H145" i="15"/>
  <c r="I144" i="15"/>
  <c r="H144" i="15"/>
  <c r="I143" i="15"/>
  <c r="H143" i="15"/>
  <c r="I142" i="15"/>
  <c r="H142" i="15"/>
  <c r="I141" i="15"/>
  <c r="H141" i="15"/>
  <c r="I140" i="15"/>
  <c r="H140" i="15"/>
  <c r="I139" i="15"/>
  <c r="H139" i="15"/>
  <c r="I138" i="15"/>
  <c r="H138" i="15"/>
  <c r="I137" i="15"/>
  <c r="H137" i="15"/>
  <c r="I136" i="15"/>
  <c r="H136" i="15"/>
  <c r="I135" i="15"/>
  <c r="H135" i="15"/>
  <c r="I134" i="15"/>
  <c r="H134" i="15"/>
  <c r="I133" i="15"/>
  <c r="H133" i="15"/>
  <c r="I132" i="15"/>
  <c r="H132" i="15"/>
  <c r="I131" i="15"/>
  <c r="H131" i="15"/>
  <c r="I130" i="15"/>
  <c r="H130" i="15"/>
  <c r="I129" i="15"/>
  <c r="H129" i="15"/>
  <c r="I128" i="15"/>
  <c r="H128" i="15"/>
  <c r="I127" i="15"/>
  <c r="H127" i="15"/>
  <c r="I126" i="15"/>
  <c r="H126" i="15"/>
  <c r="I125" i="15"/>
  <c r="H125" i="15"/>
  <c r="I124" i="15"/>
  <c r="H124" i="15"/>
  <c r="I123" i="15"/>
  <c r="H123" i="15"/>
  <c r="I122" i="15"/>
  <c r="H122" i="15"/>
  <c r="I121" i="15"/>
  <c r="H121" i="15"/>
  <c r="I120" i="15"/>
  <c r="H120" i="15"/>
  <c r="I119" i="15"/>
  <c r="H119" i="15"/>
  <c r="I118" i="15"/>
  <c r="H118" i="15"/>
  <c r="I117" i="15"/>
  <c r="H117" i="15"/>
  <c r="I116" i="15"/>
  <c r="H116" i="15"/>
  <c r="I115" i="15"/>
  <c r="H115" i="15"/>
  <c r="I114" i="15"/>
  <c r="H114" i="15"/>
  <c r="I113" i="15"/>
  <c r="H113" i="15"/>
  <c r="I112" i="15"/>
  <c r="H112" i="15"/>
  <c r="I111" i="15"/>
  <c r="H111" i="15"/>
  <c r="I110" i="15"/>
  <c r="H110" i="15"/>
  <c r="I109" i="15"/>
  <c r="H109" i="15"/>
  <c r="I108" i="15"/>
  <c r="H108" i="15"/>
  <c r="I107" i="15"/>
  <c r="H107" i="15"/>
  <c r="I106" i="15"/>
  <c r="H106" i="15"/>
  <c r="I105" i="15"/>
  <c r="H105" i="15"/>
  <c r="I104" i="15"/>
  <c r="H104" i="15"/>
  <c r="I103" i="15"/>
  <c r="H103" i="15"/>
  <c r="I102" i="15"/>
  <c r="H102" i="15"/>
  <c r="I101" i="15"/>
  <c r="H101" i="15"/>
  <c r="I100" i="15"/>
  <c r="H100" i="15"/>
  <c r="I99" i="15"/>
  <c r="H99" i="15"/>
  <c r="I98" i="15"/>
  <c r="H98" i="15"/>
  <c r="I97" i="15"/>
  <c r="H97" i="15"/>
  <c r="I96" i="15"/>
  <c r="H96" i="15"/>
  <c r="I95" i="15"/>
  <c r="H95" i="15"/>
  <c r="I94" i="15"/>
  <c r="H94" i="15"/>
  <c r="I93" i="15"/>
  <c r="H93" i="15"/>
  <c r="I92" i="15"/>
  <c r="H92" i="15"/>
  <c r="I91" i="15"/>
  <c r="H91" i="15"/>
  <c r="I90" i="15"/>
  <c r="H90" i="15"/>
  <c r="I89" i="15"/>
  <c r="H89" i="15"/>
  <c r="I88" i="15"/>
  <c r="H88" i="15"/>
  <c r="I87" i="15"/>
  <c r="H87" i="15"/>
  <c r="I86" i="15"/>
  <c r="H86" i="15"/>
  <c r="I85" i="15"/>
  <c r="H85" i="15"/>
  <c r="I84" i="15"/>
  <c r="H84" i="15"/>
  <c r="I83" i="15"/>
  <c r="H83" i="15"/>
  <c r="I82" i="15"/>
  <c r="H82" i="15"/>
  <c r="I81" i="15"/>
  <c r="H81" i="15"/>
  <c r="I80" i="15"/>
  <c r="H80" i="15"/>
  <c r="I79" i="15"/>
  <c r="H79" i="15"/>
  <c r="I78" i="15"/>
  <c r="H78" i="15"/>
  <c r="I77" i="15"/>
  <c r="H77" i="15"/>
  <c r="I76" i="15"/>
  <c r="H76" i="15"/>
  <c r="I75" i="15"/>
  <c r="H75" i="15"/>
  <c r="I74" i="15"/>
  <c r="H74" i="15"/>
  <c r="I73" i="15"/>
  <c r="H73" i="15"/>
  <c r="I72" i="15"/>
  <c r="H72" i="15"/>
  <c r="I71" i="15"/>
  <c r="H71" i="15"/>
  <c r="I70" i="15"/>
  <c r="H70" i="15"/>
  <c r="I69" i="15"/>
  <c r="H69" i="15"/>
  <c r="I68" i="15"/>
  <c r="H68" i="15"/>
  <c r="I67" i="15"/>
  <c r="H67" i="15"/>
  <c r="I66" i="15"/>
  <c r="H66" i="15"/>
  <c r="I65" i="15"/>
  <c r="H65" i="15"/>
  <c r="I64" i="15"/>
  <c r="H64" i="15"/>
  <c r="I63" i="15"/>
  <c r="H63" i="15"/>
  <c r="I62" i="15"/>
  <c r="H62" i="15"/>
  <c r="I61" i="15"/>
  <c r="H61" i="15"/>
  <c r="I60" i="15"/>
  <c r="H60" i="15"/>
  <c r="I59" i="15"/>
  <c r="H59" i="15"/>
  <c r="I58" i="15"/>
  <c r="H58" i="15"/>
  <c r="I57" i="15"/>
  <c r="H57" i="15"/>
  <c r="I56" i="15"/>
  <c r="H56" i="15"/>
  <c r="I55" i="15"/>
  <c r="H55" i="15"/>
  <c r="I54" i="15"/>
  <c r="H54" i="15"/>
  <c r="I53" i="15"/>
  <c r="H53" i="15"/>
  <c r="I52" i="15"/>
  <c r="H52" i="15"/>
  <c r="I51" i="15"/>
  <c r="H51" i="15"/>
  <c r="I50" i="15"/>
  <c r="H50" i="15"/>
  <c r="I49" i="15"/>
  <c r="H49" i="15"/>
  <c r="I48" i="15"/>
  <c r="H48" i="15"/>
  <c r="I47" i="15"/>
  <c r="H47" i="15"/>
  <c r="I46" i="15"/>
  <c r="H46" i="15"/>
  <c r="I45" i="15"/>
  <c r="H45" i="15"/>
  <c r="I44" i="15"/>
  <c r="H44" i="15"/>
  <c r="I43" i="15"/>
  <c r="H43" i="15"/>
  <c r="I42" i="15"/>
  <c r="H42" i="15"/>
  <c r="I41" i="15"/>
  <c r="H41" i="15"/>
  <c r="I40" i="15"/>
  <c r="H40" i="15"/>
  <c r="I39" i="15"/>
  <c r="H39" i="15"/>
  <c r="I38" i="15"/>
  <c r="H38" i="15"/>
  <c r="I37" i="15"/>
  <c r="H37" i="15"/>
  <c r="I36" i="15"/>
  <c r="H36" i="15"/>
  <c r="I35" i="15"/>
  <c r="H35" i="15"/>
  <c r="I34" i="15"/>
  <c r="H34" i="15"/>
  <c r="I33" i="15"/>
  <c r="H33" i="15"/>
  <c r="I32" i="15"/>
  <c r="H32" i="15"/>
  <c r="I31" i="15"/>
  <c r="H31" i="15"/>
  <c r="I30" i="15"/>
  <c r="H30" i="15"/>
  <c r="I29" i="15"/>
  <c r="H29" i="15"/>
  <c r="I28" i="15"/>
  <c r="H28" i="15"/>
  <c r="I27" i="15"/>
  <c r="H27" i="15"/>
  <c r="I26" i="15"/>
  <c r="H26" i="15"/>
  <c r="I25" i="15"/>
  <c r="H25" i="15"/>
  <c r="I24" i="15"/>
  <c r="H24" i="15"/>
  <c r="I23" i="15"/>
  <c r="H23" i="15"/>
  <c r="I22" i="15"/>
  <c r="H22" i="15"/>
  <c r="I21" i="15"/>
  <c r="H21" i="15"/>
  <c r="I20" i="15"/>
  <c r="H20" i="15"/>
  <c r="I19" i="15"/>
  <c r="H19" i="15"/>
  <c r="I18" i="15"/>
  <c r="H18" i="15"/>
  <c r="I17" i="15"/>
  <c r="H17" i="15"/>
  <c r="I16" i="15"/>
  <c r="H16" i="15"/>
  <c r="I15" i="15"/>
  <c r="H15" i="15"/>
  <c r="I14" i="15"/>
  <c r="H14" i="15"/>
  <c r="I13" i="15"/>
  <c r="H13" i="15"/>
  <c r="I12" i="15"/>
  <c r="H12" i="15"/>
  <c r="I11" i="15"/>
  <c r="H11" i="15"/>
  <c r="I10" i="15"/>
  <c r="H10" i="15"/>
  <c r="I9" i="15"/>
  <c r="H9" i="15"/>
  <c r="I8" i="15"/>
  <c r="H8" i="15"/>
  <c r="I7" i="15"/>
  <c r="H7" i="15"/>
  <c r="I6" i="15"/>
  <c r="H6" i="15"/>
  <c r="I5" i="15"/>
  <c r="H5" i="15"/>
  <c r="I4" i="15"/>
  <c r="H4" i="15"/>
  <c r="I3" i="15"/>
  <c r="H3" i="15"/>
  <c r="J2" i="15"/>
  <c r="I2" i="15"/>
  <c r="M2" i="15" s="1"/>
  <c r="H2" i="15"/>
  <c r="I81" i="11"/>
  <c r="H81" i="11"/>
  <c r="G81" i="11"/>
  <c r="F81" i="11"/>
  <c r="I80" i="11"/>
  <c r="H80" i="11"/>
  <c r="G80" i="11"/>
  <c r="F80" i="11"/>
  <c r="I79" i="11"/>
  <c r="H79" i="11"/>
  <c r="G79" i="11"/>
  <c r="F79" i="11"/>
  <c r="I78" i="11"/>
  <c r="H78" i="11"/>
  <c r="G78" i="11"/>
  <c r="F78" i="11"/>
  <c r="I77" i="11"/>
  <c r="H77" i="11"/>
  <c r="G77" i="11"/>
  <c r="F77" i="11"/>
  <c r="I76" i="11"/>
  <c r="H76" i="11"/>
  <c r="G76" i="11"/>
  <c r="F76" i="11"/>
  <c r="I75" i="11"/>
  <c r="H75" i="11"/>
  <c r="G75" i="11"/>
  <c r="F75" i="11"/>
  <c r="I74" i="11"/>
  <c r="H74" i="11"/>
  <c r="G74" i="11"/>
  <c r="F74" i="11"/>
  <c r="I73" i="11"/>
  <c r="H73" i="11"/>
  <c r="G73" i="11"/>
  <c r="F73" i="11"/>
  <c r="I72" i="11"/>
  <c r="H72" i="11"/>
  <c r="G72" i="11"/>
  <c r="F72" i="11"/>
  <c r="I71" i="11"/>
  <c r="H71" i="11"/>
  <c r="G71" i="11"/>
  <c r="F71" i="11"/>
  <c r="I70" i="11"/>
  <c r="H70" i="11"/>
  <c r="G70" i="11"/>
  <c r="F70" i="11"/>
  <c r="I69" i="11"/>
  <c r="H69" i="11"/>
  <c r="G69" i="11"/>
  <c r="F69" i="11"/>
  <c r="I68" i="11"/>
  <c r="H68" i="11"/>
  <c r="G68" i="11"/>
  <c r="F68" i="11"/>
  <c r="I67" i="11"/>
  <c r="H67" i="11"/>
  <c r="G67" i="11"/>
  <c r="F67" i="11"/>
  <c r="I66" i="11"/>
  <c r="H66" i="11"/>
  <c r="G66" i="11"/>
  <c r="F66" i="11"/>
  <c r="I65" i="11"/>
  <c r="H65" i="11"/>
  <c r="G65" i="11"/>
  <c r="F65" i="11"/>
  <c r="I64" i="11"/>
  <c r="H64" i="11"/>
  <c r="G64" i="11"/>
  <c r="F64" i="11"/>
  <c r="I63" i="11"/>
  <c r="H63" i="11"/>
  <c r="G63" i="11"/>
  <c r="F63" i="11"/>
  <c r="I62" i="11"/>
  <c r="H62" i="11"/>
  <c r="G62" i="11"/>
  <c r="F62" i="11"/>
  <c r="I61" i="11"/>
  <c r="H61" i="11"/>
  <c r="G61" i="11"/>
  <c r="F61" i="11"/>
  <c r="I60" i="11"/>
  <c r="H60" i="11"/>
  <c r="G60" i="11"/>
  <c r="F60" i="11"/>
  <c r="I59" i="11"/>
  <c r="H59" i="11"/>
  <c r="G59" i="11"/>
  <c r="F59" i="11"/>
  <c r="I58" i="11"/>
  <c r="H58" i="11"/>
  <c r="G58" i="11"/>
  <c r="F58" i="11"/>
  <c r="I57" i="11"/>
  <c r="H57" i="11"/>
  <c r="G57" i="11"/>
  <c r="F57" i="11"/>
  <c r="I56" i="11"/>
  <c r="H56" i="11"/>
  <c r="G56" i="11"/>
  <c r="F56" i="11"/>
  <c r="I55" i="11"/>
  <c r="H55" i="11"/>
  <c r="G55" i="11"/>
  <c r="F55" i="11"/>
  <c r="I54" i="11"/>
  <c r="H54" i="11"/>
  <c r="G54" i="11"/>
  <c r="F54" i="11"/>
  <c r="I53" i="11"/>
  <c r="H53" i="11"/>
  <c r="G53" i="11"/>
  <c r="F53" i="11"/>
  <c r="I52" i="11"/>
  <c r="H52" i="11"/>
  <c r="G52" i="11"/>
  <c r="F52" i="11"/>
  <c r="I51" i="11"/>
  <c r="H51" i="11"/>
  <c r="G51" i="11"/>
  <c r="F51" i="11"/>
  <c r="I50" i="11"/>
  <c r="H50" i="11"/>
  <c r="G50" i="11"/>
  <c r="F50" i="11"/>
  <c r="I49" i="11"/>
  <c r="H49" i="11"/>
  <c r="G49" i="11"/>
  <c r="F49" i="11"/>
  <c r="I48" i="11"/>
  <c r="H48" i="11"/>
  <c r="G48" i="11"/>
  <c r="F48" i="11"/>
  <c r="I47" i="11"/>
  <c r="H47" i="11"/>
  <c r="G47" i="11"/>
  <c r="F47" i="11"/>
  <c r="I46" i="11"/>
  <c r="H46" i="11"/>
  <c r="G46" i="11"/>
  <c r="F46" i="11"/>
  <c r="I45" i="11"/>
  <c r="H45" i="11"/>
  <c r="G45" i="11"/>
  <c r="F45" i="11"/>
  <c r="I44" i="11"/>
  <c r="H44" i="11"/>
  <c r="G44" i="11"/>
  <c r="F44" i="11"/>
  <c r="I43" i="11"/>
  <c r="H43" i="11"/>
  <c r="G43" i="11"/>
  <c r="F43" i="11"/>
  <c r="I42" i="11"/>
  <c r="H42" i="11"/>
  <c r="G42" i="11"/>
  <c r="F42" i="11"/>
  <c r="I41" i="11"/>
  <c r="H41" i="11"/>
  <c r="G41" i="11"/>
  <c r="F41" i="11"/>
  <c r="I40" i="11"/>
  <c r="H40" i="11"/>
  <c r="G40" i="11"/>
  <c r="F40" i="11"/>
  <c r="I39" i="11"/>
  <c r="H39" i="11"/>
  <c r="G39" i="11"/>
  <c r="F39" i="11"/>
  <c r="I38" i="11"/>
  <c r="H38" i="11"/>
  <c r="G38" i="11"/>
  <c r="F38" i="11"/>
  <c r="I37" i="11"/>
  <c r="H37" i="11"/>
  <c r="G37" i="11"/>
  <c r="F37" i="11"/>
  <c r="I36" i="11"/>
  <c r="H36" i="11"/>
  <c r="G36" i="11"/>
  <c r="F36" i="11"/>
  <c r="I35" i="11"/>
  <c r="H35" i="11"/>
  <c r="G35" i="11"/>
  <c r="F35" i="11"/>
  <c r="I34" i="11"/>
  <c r="H34" i="11"/>
  <c r="G34" i="11"/>
  <c r="F34" i="11"/>
  <c r="I33" i="11"/>
  <c r="H33" i="11"/>
  <c r="G33" i="11"/>
  <c r="F33" i="11"/>
  <c r="I32" i="11"/>
  <c r="H32" i="11"/>
  <c r="G32" i="11"/>
  <c r="F32" i="11"/>
  <c r="I31" i="11"/>
  <c r="H31" i="11"/>
  <c r="G31" i="11"/>
  <c r="F31" i="11"/>
  <c r="I30" i="11"/>
  <c r="H30" i="11"/>
  <c r="G30" i="11"/>
  <c r="F30" i="11"/>
  <c r="I29" i="11"/>
  <c r="H29" i="11"/>
  <c r="G29" i="11"/>
  <c r="F29" i="11"/>
  <c r="I28" i="11"/>
  <c r="H28" i="11"/>
  <c r="G28" i="11"/>
  <c r="F28" i="11"/>
  <c r="I27" i="11"/>
  <c r="H27" i="11"/>
  <c r="G27" i="11"/>
  <c r="F27" i="11"/>
  <c r="I26" i="11"/>
  <c r="H26" i="11"/>
  <c r="G26" i="11"/>
  <c r="F26" i="11"/>
  <c r="I25" i="11"/>
  <c r="H25" i="11"/>
  <c r="G25" i="11"/>
  <c r="F25" i="11"/>
  <c r="I24" i="11"/>
  <c r="H24" i="11"/>
  <c r="G24" i="11"/>
  <c r="F24" i="11"/>
  <c r="I23" i="11"/>
  <c r="H23" i="11"/>
  <c r="G23" i="11"/>
  <c r="F23" i="11"/>
  <c r="I22" i="11"/>
  <c r="H22" i="11"/>
  <c r="G22" i="11"/>
  <c r="F22" i="11"/>
  <c r="I21" i="11"/>
  <c r="H21" i="11"/>
  <c r="G21" i="11"/>
  <c r="F21" i="11"/>
  <c r="I20" i="11"/>
  <c r="H20" i="11"/>
  <c r="G20" i="11"/>
  <c r="F20" i="11"/>
  <c r="I19" i="11"/>
  <c r="H19" i="11"/>
  <c r="G19" i="11"/>
  <c r="F19" i="11"/>
  <c r="I18" i="11"/>
  <c r="H18" i="11"/>
  <c r="G18" i="11"/>
  <c r="F18" i="11"/>
  <c r="I17" i="11"/>
  <c r="H17" i="11"/>
  <c r="G17" i="11"/>
  <c r="F17" i="11"/>
  <c r="I16" i="11"/>
  <c r="H16" i="11"/>
  <c r="G16" i="11"/>
  <c r="F16" i="11"/>
  <c r="I15" i="11"/>
  <c r="H15" i="11"/>
  <c r="G15" i="11"/>
  <c r="F15" i="11"/>
  <c r="I14" i="11"/>
  <c r="H14" i="11"/>
  <c r="G14" i="11"/>
  <c r="F14" i="11"/>
  <c r="I13" i="11"/>
  <c r="H13" i="11"/>
  <c r="G13" i="11"/>
  <c r="F13" i="11"/>
  <c r="I12" i="11"/>
  <c r="H12" i="11"/>
  <c r="G12" i="11"/>
  <c r="F12" i="11"/>
  <c r="I11" i="11"/>
  <c r="H11" i="11"/>
  <c r="G11" i="11"/>
  <c r="F11" i="11"/>
  <c r="I10" i="11"/>
  <c r="H10" i="11"/>
  <c r="G10" i="11"/>
  <c r="F10" i="11"/>
  <c r="I9" i="11"/>
  <c r="H9" i="11"/>
  <c r="G9" i="11"/>
  <c r="F9" i="11"/>
  <c r="I8" i="11"/>
  <c r="H8" i="11"/>
  <c r="G8" i="11"/>
  <c r="F8" i="11"/>
  <c r="I7" i="11"/>
  <c r="H7" i="11"/>
  <c r="G7" i="11"/>
  <c r="F7" i="11"/>
  <c r="I6" i="11"/>
  <c r="H6" i="11"/>
  <c r="G6" i="11"/>
  <c r="F6" i="11"/>
  <c r="I5" i="11"/>
  <c r="H5" i="11"/>
  <c r="G5" i="11"/>
  <c r="F5" i="11"/>
  <c r="I4" i="11"/>
  <c r="H4" i="11"/>
  <c r="G4" i="11"/>
  <c r="F4" i="11"/>
  <c r="I3" i="11"/>
  <c r="H3" i="11"/>
  <c r="G3" i="11"/>
  <c r="F3" i="11"/>
  <c r="I2" i="11"/>
  <c r="I82" i="11" s="1"/>
  <c r="H2" i="11"/>
  <c r="H82" i="11" s="1"/>
  <c r="G2" i="11"/>
  <c r="G82" i="11" s="1"/>
  <c r="F2" i="11"/>
  <c r="F82" i="11" s="1"/>
  <c r="I81" i="10"/>
  <c r="H81" i="10"/>
  <c r="G81" i="10"/>
  <c r="F81" i="10"/>
  <c r="I80" i="10"/>
  <c r="H80" i="10"/>
  <c r="G80" i="10"/>
  <c r="F80" i="10"/>
  <c r="I79" i="10"/>
  <c r="H79" i="10"/>
  <c r="G79" i="10"/>
  <c r="F79" i="10"/>
  <c r="I78" i="10"/>
  <c r="H78" i="10"/>
  <c r="G78" i="10"/>
  <c r="F78" i="10"/>
  <c r="I77" i="10"/>
  <c r="H77" i="10"/>
  <c r="G77" i="10"/>
  <c r="F77" i="10"/>
  <c r="I76" i="10"/>
  <c r="H76" i="10"/>
  <c r="G76" i="10"/>
  <c r="F76" i="10"/>
  <c r="I75" i="10"/>
  <c r="H75" i="10"/>
  <c r="G75" i="10"/>
  <c r="F75" i="10"/>
  <c r="I74" i="10"/>
  <c r="H74" i="10"/>
  <c r="G74" i="10"/>
  <c r="F74" i="10"/>
  <c r="I73" i="10"/>
  <c r="H73" i="10"/>
  <c r="G73" i="10"/>
  <c r="F73" i="10"/>
  <c r="I72" i="10"/>
  <c r="H72" i="10"/>
  <c r="G72" i="10"/>
  <c r="F72" i="10"/>
  <c r="I71" i="10"/>
  <c r="H71" i="10"/>
  <c r="G71" i="10"/>
  <c r="F71" i="10"/>
  <c r="I70" i="10"/>
  <c r="H70" i="10"/>
  <c r="G70" i="10"/>
  <c r="F70" i="10"/>
  <c r="I69" i="10"/>
  <c r="H69" i="10"/>
  <c r="G69" i="10"/>
  <c r="F69" i="10"/>
  <c r="I68" i="10"/>
  <c r="H68" i="10"/>
  <c r="G68" i="10"/>
  <c r="F68" i="10"/>
  <c r="I67" i="10"/>
  <c r="H67" i="10"/>
  <c r="G67" i="10"/>
  <c r="F67" i="10"/>
  <c r="I66" i="10"/>
  <c r="H66" i="10"/>
  <c r="G66" i="10"/>
  <c r="F66" i="10"/>
  <c r="I65" i="10"/>
  <c r="H65" i="10"/>
  <c r="G65" i="10"/>
  <c r="F65" i="10"/>
  <c r="I64" i="10"/>
  <c r="H64" i="10"/>
  <c r="G64" i="10"/>
  <c r="F64" i="10"/>
  <c r="I63" i="10"/>
  <c r="H63" i="10"/>
  <c r="G63" i="10"/>
  <c r="F63" i="10"/>
  <c r="I62" i="10"/>
  <c r="H62" i="10"/>
  <c r="G62" i="10"/>
  <c r="F62" i="10"/>
  <c r="I61" i="10"/>
  <c r="H61" i="10"/>
  <c r="G61" i="10"/>
  <c r="F61" i="10"/>
  <c r="I60" i="10"/>
  <c r="H60" i="10"/>
  <c r="G60" i="10"/>
  <c r="F60" i="10"/>
  <c r="I59" i="10"/>
  <c r="H59" i="10"/>
  <c r="G59" i="10"/>
  <c r="F59" i="10"/>
  <c r="I58" i="10"/>
  <c r="H58" i="10"/>
  <c r="G58" i="10"/>
  <c r="F58" i="10"/>
  <c r="I57" i="10"/>
  <c r="H57" i="10"/>
  <c r="G57" i="10"/>
  <c r="F57" i="10"/>
  <c r="I56" i="10"/>
  <c r="H56" i="10"/>
  <c r="G56" i="10"/>
  <c r="F56" i="10"/>
  <c r="I55" i="10"/>
  <c r="H55" i="10"/>
  <c r="G55" i="10"/>
  <c r="F55" i="10"/>
  <c r="I54" i="10"/>
  <c r="H54" i="10"/>
  <c r="G54" i="10"/>
  <c r="F54" i="10"/>
  <c r="I53" i="10"/>
  <c r="H53" i="10"/>
  <c r="G53" i="10"/>
  <c r="F53" i="10"/>
  <c r="I52" i="10"/>
  <c r="H52" i="10"/>
  <c r="G52" i="10"/>
  <c r="F52" i="10"/>
  <c r="I51" i="10"/>
  <c r="H51" i="10"/>
  <c r="G51" i="10"/>
  <c r="F51" i="10"/>
  <c r="I50" i="10"/>
  <c r="H50" i="10"/>
  <c r="G50" i="10"/>
  <c r="F50" i="10"/>
  <c r="I49" i="10"/>
  <c r="H49" i="10"/>
  <c r="G49" i="10"/>
  <c r="F49" i="10"/>
  <c r="I48" i="10"/>
  <c r="H48" i="10"/>
  <c r="G48" i="10"/>
  <c r="F48" i="10"/>
  <c r="I47" i="10"/>
  <c r="H47" i="10"/>
  <c r="G47" i="10"/>
  <c r="F47" i="10"/>
  <c r="I46" i="10"/>
  <c r="H46" i="10"/>
  <c r="G46" i="10"/>
  <c r="F46" i="10"/>
  <c r="I45" i="10"/>
  <c r="H45" i="10"/>
  <c r="G45" i="10"/>
  <c r="F45" i="10"/>
  <c r="I44" i="10"/>
  <c r="H44" i="10"/>
  <c r="G44" i="10"/>
  <c r="F44" i="10"/>
  <c r="I43" i="10"/>
  <c r="H43" i="10"/>
  <c r="G43" i="10"/>
  <c r="F43" i="10"/>
  <c r="I42" i="10"/>
  <c r="H42" i="10"/>
  <c r="G42" i="10"/>
  <c r="F42" i="10"/>
  <c r="I41" i="10"/>
  <c r="H41" i="10"/>
  <c r="G41" i="10"/>
  <c r="F41" i="10"/>
  <c r="I40" i="10"/>
  <c r="H40" i="10"/>
  <c r="G40" i="10"/>
  <c r="F40" i="10"/>
  <c r="I39" i="10"/>
  <c r="H39" i="10"/>
  <c r="G39" i="10"/>
  <c r="F39" i="10"/>
  <c r="I38" i="10"/>
  <c r="H38" i="10"/>
  <c r="G38" i="10"/>
  <c r="F38" i="10"/>
  <c r="I37" i="10"/>
  <c r="H37" i="10"/>
  <c r="G37" i="10"/>
  <c r="F37" i="10"/>
  <c r="I36" i="10"/>
  <c r="H36" i="10"/>
  <c r="G36" i="10"/>
  <c r="F36" i="10"/>
  <c r="I35" i="10"/>
  <c r="H35" i="10"/>
  <c r="G35" i="10"/>
  <c r="F35" i="10"/>
  <c r="I34" i="10"/>
  <c r="H34" i="10"/>
  <c r="G34" i="10"/>
  <c r="F34" i="10"/>
  <c r="I33" i="10"/>
  <c r="H33" i="10"/>
  <c r="G33" i="10"/>
  <c r="F33" i="10"/>
  <c r="I32" i="10"/>
  <c r="H32" i="10"/>
  <c r="G32" i="10"/>
  <c r="F32" i="10"/>
  <c r="I31" i="10"/>
  <c r="H31" i="10"/>
  <c r="G31" i="10"/>
  <c r="F31" i="10"/>
  <c r="I30" i="10"/>
  <c r="H30" i="10"/>
  <c r="G30" i="10"/>
  <c r="F30" i="10"/>
  <c r="I29" i="10"/>
  <c r="H29" i="10"/>
  <c r="G29" i="10"/>
  <c r="F29" i="10"/>
  <c r="I28" i="10"/>
  <c r="H28" i="10"/>
  <c r="G28" i="10"/>
  <c r="F28" i="10"/>
  <c r="I27" i="10"/>
  <c r="H27" i="10"/>
  <c r="G27" i="10"/>
  <c r="F27" i="10"/>
  <c r="I26" i="10"/>
  <c r="H26" i="10"/>
  <c r="G26" i="10"/>
  <c r="F26" i="10"/>
  <c r="I25" i="10"/>
  <c r="H25" i="10"/>
  <c r="G25" i="10"/>
  <c r="F25" i="10"/>
  <c r="I24" i="10"/>
  <c r="H24" i="10"/>
  <c r="G24" i="10"/>
  <c r="F24" i="10"/>
  <c r="I23" i="10"/>
  <c r="H23" i="10"/>
  <c r="G23" i="10"/>
  <c r="F23" i="10"/>
  <c r="I22" i="10"/>
  <c r="H22" i="10"/>
  <c r="G22" i="10"/>
  <c r="F22" i="10"/>
  <c r="I21" i="10"/>
  <c r="H21" i="10"/>
  <c r="G21" i="10"/>
  <c r="F21" i="10"/>
  <c r="I20" i="10"/>
  <c r="H20" i="10"/>
  <c r="G20" i="10"/>
  <c r="F20" i="10"/>
  <c r="I19" i="10"/>
  <c r="H19" i="10"/>
  <c r="G19" i="10"/>
  <c r="F19" i="10"/>
  <c r="I18" i="10"/>
  <c r="H18" i="10"/>
  <c r="G18" i="10"/>
  <c r="F18" i="10"/>
  <c r="I17" i="10"/>
  <c r="H17" i="10"/>
  <c r="G17" i="10"/>
  <c r="F17" i="10"/>
  <c r="I16" i="10"/>
  <c r="H16" i="10"/>
  <c r="G16" i="10"/>
  <c r="F16" i="10"/>
  <c r="I15" i="10"/>
  <c r="H15" i="10"/>
  <c r="G15" i="10"/>
  <c r="F15" i="10"/>
  <c r="I14" i="10"/>
  <c r="H14" i="10"/>
  <c r="G14" i="10"/>
  <c r="F14" i="10"/>
  <c r="I13" i="10"/>
  <c r="H13" i="10"/>
  <c r="G13" i="10"/>
  <c r="F13" i="10"/>
  <c r="I12" i="10"/>
  <c r="H12" i="10"/>
  <c r="G12" i="10"/>
  <c r="F12" i="10"/>
  <c r="I11" i="10"/>
  <c r="H11" i="10"/>
  <c r="G11" i="10"/>
  <c r="F11" i="10"/>
  <c r="I10" i="10"/>
  <c r="H10" i="10"/>
  <c r="G10" i="10"/>
  <c r="F10" i="10"/>
  <c r="I9" i="10"/>
  <c r="H9" i="10"/>
  <c r="G9" i="10"/>
  <c r="F9" i="10"/>
  <c r="I8" i="10"/>
  <c r="H8" i="10"/>
  <c r="G8" i="10"/>
  <c r="F8" i="10"/>
  <c r="I7" i="10"/>
  <c r="H7" i="10"/>
  <c r="G7" i="10"/>
  <c r="F7" i="10"/>
  <c r="I6" i="10"/>
  <c r="H6" i="10"/>
  <c r="G6" i="10"/>
  <c r="F6" i="10"/>
  <c r="I5" i="10"/>
  <c r="H5" i="10"/>
  <c r="G5" i="10"/>
  <c r="F5" i="10"/>
  <c r="I4" i="10"/>
  <c r="H4" i="10"/>
  <c r="G4" i="10"/>
  <c r="F4" i="10"/>
  <c r="I3" i="10"/>
  <c r="H3" i="10"/>
  <c r="G3" i="10"/>
  <c r="F3" i="10"/>
  <c r="I2" i="10"/>
  <c r="I82" i="10" s="1"/>
  <c r="H2" i="10"/>
  <c r="H82" i="10" s="1"/>
  <c r="G2" i="10"/>
  <c r="G82" i="10" s="1"/>
  <c r="F2" i="10"/>
  <c r="F82" i="10" s="1"/>
  <c r="D1146" i="3"/>
  <c r="D1145" i="3"/>
  <c r="D1144" i="3"/>
  <c r="D1143" i="3"/>
  <c r="D1142" i="3"/>
  <c r="D1141" i="3"/>
  <c r="D1140" i="3"/>
  <c r="D1139" i="3"/>
  <c r="D1138" i="3"/>
  <c r="D1137" i="3"/>
  <c r="D1136" i="3"/>
  <c r="D1135" i="3"/>
  <c r="D1134" i="3"/>
  <c r="D1133" i="3"/>
  <c r="D1132" i="3"/>
  <c r="D1131" i="3"/>
  <c r="D1130" i="3"/>
  <c r="D1129" i="3"/>
  <c r="D1128" i="3"/>
  <c r="D1127" i="3"/>
  <c r="D1126" i="3"/>
  <c r="D1125" i="3"/>
  <c r="D1124" i="3"/>
  <c r="D1123" i="3"/>
  <c r="D1122" i="3"/>
  <c r="D1121" i="3"/>
  <c r="D1120" i="3"/>
  <c r="D1119" i="3"/>
  <c r="D1118" i="3"/>
  <c r="D1117" i="3"/>
  <c r="D1116" i="3"/>
  <c r="D1115" i="3"/>
  <c r="D1114" i="3"/>
  <c r="D1113" i="3"/>
  <c r="D1112" i="3"/>
  <c r="D1111" i="3"/>
  <c r="D1110" i="3"/>
  <c r="D1109" i="3"/>
  <c r="D1108" i="3"/>
  <c r="D1107" i="3"/>
  <c r="D1106" i="3"/>
  <c r="D1105" i="3"/>
  <c r="D1104" i="3"/>
  <c r="D1103" i="3"/>
  <c r="D1102" i="3"/>
  <c r="D1101" i="3"/>
  <c r="D1100" i="3"/>
  <c r="D1099" i="3"/>
  <c r="D1098" i="3"/>
  <c r="D1097" i="3"/>
  <c r="D1096" i="3"/>
  <c r="D1095" i="3"/>
  <c r="D1094" i="3"/>
  <c r="D1093" i="3"/>
  <c r="D1092" i="3"/>
  <c r="D1091" i="3"/>
  <c r="D1090" i="3"/>
  <c r="D1089" i="3"/>
  <c r="D1088" i="3"/>
  <c r="D1087" i="3"/>
  <c r="D1086" i="3"/>
  <c r="D1085" i="3"/>
  <c r="D1084" i="3"/>
  <c r="D1083" i="3"/>
  <c r="D1082" i="3"/>
  <c r="D1081" i="3"/>
  <c r="D1080" i="3"/>
  <c r="D1079" i="3"/>
  <c r="D1078" i="3"/>
  <c r="D1077" i="3"/>
  <c r="D1076" i="3"/>
  <c r="D1075" i="3"/>
  <c r="D1074" i="3"/>
  <c r="D1073" i="3"/>
  <c r="D1072" i="3"/>
  <c r="D1071" i="3"/>
  <c r="D1070" i="3"/>
  <c r="D1069" i="3"/>
  <c r="D1068" i="3"/>
  <c r="D1067" i="3"/>
  <c r="D1066" i="3"/>
  <c r="D1065" i="3"/>
  <c r="D1064" i="3"/>
  <c r="D1063" i="3"/>
  <c r="D1062" i="3"/>
  <c r="D1061" i="3"/>
  <c r="D1060" i="3"/>
  <c r="D1059" i="3"/>
  <c r="D1058" i="3"/>
  <c r="D1057" i="3"/>
  <c r="D1056" i="3"/>
  <c r="D1055" i="3"/>
  <c r="D1054" i="3"/>
  <c r="D1053" i="3"/>
  <c r="D1052" i="3"/>
  <c r="D1051" i="3"/>
  <c r="D1050" i="3"/>
  <c r="D1049" i="3"/>
  <c r="D1048" i="3"/>
  <c r="D1047" i="3"/>
  <c r="D1046" i="3"/>
  <c r="D1045" i="3"/>
  <c r="D1044" i="3"/>
  <c r="D1043" i="3"/>
  <c r="D1042" i="3"/>
  <c r="D1041" i="3"/>
  <c r="D1040" i="3"/>
  <c r="D1039" i="3"/>
  <c r="D1038" i="3"/>
  <c r="D1037" i="3"/>
  <c r="D1036" i="3"/>
  <c r="D1035" i="3"/>
  <c r="D1034" i="3"/>
  <c r="D1033" i="3"/>
  <c r="D1032" i="3"/>
  <c r="D1031" i="3"/>
  <c r="D1030" i="3"/>
  <c r="D1029" i="3"/>
  <c r="D1028" i="3"/>
  <c r="D1027" i="3"/>
  <c r="D1026" i="3"/>
  <c r="D1025" i="3"/>
  <c r="D1024" i="3"/>
  <c r="D1023" i="3"/>
  <c r="D1022" i="3"/>
  <c r="D1021" i="3"/>
  <c r="D1020" i="3"/>
  <c r="D1019" i="3"/>
  <c r="D1018" i="3"/>
  <c r="D1017" i="3"/>
  <c r="D1016" i="3"/>
  <c r="D1015" i="3"/>
  <c r="D1014" i="3"/>
  <c r="D1013" i="3"/>
  <c r="D1012" i="3"/>
  <c r="D1011" i="3"/>
  <c r="D1010" i="3"/>
  <c r="D1009" i="3"/>
  <c r="D1008" i="3"/>
  <c r="D1007" i="3"/>
  <c r="D1006" i="3"/>
  <c r="D1005" i="3"/>
  <c r="D1004" i="3"/>
  <c r="D1003" i="3"/>
  <c r="D1002" i="3"/>
  <c r="D1001" i="3"/>
  <c r="D1000" i="3"/>
  <c r="D999" i="3"/>
  <c r="D998" i="3"/>
  <c r="D997" i="3"/>
  <c r="D996" i="3"/>
  <c r="D995" i="3"/>
  <c r="D994" i="3"/>
  <c r="D993" i="3"/>
  <c r="D992" i="3"/>
  <c r="D991" i="3"/>
  <c r="D990" i="3"/>
  <c r="D989" i="3"/>
  <c r="D988" i="3"/>
  <c r="D987" i="3"/>
  <c r="D986" i="3"/>
  <c r="D985" i="3"/>
  <c r="D984" i="3"/>
  <c r="D983" i="3"/>
  <c r="D982" i="3"/>
  <c r="D981" i="3"/>
  <c r="D980" i="3"/>
  <c r="D979" i="3"/>
  <c r="D978" i="3"/>
  <c r="D977" i="3"/>
  <c r="D976" i="3"/>
  <c r="D975" i="3"/>
  <c r="D974" i="3"/>
  <c r="D973" i="3"/>
  <c r="D972" i="3"/>
  <c r="D971" i="3"/>
  <c r="D970" i="3"/>
  <c r="D969" i="3"/>
  <c r="D968" i="3"/>
  <c r="D967" i="3"/>
  <c r="D966" i="3"/>
  <c r="D965" i="3"/>
  <c r="D964" i="3"/>
  <c r="D963" i="3"/>
  <c r="D962" i="3"/>
  <c r="D961" i="3"/>
  <c r="D960" i="3"/>
  <c r="D959" i="3"/>
  <c r="D958" i="3"/>
  <c r="D957" i="3"/>
  <c r="D956" i="3"/>
  <c r="D955" i="3"/>
  <c r="D954" i="3"/>
  <c r="D953" i="3"/>
  <c r="D952" i="3"/>
  <c r="D951" i="3"/>
  <c r="D950" i="3"/>
  <c r="D949" i="3"/>
  <c r="D948" i="3"/>
  <c r="D947" i="3"/>
  <c r="D946" i="3"/>
  <c r="D945" i="3"/>
  <c r="D944" i="3"/>
  <c r="D943" i="3"/>
  <c r="D942" i="3"/>
  <c r="D941" i="3"/>
  <c r="D940" i="3"/>
  <c r="D939" i="3"/>
  <c r="D938" i="3"/>
  <c r="D937" i="3"/>
  <c r="D936" i="3"/>
  <c r="D935" i="3"/>
  <c r="D934" i="3"/>
  <c r="D933" i="3"/>
  <c r="D932" i="3"/>
  <c r="D931" i="3"/>
  <c r="D930" i="3"/>
  <c r="D929" i="3"/>
  <c r="D928" i="3"/>
  <c r="D927" i="3"/>
  <c r="D926" i="3"/>
  <c r="D925" i="3"/>
  <c r="D924" i="3"/>
  <c r="D923" i="3"/>
  <c r="D922" i="3"/>
  <c r="D921" i="3"/>
  <c r="D920" i="3"/>
  <c r="D919" i="3"/>
  <c r="D918" i="3"/>
  <c r="D917" i="3"/>
  <c r="D916" i="3"/>
  <c r="D915" i="3"/>
  <c r="D914" i="3"/>
  <c r="D913" i="3"/>
  <c r="D912" i="3"/>
  <c r="D911" i="3"/>
  <c r="D910" i="3"/>
  <c r="D909" i="3"/>
  <c r="D908" i="3"/>
  <c r="D907" i="3"/>
  <c r="D906" i="3"/>
  <c r="D905" i="3"/>
  <c r="D904" i="3"/>
  <c r="D903" i="3"/>
  <c r="D902" i="3"/>
  <c r="D901" i="3"/>
  <c r="D900" i="3"/>
  <c r="D899" i="3"/>
  <c r="D898" i="3"/>
  <c r="D897" i="3"/>
  <c r="D896" i="3"/>
  <c r="D895" i="3"/>
  <c r="D894" i="3"/>
  <c r="D893" i="3"/>
  <c r="D892" i="3"/>
  <c r="D891" i="3"/>
  <c r="D890" i="3"/>
  <c r="D889" i="3"/>
  <c r="D888" i="3"/>
  <c r="D887" i="3"/>
  <c r="D886" i="3"/>
  <c r="D885" i="3"/>
  <c r="D884" i="3"/>
  <c r="D883" i="3"/>
  <c r="D882" i="3"/>
  <c r="D881" i="3"/>
  <c r="D880" i="3"/>
  <c r="D879" i="3"/>
  <c r="D878" i="3"/>
  <c r="D877" i="3"/>
  <c r="D876" i="3"/>
  <c r="D875" i="3"/>
  <c r="D874" i="3"/>
  <c r="D873" i="3"/>
  <c r="D872" i="3"/>
  <c r="D871" i="3"/>
  <c r="D870" i="3"/>
  <c r="D869" i="3"/>
  <c r="D868" i="3"/>
  <c r="D867" i="3"/>
  <c r="D866" i="3"/>
  <c r="D865" i="3"/>
  <c r="D864" i="3"/>
  <c r="D863" i="3"/>
  <c r="D862" i="3"/>
  <c r="D861" i="3"/>
  <c r="D860" i="3"/>
  <c r="D859" i="3"/>
  <c r="D858" i="3"/>
  <c r="D857" i="3"/>
  <c r="D856" i="3"/>
  <c r="D855" i="3"/>
  <c r="D854" i="3"/>
  <c r="D853" i="3"/>
  <c r="D852" i="3"/>
  <c r="D851" i="3"/>
  <c r="D850" i="3"/>
  <c r="D849" i="3"/>
  <c r="D848" i="3"/>
  <c r="D847" i="3"/>
  <c r="D846" i="3"/>
  <c r="D845" i="3"/>
  <c r="D844" i="3"/>
  <c r="D843" i="3"/>
  <c r="D842" i="3"/>
  <c r="D841" i="3"/>
  <c r="D840" i="3"/>
  <c r="D839" i="3"/>
  <c r="D838" i="3"/>
  <c r="D837" i="3"/>
  <c r="D836" i="3"/>
  <c r="D835" i="3"/>
  <c r="D834" i="3"/>
  <c r="D833" i="3"/>
  <c r="D832" i="3"/>
  <c r="D831" i="3"/>
  <c r="D830" i="3"/>
  <c r="D829" i="3"/>
  <c r="D828" i="3"/>
  <c r="D827" i="3"/>
  <c r="D826" i="3"/>
  <c r="D825" i="3"/>
  <c r="D824" i="3"/>
  <c r="D823" i="3"/>
  <c r="D822" i="3"/>
  <c r="D821" i="3"/>
  <c r="D820" i="3"/>
  <c r="D819" i="3"/>
  <c r="D818" i="3"/>
  <c r="D817" i="3"/>
  <c r="D816" i="3"/>
  <c r="D815" i="3"/>
  <c r="D814" i="3"/>
  <c r="D813" i="3"/>
  <c r="D812" i="3"/>
  <c r="D811" i="3"/>
  <c r="D810" i="3"/>
  <c r="D809" i="3"/>
  <c r="D808" i="3"/>
  <c r="D807" i="3"/>
  <c r="D806" i="3"/>
  <c r="D805" i="3"/>
  <c r="D804" i="3"/>
  <c r="D803" i="3"/>
  <c r="D802" i="3"/>
  <c r="D801" i="3"/>
  <c r="D800" i="3"/>
  <c r="D799" i="3"/>
  <c r="D798" i="3"/>
  <c r="D797" i="3"/>
  <c r="D796" i="3"/>
  <c r="D795" i="3"/>
  <c r="D794" i="3"/>
  <c r="D793" i="3"/>
  <c r="D792" i="3"/>
  <c r="D791" i="3"/>
  <c r="D790" i="3"/>
  <c r="D789" i="3"/>
  <c r="D788" i="3"/>
  <c r="D787" i="3"/>
  <c r="D786" i="3"/>
  <c r="D785" i="3"/>
  <c r="D784" i="3"/>
  <c r="D783" i="3"/>
  <c r="D782" i="3"/>
  <c r="D781" i="3"/>
  <c r="D780" i="3"/>
  <c r="D779" i="3"/>
  <c r="D778" i="3"/>
  <c r="D777" i="3"/>
  <c r="D776" i="3"/>
  <c r="D775" i="3"/>
  <c r="D774" i="3"/>
  <c r="D773" i="3"/>
  <c r="D772" i="3"/>
  <c r="D771" i="3"/>
  <c r="D770" i="3"/>
  <c r="D769" i="3"/>
  <c r="D768" i="3"/>
  <c r="D767" i="3"/>
  <c r="D766" i="3"/>
  <c r="D765" i="3"/>
  <c r="D764" i="3"/>
  <c r="D763" i="3"/>
  <c r="D762" i="3"/>
  <c r="D761" i="3"/>
  <c r="D760" i="3"/>
  <c r="D759" i="3"/>
  <c r="D758" i="3"/>
  <c r="D757" i="3"/>
  <c r="D756" i="3"/>
  <c r="D755" i="3"/>
  <c r="D754" i="3"/>
  <c r="D753" i="3"/>
  <c r="D752" i="3"/>
  <c r="D751" i="3"/>
  <c r="D750" i="3"/>
  <c r="D749" i="3"/>
  <c r="D748" i="3"/>
  <c r="D747" i="3"/>
  <c r="D746" i="3"/>
  <c r="D745" i="3"/>
  <c r="D744" i="3"/>
  <c r="D743" i="3"/>
  <c r="D742" i="3"/>
  <c r="D741" i="3"/>
  <c r="D740" i="3"/>
  <c r="D739" i="3"/>
  <c r="D738" i="3"/>
  <c r="D737" i="3"/>
  <c r="D736" i="3"/>
  <c r="D735" i="3"/>
  <c r="D734" i="3"/>
  <c r="D733" i="3"/>
  <c r="D732" i="3"/>
  <c r="D731" i="3"/>
  <c r="D730" i="3"/>
  <c r="D729" i="3"/>
  <c r="D728" i="3"/>
  <c r="D727" i="3"/>
  <c r="D726" i="3"/>
  <c r="D725" i="3"/>
  <c r="D724" i="3"/>
  <c r="D723" i="3"/>
  <c r="D722" i="3"/>
  <c r="D721" i="3"/>
  <c r="D720" i="3"/>
  <c r="D719" i="3"/>
  <c r="D718" i="3"/>
  <c r="D717" i="3"/>
  <c r="D716" i="3"/>
  <c r="D715" i="3"/>
  <c r="D714" i="3"/>
  <c r="D713" i="3"/>
  <c r="D712" i="3"/>
  <c r="D711" i="3"/>
  <c r="D710" i="3"/>
  <c r="D709" i="3"/>
  <c r="D708" i="3"/>
  <c r="D707" i="3"/>
  <c r="D706" i="3"/>
  <c r="D705" i="3"/>
  <c r="D704" i="3"/>
  <c r="D703" i="3"/>
  <c r="D702" i="3"/>
  <c r="D701" i="3"/>
  <c r="D700" i="3"/>
  <c r="D699" i="3"/>
  <c r="D698" i="3"/>
  <c r="D697" i="3"/>
  <c r="D696" i="3"/>
  <c r="D695" i="3"/>
  <c r="D694" i="3"/>
  <c r="D693" i="3"/>
  <c r="D692" i="3"/>
  <c r="D691" i="3"/>
  <c r="D690" i="3"/>
  <c r="D689" i="3"/>
  <c r="D688" i="3"/>
  <c r="D687" i="3"/>
  <c r="D686" i="3"/>
  <c r="D685" i="3"/>
  <c r="D684" i="3"/>
  <c r="D683" i="3"/>
  <c r="D682" i="3"/>
  <c r="D681" i="3"/>
  <c r="D680" i="3"/>
  <c r="D679"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3" i="3"/>
  <c r="D652" i="3"/>
  <c r="D651" i="3"/>
  <c r="D650" i="3"/>
  <c r="D649" i="3"/>
  <c r="D648" i="3"/>
  <c r="D647" i="3"/>
  <c r="D646" i="3"/>
  <c r="D645" i="3"/>
  <c r="D644" i="3"/>
  <c r="D643" i="3"/>
  <c r="D642" i="3"/>
  <c r="D641" i="3"/>
  <c r="D640" i="3"/>
  <c r="D639" i="3"/>
  <c r="D638" i="3"/>
  <c r="D637" i="3"/>
  <c r="D636" i="3"/>
  <c r="D635" i="3"/>
  <c r="D634" i="3"/>
  <c r="D633" i="3"/>
  <c r="D632" i="3"/>
  <c r="D631" i="3"/>
  <c r="D630" i="3"/>
  <c r="D629"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3"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6" i="3"/>
  <c r="D565" i="3"/>
  <c r="D564" i="3"/>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K82" i="10" l="1"/>
  <c r="J82" i="10"/>
  <c r="L82" i="10" s="1"/>
  <c r="K82" i="11"/>
  <c r="J82" i="11"/>
  <c r="L82" i="11" s="1"/>
  <c r="O2" i="15"/>
  <c r="J2" i="16"/>
  <c r="K2" i="16"/>
  <c r="K2" i="15"/>
  <c r="L2" i="15"/>
  <c r="N2" i="15" s="1"/>
  <c r="P2" i="15" s="1"/>
  <c r="O2" i="16" l="1"/>
  <c r="N2" i="16"/>
  <c r="P2" i="16" s="1"/>
</calcChain>
</file>

<file path=xl/sharedStrings.xml><?xml version="1.0" encoding="utf-8"?>
<sst xmlns="http://schemas.openxmlformats.org/spreadsheetml/2006/main" count="30607" uniqueCount="2032">
  <si>
    <t>Req_id</t>
  </si>
  <si>
    <t>Requirement_text</t>
  </si>
  <si>
    <t>Project</t>
  </si>
  <si>
    <t>Feature</t>
  </si>
  <si>
    <t>CORN-001</t>
  </si>
  <si>
    <t>The application shall support manage payments</t>
  </si>
  <si>
    <t>Online Shopping Platform</t>
  </si>
  <si>
    <t>CORN-002</t>
  </si>
  <si>
    <t>Users shall be able to generate orders</t>
  </si>
  <si>
    <t>Student Information System</t>
  </si>
  <si>
    <t>CORN-003</t>
  </si>
  <si>
    <t>The system shall allow users to create orders</t>
  </si>
  <si>
    <t>Traffic Control System</t>
  </si>
  <si>
    <t>CORN-004</t>
  </si>
  <si>
    <t>The application shall support validate profiles</t>
  </si>
  <si>
    <t>Learning Management System</t>
  </si>
  <si>
    <t>CORN-005</t>
  </si>
  <si>
    <t>The system shall allow users to delete records</t>
  </si>
  <si>
    <t>Hospital Management System</t>
  </si>
  <si>
    <t>CORN-006</t>
  </si>
  <si>
    <t>The system shall provide functionality to validate orders</t>
  </si>
  <si>
    <t>Credit Processing System</t>
  </si>
  <si>
    <t>CORN-007</t>
  </si>
  <si>
    <t>The application shall support delete reports</t>
  </si>
  <si>
    <t>Logistics Platform</t>
  </si>
  <si>
    <t>CORN-008</t>
  </si>
  <si>
    <t>The system shall allow users to view transactions</t>
  </si>
  <si>
    <t>CORN-009</t>
  </si>
  <si>
    <t>Users shall be able to validate reports</t>
  </si>
  <si>
    <t>Fleet Management System</t>
  </si>
  <si>
    <t>CORN-010</t>
  </si>
  <si>
    <t>Users shall be able to update payments</t>
  </si>
  <si>
    <t>CORN-011</t>
  </si>
  <si>
    <t>Users shall be able to create orders</t>
  </si>
  <si>
    <t>Payment Gateway</t>
  </si>
  <si>
    <t>CORN-012</t>
  </si>
  <si>
    <t>The system shall provide functionality to delete payments</t>
  </si>
  <si>
    <t>CORN-013</t>
  </si>
  <si>
    <t>The system shall enable process of records</t>
  </si>
  <si>
    <t>CORN-014</t>
  </si>
  <si>
    <t>The system shall enable generate of data</t>
  </si>
  <si>
    <t>CORN-015</t>
  </si>
  <si>
    <t>Users shall be able to delete records</t>
  </si>
  <si>
    <t>CORN-016</t>
  </si>
  <si>
    <t>The system shall enable manage of accounts</t>
  </si>
  <si>
    <t>CORN-017</t>
  </si>
  <si>
    <t>Users shall be able to update profiles</t>
  </si>
  <si>
    <t>Banking Portal</t>
  </si>
  <si>
    <t>CORN-018</t>
  </si>
  <si>
    <t>The system shall provide functionality to generate data</t>
  </si>
  <si>
    <t>CORN-019</t>
  </si>
  <si>
    <t>CORN-020</t>
  </si>
  <si>
    <t>Online Examination</t>
  </si>
  <si>
    <t>CORN-021</t>
  </si>
  <si>
    <t>The application shall support generate orders</t>
  </si>
  <si>
    <t>Patient Records System</t>
  </si>
  <si>
    <t>CORN-022</t>
  </si>
  <si>
    <t>The system shall provide functionality to view payments</t>
  </si>
  <si>
    <t>Telemedicine Platform</t>
  </si>
  <si>
    <t>CORN-023</t>
  </si>
  <si>
    <t>Users shall be able to create reports</t>
  </si>
  <si>
    <t>CORN-024</t>
  </si>
  <si>
    <t>The application shall support process payments</t>
  </si>
  <si>
    <t>CORN-025</t>
  </si>
  <si>
    <t>Users shall be able to update transactions</t>
  </si>
  <si>
    <t>Inventory Management</t>
  </si>
  <si>
    <t>CORN-026</t>
  </si>
  <si>
    <t>Users shall be able to validate records</t>
  </si>
  <si>
    <t>Investment Management</t>
  </si>
  <si>
    <t>CORN-027</t>
  </si>
  <si>
    <t>The application shall support manage accounts</t>
  </si>
  <si>
    <t>CORN-028</t>
  </si>
  <si>
    <t>The application shall support view data</t>
  </si>
  <si>
    <t>CORN-029</t>
  </si>
  <si>
    <t>The system shall allow users to delete orders</t>
  </si>
  <si>
    <t>CORN-030</t>
  </si>
  <si>
    <t>Users shall be able to delete profiles</t>
  </si>
  <si>
    <t>CORN-031</t>
  </si>
  <si>
    <t>The system shall allow users to update records</t>
  </si>
  <si>
    <t>CORN-032</t>
  </si>
  <si>
    <t>Users shall be able to delete payments</t>
  </si>
  <si>
    <t>CORN-033</t>
  </si>
  <si>
    <t>Users shall be able to generate records</t>
  </si>
  <si>
    <t>CORN-034</t>
  </si>
  <si>
    <t>The system shall provide functionality to view data</t>
  </si>
  <si>
    <t>CORN-035</t>
  </si>
  <si>
    <t>Users shall be able to process accounts</t>
  </si>
  <si>
    <t>CORN-036</t>
  </si>
  <si>
    <t>The system shall enable generate of transactions</t>
  </si>
  <si>
    <t>CORN-037</t>
  </si>
  <si>
    <t>The application shall support manage orders</t>
  </si>
  <si>
    <t>CORN-038</t>
  </si>
  <si>
    <t>CORN-039</t>
  </si>
  <si>
    <t>The system shall enable create of reports</t>
  </si>
  <si>
    <t>CORN-040</t>
  </si>
  <si>
    <t>The system shall enable validate of records</t>
  </si>
  <si>
    <t>CORN-041</t>
  </si>
  <si>
    <t>CORN-042</t>
  </si>
  <si>
    <t>The system shall enable process of orders</t>
  </si>
  <si>
    <t>CORN-043</t>
  </si>
  <si>
    <t>CORN-044</t>
  </si>
  <si>
    <t>The system shall provide functionality to update accounts</t>
  </si>
  <si>
    <t>CORN-045</t>
  </si>
  <si>
    <t>Users shall be able to view orders</t>
  </si>
  <si>
    <t>CORN-046</t>
  </si>
  <si>
    <t>The system shall provide functionality to update profiles</t>
  </si>
  <si>
    <t>CORN-047</t>
  </si>
  <si>
    <t>CORN-048</t>
  </si>
  <si>
    <t>Users shall be able to delete orders</t>
  </si>
  <si>
    <t>CORN-049</t>
  </si>
  <si>
    <t>Users shall be able to generate reports</t>
  </si>
  <si>
    <t>CORN-050</t>
  </si>
  <si>
    <t>The application shall support view payments</t>
  </si>
  <si>
    <t>CORN-051</t>
  </si>
  <si>
    <t>The system shall allow users to manage data</t>
  </si>
  <si>
    <t>CORN-052</t>
  </si>
  <si>
    <t>The system shall enable validate of data</t>
  </si>
  <si>
    <t>CORN-053</t>
  </si>
  <si>
    <t>Users shall be able to manage records</t>
  </si>
  <si>
    <t>CORN-054</t>
  </si>
  <si>
    <t>The system shall provide functionality to update reports</t>
  </si>
  <si>
    <t>CORN-055</t>
  </si>
  <si>
    <t>The application shall support create payments</t>
  </si>
  <si>
    <t>CORN-056</t>
  </si>
  <si>
    <t>The application shall support generate payments</t>
  </si>
  <si>
    <t>CORN-057</t>
  </si>
  <si>
    <t>The application shall support delete data</t>
  </si>
  <si>
    <t>CORN-058</t>
  </si>
  <si>
    <t>The system shall enable manage of payments</t>
  </si>
  <si>
    <t>CORN-059</t>
  </si>
  <si>
    <t>CORN-060</t>
  </si>
  <si>
    <t>Users shall be able to create transactions</t>
  </si>
  <si>
    <t>CORN-061</t>
  </si>
  <si>
    <t>Users shall be able to validate transactions</t>
  </si>
  <si>
    <t>CORN-062</t>
  </si>
  <si>
    <t>Users shall be able to validate orders</t>
  </si>
  <si>
    <t>CORN-063</t>
  </si>
  <si>
    <t>The system shall provide functionality to validate payments</t>
  </si>
  <si>
    <t>CORN-064</t>
  </si>
  <si>
    <t>The system shall enable update of records</t>
  </si>
  <si>
    <t>CORN-065</t>
  </si>
  <si>
    <t>The system shall provide functionality to process accounts</t>
  </si>
  <si>
    <t>CORN-066</t>
  </si>
  <si>
    <t>CORN-067</t>
  </si>
  <si>
    <t>The system shall provide functionality to validate data</t>
  </si>
  <si>
    <t>CORN-068</t>
  </si>
  <si>
    <t>The system shall allow users to process profiles</t>
  </si>
  <si>
    <t>CORN-069</t>
  </si>
  <si>
    <t>CORN-070</t>
  </si>
  <si>
    <t>The system shall allow users to delete reports</t>
  </si>
  <si>
    <t>CORN-071</t>
  </si>
  <si>
    <t>The application shall support create records</t>
  </si>
  <si>
    <t>CORN-072</t>
  </si>
  <si>
    <t>CORN-073</t>
  </si>
  <si>
    <t>The application shall support create accounts</t>
  </si>
  <si>
    <t>CORN-074</t>
  </si>
  <si>
    <t>Users shall be able to delete accounts</t>
  </si>
  <si>
    <t>CORN-075</t>
  </si>
  <si>
    <t>The system shall provide functionality to create records</t>
  </si>
  <si>
    <t>CORN-076</t>
  </si>
  <si>
    <t>The system shall allow users to process orders</t>
  </si>
  <si>
    <t>CORN-077</t>
  </si>
  <si>
    <t>The system shall provide functionality to generate payments</t>
  </si>
  <si>
    <t>CORN-078</t>
  </si>
  <si>
    <t>The system shall enable create of payments</t>
  </si>
  <si>
    <t>CORN-079</t>
  </si>
  <si>
    <t>CORN-080</t>
  </si>
  <si>
    <t>The system shall allow users to validate transactions</t>
  </si>
  <si>
    <t>CORN-081</t>
  </si>
  <si>
    <t>The application shall support delete payments</t>
  </si>
  <si>
    <t>CORN-082</t>
  </si>
  <si>
    <t>The system shall allow users to validate accounts</t>
  </si>
  <si>
    <t>CORN-083</t>
  </si>
  <si>
    <t>CORN-084</t>
  </si>
  <si>
    <t>The system shall enable validate of orders</t>
  </si>
  <si>
    <t>CORN-085</t>
  </si>
  <si>
    <t>Users shall be able to view payments</t>
  </si>
  <si>
    <t>CORN-086</t>
  </si>
  <si>
    <t>The system shall provide functionality to manage orders</t>
  </si>
  <si>
    <t>CORN-087</t>
  </si>
  <si>
    <t>The system shall allow users to generate accounts</t>
  </si>
  <si>
    <t>CORN-088</t>
  </si>
  <si>
    <t>Users shall be able to process reports</t>
  </si>
  <si>
    <t>CORN-089</t>
  </si>
  <si>
    <t>The application shall support process reports</t>
  </si>
  <si>
    <t>CORN-090</t>
  </si>
  <si>
    <t>CORN-091</t>
  </si>
  <si>
    <t>The system shall allow users to delete accounts</t>
  </si>
  <si>
    <t>CORN-092</t>
  </si>
  <si>
    <t>The system shall provide functionality to delete profiles</t>
  </si>
  <si>
    <t>CORN-093</t>
  </si>
  <si>
    <t>The system shall provide functionality to create transactions</t>
  </si>
  <si>
    <t>CORN-094</t>
  </si>
  <si>
    <t>The application shall support process orders</t>
  </si>
  <si>
    <t>CORN-095</t>
  </si>
  <si>
    <t>The system shall allow users to create records</t>
  </si>
  <si>
    <t>CORN-096</t>
  </si>
  <si>
    <t>The system shall enable update of orders</t>
  </si>
  <si>
    <t>CORN-097</t>
  </si>
  <si>
    <t>CORN-098</t>
  </si>
  <si>
    <t>Users shall be able to generate transactions</t>
  </si>
  <si>
    <t>CORN-099</t>
  </si>
  <si>
    <t>The application shall support validate payments</t>
  </si>
  <si>
    <t>CORN-100</t>
  </si>
  <si>
    <t>The system shall enable generate of payments</t>
  </si>
  <si>
    <t>CORN-101</t>
  </si>
  <si>
    <t>CORN-102</t>
  </si>
  <si>
    <t>Users shall be able to process profiles</t>
  </si>
  <si>
    <t>CORN-103</t>
  </si>
  <si>
    <t>The system shall provide functionality to manage records</t>
  </si>
  <si>
    <t>CORN-104</t>
  </si>
  <si>
    <t>The application shall support create transactions</t>
  </si>
  <si>
    <t>CORN-105</t>
  </si>
  <si>
    <t>The system shall allow users to manage transactions</t>
  </si>
  <si>
    <t>CORN-106</t>
  </si>
  <si>
    <t>The system shall enable delete of data</t>
  </si>
  <si>
    <t>CORN-107</t>
  </si>
  <si>
    <t>CORN-108</t>
  </si>
  <si>
    <t>CORN-109</t>
  </si>
  <si>
    <t>The application shall support manage records</t>
  </si>
  <si>
    <t>CORN-110</t>
  </si>
  <si>
    <t>Users shall be able to manage payments</t>
  </si>
  <si>
    <t>CORN-111</t>
  </si>
  <si>
    <t>CORN-112</t>
  </si>
  <si>
    <t>The application shall support validate reports</t>
  </si>
  <si>
    <t>CORN-113</t>
  </si>
  <si>
    <t>CORN-114</t>
  </si>
  <si>
    <t>Users shall be able to generate data</t>
  </si>
  <si>
    <t>CORN-115</t>
  </si>
  <si>
    <t>CORN-116</t>
  </si>
  <si>
    <t>CORN-117</t>
  </si>
  <si>
    <t>CORN-118</t>
  </si>
  <si>
    <t>The system shall allow users to update data</t>
  </si>
  <si>
    <t>CORN-119</t>
  </si>
  <si>
    <t>The system shall provide functionality to manage payments</t>
  </si>
  <si>
    <t>CORN-120</t>
  </si>
  <si>
    <t>Users shall be able to process payments</t>
  </si>
  <si>
    <t>CORN-121</t>
  </si>
  <si>
    <t>The application shall support view reports</t>
  </si>
  <si>
    <t>CORN-122</t>
  </si>
  <si>
    <t>The system shall provide functionality to generate reports</t>
  </si>
  <si>
    <t>CORN-123</t>
  </si>
  <si>
    <t>The application shall support manage transactions</t>
  </si>
  <si>
    <t>CORN-124</t>
  </si>
  <si>
    <t>The system shall enable create of transactions</t>
  </si>
  <si>
    <t>CORN-125</t>
  </si>
  <si>
    <t>The application shall support delete profiles</t>
  </si>
  <si>
    <t>CORN-126</t>
  </si>
  <si>
    <t>The application shall support delete accounts</t>
  </si>
  <si>
    <t>CORN-127</t>
  </si>
  <si>
    <t>Users shall be able to view accounts</t>
  </si>
  <si>
    <t>CORN-128</t>
  </si>
  <si>
    <t>The application shall support delete transactions</t>
  </si>
  <si>
    <t>CORN-129</t>
  </si>
  <si>
    <t>The system shall provide functionality to delete data</t>
  </si>
  <si>
    <t>CORN-130</t>
  </si>
  <si>
    <t>CORN-131</t>
  </si>
  <si>
    <t>Users shall be able to delete transactions</t>
  </si>
  <si>
    <t>CORN-132</t>
  </si>
  <si>
    <t>The application shall support create profiles</t>
  </si>
  <si>
    <t>CORN-133</t>
  </si>
  <si>
    <t>CORN-134</t>
  </si>
  <si>
    <t>CORN-135</t>
  </si>
  <si>
    <t>The system shall provide functionality to generate records</t>
  </si>
  <si>
    <t>CORN-136</t>
  </si>
  <si>
    <t>CORN-137</t>
  </si>
  <si>
    <t>CORN-138</t>
  </si>
  <si>
    <t>The system shall enable view of accounts</t>
  </si>
  <si>
    <t>CORN-139</t>
  </si>
  <si>
    <t>The system shall provide functionality to generate accounts</t>
  </si>
  <si>
    <t>CORN-140</t>
  </si>
  <si>
    <t>CORN-141</t>
  </si>
  <si>
    <t>The system shall allow users to manage reports</t>
  </si>
  <si>
    <t>CORN-142</t>
  </si>
  <si>
    <t>The system shall provide functionality to view orders</t>
  </si>
  <si>
    <t>CORN-143</t>
  </si>
  <si>
    <t>The application shall support update profiles</t>
  </si>
  <si>
    <t>CORN-144</t>
  </si>
  <si>
    <t>The system shall allow users to manage payments</t>
  </si>
  <si>
    <t>CORN-145</t>
  </si>
  <si>
    <t>Users shall be able to update reports</t>
  </si>
  <si>
    <t>CORN-146</t>
  </si>
  <si>
    <t>The system shall enable process of transactions</t>
  </si>
  <si>
    <t>CORN-147</t>
  </si>
  <si>
    <t>The system shall enable update of payments</t>
  </si>
  <si>
    <t>CORN-148</t>
  </si>
  <si>
    <t>The system shall provide functionality to process profiles</t>
  </si>
  <si>
    <t>CORN-149</t>
  </si>
  <si>
    <t>CORN-150</t>
  </si>
  <si>
    <t>The system shall provide functionality to view accounts</t>
  </si>
  <si>
    <t>CORN-151</t>
  </si>
  <si>
    <t>The system shall provide functionality to validate transactions</t>
  </si>
  <si>
    <t>CORN-152</t>
  </si>
  <si>
    <t>CORN-153</t>
  </si>
  <si>
    <t>The system shall allow users to process accounts</t>
  </si>
  <si>
    <t>CORN-154</t>
  </si>
  <si>
    <t>The system shall enable update of accounts</t>
  </si>
  <si>
    <t>CORN-155</t>
  </si>
  <si>
    <t>The system shall provide functionality to view transactions</t>
  </si>
  <si>
    <t>CORN-156</t>
  </si>
  <si>
    <t>The system shall allow users to update transactions</t>
  </si>
  <si>
    <t>CORN-157</t>
  </si>
  <si>
    <t>CORN-158</t>
  </si>
  <si>
    <t>The application shall support validate data</t>
  </si>
  <si>
    <t>CORN-159</t>
  </si>
  <si>
    <t>Users shall be able to update records</t>
  </si>
  <si>
    <t>CORN-160</t>
  </si>
  <si>
    <t>The system shall enable view of records</t>
  </si>
  <si>
    <t>CORN-161</t>
  </si>
  <si>
    <t>The system shall enable delete of profiles</t>
  </si>
  <si>
    <t>CORN-162</t>
  </si>
  <si>
    <t>The system shall enable process of payments</t>
  </si>
  <si>
    <t>CORN-163</t>
  </si>
  <si>
    <t>CORN-164</t>
  </si>
  <si>
    <t>The system shall provide functionality to process transactions</t>
  </si>
  <si>
    <t>CORN-165</t>
  </si>
  <si>
    <t>The system shall provide functionality to delete reports</t>
  </si>
  <si>
    <t>CORN-166</t>
  </si>
  <si>
    <t>Users shall be able to manage profiles</t>
  </si>
  <si>
    <t>CORN-167</t>
  </si>
  <si>
    <t>CORN-168</t>
  </si>
  <si>
    <t>CORN-169</t>
  </si>
  <si>
    <t>The system shall enable delete of accounts</t>
  </si>
  <si>
    <t>CORN-170</t>
  </si>
  <si>
    <t>The application shall support validate accounts</t>
  </si>
  <si>
    <t>CORN-171</t>
  </si>
  <si>
    <t>CORN-172</t>
  </si>
  <si>
    <t>CORN-173</t>
  </si>
  <si>
    <t>CORN-174</t>
  </si>
  <si>
    <t>The system shall enable delete of transactions</t>
  </si>
  <si>
    <t>CORN-175</t>
  </si>
  <si>
    <t>CORN-176</t>
  </si>
  <si>
    <t>CORN-177</t>
  </si>
  <si>
    <t>The application shall support generate accounts</t>
  </si>
  <si>
    <t>CORN-178</t>
  </si>
  <si>
    <t>The system shall allow users to generate payments</t>
  </si>
  <si>
    <t>CORN-179</t>
  </si>
  <si>
    <t>CORN-180</t>
  </si>
  <si>
    <t>CORN-181</t>
  </si>
  <si>
    <t>Users shall be able to create profiles</t>
  </si>
  <si>
    <t>CORN-182</t>
  </si>
  <si>
    <t>The application shall support generate reports</t>
  </si>
  <si>
    <t>CORN-183</t>
  </si>
  <si>
    <t>The system shall allow users to create reports</t>
  </si>
  <si>
    <t>CORN-184</t>
  </si>
  <si>
    <t>The system shall provide functionality to validate profiles</t>
  </si>
  <si>
    <t>CORN-185</t>
  </si>
  <si>
    <t>The system shall allow users to create accounts</t>
  </si>
  <si>
    <t>CORN-186</t>
  </si>
  <si>
    <t>CORN-187</t>
  </si>
  <si>
    <t>CORN-188</t>
  </si>
  <si>
    <t>The system shall allow users to manage accounts</t>
  </si>
  <si>
    <t>CORN-189</t>
  </si>
  <si>
    <t>CORN-190</t>
  </si>
  <si>
    <t>The system shall allow users to process transactions</t>
  </si>
  <si>
    <t>CORN-191</t>
  </si>
  <si>
    <t>Users shall be able to create records</t>
  </si>
  <si>
    <t>CORN-192</t>
  </si>
  <si>
    <t>CORN-193</t>
  </si>
  <si>
    <t>Users shall be able to update orders</t>
  </si>
  <si>
    <t>CORN-194</t>
  </si>
  <si>
    <t>CORN-195</t>
  </si>
  <si>
    <t>CORN-196</t>
  </si>
  <si>
    <t>The system shall enable generate of records</t>
  </si>
  <si>
    <t>CORN-197</t>
  </si>
  <si>
    <t>Users shall be able to process data</t>
  </si>
  <si>
    <t>CORN-198</t>
  </si>
  <si>
    <t>The application shall support manage data</t>
  </si>
  <si>
    <t>CORN-199</t>
  </si>
  <si>
    <t>The system shall allow users to delete profiles</t>
  </si>
  <si>
    <t>CORN-200</t>
  </si>
  <si>
    <t>CORN-201</t>
  </si>
  <si>
    <t>The system shall provide functionality to manage transactions</t>
  </si>
  <si>
    <t>CORN-202</t>
  </si>
  <si>
    <t>The system shall allow users to process data</t>
  </si>
  <si>
    <t>CORN-203</t>
  </si>
  <si>
    <t>CORN-204</t>
  </si>
  <si>
    <t>The system shall enable manage of reports</t>
  </si>
  <si>
    <t>CORN-205</t>
  </si>
  <si>
    <t>CORN-206</t>
  </si>
  <si>
    <t>CORN-207</t>
  </si>
  <si>
    <t>CORN-208</t>
  </si>
  <si>
    <t>CORN-209</t>
  </si>
  <si>
    <t>The system shall provide functionality to create profiles</t>
  </si>
  <si>
    <t>CORN-210</t>
  </si>
  <si>
    <t>CORN-211</t>
  </si>
  <si>
    <t>CORN-212</t>
  </si>
  <si>
    <t>CORN-213</t>
  </si>
  <si>
    <t>CORN-214</t>
  </si>
  <si>
    <t>The system shall enable generate of orders</t>
  </si>
  <si>
    <t>CORN-215</t>
  </si>
  <si>
    <t>Users shall be able to manage orders</t>
  </si>
  <si>
    <t>CORN-216</t>
  </si>
  <si>
    <t>CORN-217</t>
  </si>
  <si>
    <t>CORN-218</t>
  </si>
  <si>
    <t>The system shall provide functionality to create reports</t>
  </si>
  <si>
    <t>CORN-219</t>
  </si>
  <si>
    <t>CORN-220</t>
  </si>
  <si>
    <t>CORN-221</t>
  </si>
  <si>
    <t>CORN-222</t>
  </si>
  <si>
    <t>CORN-223</t>
  </si>
  <si>
    <t>CORN-224</t>
  </si>
  <si>
    <t>CORN-225</t>
  </si>
  <si>
    <t>CORN-226</t>
  </si>
  <si>
    <t>The system shall allow users to validate profiles</t>
  </si>
  <si>
    <t>CORN-227</t>
  </si>
  <si>
    <t>The system shall provide functionality to view reports</t>
  </si>
  <si>
    <t>CORN-228</t>
  </si>
  <si>
    <t>CORN-229</t>
  </si>
  <si>
    <t>Users shall be able to view profiles</t>
  </si>
  <si>
    <t>CORN-230</t>
  </si>
  <si>
    <t>The system shall provide functionality to process orders</t>
  </si>
  <si>
    <t>CORN-231</t>
  </si>
  <si>
    <t>The system shall allow users to generate reports</t>
  </si>
  <si>
    <t>CORN-232</t>
  </si>
  <si>
    <t>CORN-233</t>
  </si>
  <si>
    <t>CORN-234</t>
  </si>
  <si>
    <t>CORN-235</t>
  </si>
  <si>
    <t>CORN-236</t>
  </si>
  <si>
    <t>Users shall be able to validate payments</t>
  </si>
  <si>
    <t>CORN-237</t>
  </si>
  <si>
    <t>The system shall enable create of records</t>
  </si>
  <si>
    <t>CORN-238</t>
  </si>
  <si>
    <t>CORN-239</t>
  </si>
  <si>
    <t>CORN-240</t>
  </si>
  <si>
    <t>CORN-241</t>
  </si>
  <si>
    <t>The system shall provide functionality to validate accounts</t>
  </si>
  <si>
    <t>CORN-242</t>
  </si>
  <si>
    <t>Users shall be able to create payments</t>
  </si>
  <si>
    <t>CORN-243</t>
  </si>
  <si>
    <t>The application shall support manage profiles</t>
  </si>
  <si>
    <t>CORN-244</t>
  </si>
  <si>
    <t>CORN-245</t>
  </si>
  <si>
    <t>Users shall be able to generate profiles</t>
  </si>
  <si>
    <t>CORN-246</t>
  </si>
  <si>
    <t>CORN-247</t>
  </si>
  <si>
    <t>CORN-248</t>
  </si>
  <si>
    <t>CORN-249</t>
  </si>
  <si>
    <t>CORN-250</t>
  </si>
  <si>
    <t>The application shall support process accounts</t>
  </si>
  <si>
    <t>CORN-251</t>
  </si>
  <si>
    <t>CORN-252</t>
  </si>
  <si>
    <t>CORN-253</t>
  </si>
  <si>
    <t>CORN-254</t>
  </si>
  <si>
    <t>The application shall support validate orders</t>
  </si>
  <si>
    <t>CORN-255</t>
  </si>
  <si>
    <t>CORN-256</t>
  </si>
  <si>
    <t>CORN-257</t>
  </si>
  <si>
    <t>Users shall be able to manage reports</t>
  </si>
  <si>
    <t>CORN-258</t>
  </si>
  <si>
    <t>CORN-259</t>
  </si>
  <si>
    <t>The system shall provide functionality to manage accounts</t>
  </si>
  <si>
    <t>CORN-260</t>
  </si>
  <si>
    <t>CORN-261</t>
  </si>
  <si>
    <t>CORN-262</t>
  </si>
  <si>
    <t>CORN-263</t>
  </si>
  <si>
    <t>Users shall be able to manage accounts</t>
  </si>
  <si>
    <t>CORN-264</t>
  </si>
  <si>
    <t>CORN-265</t>
  </si>
  <si>
    <t>CORN-266</t>
  </si>
  <si>
    <t>The system shall enable view of orders</t>
  </si>
  <si>
    <t>CORN-267</t>
  </si>
  <si>
    <t>CORN-268</t>
  </si>
  <si>
    <t>CORN-269</t>
  </si>
  <si>
    <t>The system shall provide functionality to manage reports</t>
  </si>
  <si>
    <t>CORN-270</t>
  </si>
  <si>
    <t>CORN-271</t>
  </si>
  <si>
    <t>The system shall enable update of reports</t>
  </si>
  <si>
    <t>CORN-272</t>
  </si>
  <si>
    <t>CORN-273</t>
  </si>
  <si>
    <t>The system shall allow users to manage orders</t>
  </si>
  <si>
    <t>CORN-274</t>
  </si>
  <si>
    <t>CORN-275</t>
  </si>
  <si>
    <t>CORN-276</t>
  </si>
  <si>
    <t>The application shall support generate transactions</t>
  </si>
  <si>
    <t>CORN-277</t>
  </si>
  <si>
    <t>The system shall provide functionality to update records</t>
  </si>
  <si>
    <t>CORN-278</t>
  </si>
  <si>
    <t>CORN-279</t>
  </si>
  <si>
    <t>The system shall allow users to view profiles</t>
  </si>
  <si>
    <t>CORN-280</t>
  </si>
  <si>
    <t>CORN-281</t>
  </si>
  <si>
    <t>The system shall provide functionality to process data</t>
  </si>
  <si>
    <t>CORN-282</t>
  </si>
  <si>
    <t>CORN-283</t>
  </si>
  <si>
    <t>The application shall support update reports</t>
  </si>
  <si>
    <t>CORN-284</t>
  </si>
  <si>
    <t>CORN-285</t>
  </si>
  <si>
    <t>CORN-286</t>
  </si>
  <si>
    <t>CORN-287</t>
  </si>
  <si>
    <t>The system shall enable view of profiles</t>
  </si>
  <si>
    <t>CORN-288</t>
  </si>
  <si>
    <t>The application shall support process data</t>
  </si>
  <si>
    <t>CORN-289</t>
  </si>
  <si>
    <t>Users shall be able to view transactions</t>
  </si>
  <si>
    <t>CORN-290</t>
  </si>
  <si>
    <t>CORN-291</t>
  </si>
  <si>
    <t>CORN-292</t>
  </si>
  <si>
    <t>Users shall be able to delete data</t>
  </si>
  <si>
    <t>CORN-293</t>
  </si>
  <si>
    <t>The system shall enable manage of data</t>
  </si>
  <si>
    <t>CORN-294</t>
  </si>
  <si>
    <t>CORN-295</t>
  </si>
  <si>
    <t>CORN-296</t>
  </si>
  <si>
    <t>The system shall enable create of data</t>
  </si>
  <si>
    <t>CORN-297</t>
  </si>
  <si>
    <t>The system shall enable update of data</t>
  </si>
  <si>
    <t>CORN-298</t>
  </si>
  <si>
    <t>CORN-299</t>
  </si>
  <si>
    <t>CORN-300</t>
  </si>
  <si>
    <t>CORN-301</t>
  </si>
  <si>
    <t>The system shall provide functionality to create orders</t>
  </si>
  <si>
    <t>CORN-302</t>
  </si>
  <si>
    <t>CORN-303</t>
  </si>
  <si>
    <t>CORN-304</t>
  </si>
  <si>
    <t>CORN-305</t>
  </si>
  <si>
    <t>CORN-306</t>
  </si>
  <si>
    <t>CORN-307</t>
  </si>
  <si>
    <t>CORN-308</t>
  </si>
  <si>
    <t>The system shall provide functionality to update payments</t>
  </si>
  <si>
    <t>CORN-309</t>
  </si>
  <si>
    <t>CORN-310</t>
  </si>
  <si>
    <t>The application shall support update orders</t>
  </si>
  <si>
    <t>CORN-311</t>
  </si>
  <si>
    <t>CORN-312</t>
  </si>
  <si>
    <t>CORN-313</t>
  </si>
  <si>
    <t>CORN-314</t>
  </si>
  <si>
    <t>CORN-315</t>
  </si>
  <si>
    <t>CORN-316</t>
  </si>
  <si>
    <t>The system shall provide functionality to manage profiles</t>
  </si>
  <si>
    <t>CORN-317</t>
  </si>
  <si>
    <t>CORN-318</t>
  </si>
  <si>
    <t>CORN-319</t>
  </si>
  <si>
    <t>CORN-320</t>
  </si>
  <si>
    <t>CORN-321</t>
  </si>
  <si>
    <t>CORN-322</t>
  </si>
  <si>
    <t>CORN-323</t>
  </si>
  <si>
    <t>The system shall allow users to validate orders</t>
  </si>
  <si>
    <t>CORN-324</t>
  </si>
  <si>
    <t>The system shall provide functionality to create accounts</t>
  </si>
  <si>
    <t>CORN-325</t>
  </si>
  <si>
    <t>CORN-326</t>
  </si>
  <si>
    <t>Users shall be able to process records</t>
  </si>
  <si>
    <t>CORN-327</t>
  </si>
  <si>
    <t>CORN-328</t>
  </si>
  <si>
    <t>The application shall support view orders</t>
  </si>
  <si>
    <t>CORN-329</t>
  </si>
  <si>
    <t>CORN-330</t>
  </si>
  <si>
    <t>The system shall allow users to manage profiles</t>
  </si>
  <si>
    <t>CORN-331</t>
  </si>
  <si>
    <t>CORN-332</t>
  </si>
  <si>
    <t>CORN-333</t>
  </si>
  <si>
    <t>The system shall enable delete of records</t>
  </si>
  <si>
    <t>CORN-334</t>
  </si>
  <si>
    <t>The system shall provide functionality to generate orders</t>
  </si>
  <si>
    <t>CORN-335</t>
  </si>
  <si>
    <t>CORN-336</t>
  </si>
  <si>
    <t>The system shall allow users to process reports</t>
  </si>
  <si>
    <t>CORN-337</t>
  </si>
  <si>
    <t>CORN-338</t>
  </si>
  <si>
    <t>The system shall provide functionality to process reports</t>
  </si>
  <si>
    <t>CORN-339</t>
  </si>
  <si>
    <t>The system shall enable generate of reports</t>
  </si>
  <si>
    <t>CORN-340</t>
  </si>
  <si>
    <t>The system shall enable process of data</t>
  </si>
  <si>
    <t>CORN-341</t>
  </si>
  <si>
    <t>CORN-342</t>
  </si>
  <si>
    <t>The system shall enable delete of reports</t>
  </si>
  <si>
    <t>CORN-343</t>
  </si>
  <si>
    <t>The system shall provide functionality to update data</t>
  </si>
  <si>
    <t>CORN-344</t>
  </si>
  <si>
    <t>CORN-345</t>
  </si>
  <si>
    <t>CORN-346</t>
  </si>
  <si>
    <t>The system shall allow users to delete payments</t>
  </si>
  <si>
    <t>CORN-347</t>
  </si>
  <si>
    <t>CORN-348</t>
  </si>
  <si>
    <t>CORN-349</t>
  </si>
  <si>
    <t>CORN-350</t>
  </si>
  <si>
    <t>The system shall enable manage of transactions</t>
  </si>
  <si>
    <t>CORN-351</t>
  </si>
  <si>
    <t>CORN-352</t>
  </si>
  <si>
    <t>CORN-353</t>
  </si>
  <si>
    <t>CORN-354</t>
  </si>
  <si>
    <t>The system shall provide functionality to delete orders</t>
  </si>
  <si>
    <t>CORN-355</t>
  </si>
  <si>
    <t>CORN-356</t>
  </si>
  <si>
    <t>The application shall support view records</t>
  </si>
  <si>
    <t>CORN-357</t>
  </si>
  <si>
    <t>CORN-358</t>
  </si>
  <si>
    <t>CORN-359</t>
  </si>
  <si>
    <t>CORN-360</t>
  </si>
  <si>
    <t>CORN-361</t>
  </si>
  <si>
    <t>CORN-362</t>
  </si>
  <si>
    <t>Users shall be able to delete reports</t>
  </si>
  <si>
    <t>CORN-363</t>
  </si>
  <si>
    <t>The system shall enable create of orders</t>
  </si>
  <si>
    <t>CORN-364</t>
  </si>
  <si>
    <t>CORN-365</t>
  </si>
  <si>
    <t>The application shall support update accounts</t>
  </si>
  <si>
    <t>CORN-366</t>
  </si>
  <si>
    <t>CORN-367</t>
  </si>
  <si>
    <t>The system shall enable delete of orders</t>
  </si>
  <si>
    <t>CORN-368</t>
  </si>
  <si>
    <t>The application shall support generate records</t>
  </si>
  <si>
    <t>CORN-369</t>
  </si>
  <si>
    <t>Users shall be able to generate accounts</t>
  </si>
  <si>
    <t>CORN-370</t>
  </si>
  <si>
    <t>CORN-371</t>
  </si>
  <si>
    <t>CORN-372</t>
  </si>
  <si>
    <t>CORN-373</t>
  </si>
  <si>
    <t>CORN-374</t>
  </si>
  <si>
    <t>CORN-375</t>
  </si>
  <si>
    <t>The system shall enable process of accounts</t>
  </si>
  <si>
    <t>CORN-376</t>
  </si>
  <si>
    <t>CORN-377</t>
  </si>
  <si>
    <t>CORN-378</t>
  </si>
  <si>
    <t>CORN-379</t>
  </si>
  <si>
    <t>The system shall allow users to generate records</t>
  </si>
  <si>
    <t>CORN-380</t>
  </si>
  <si>
    <t>CORN-381</t>
  </si>
  <si>
    <t>Users shall be able to validate profiles</t>
  </si>
  <si>
    <t>CORN-382</t>
  </si>
  <si>
    <t>CORN-383</t>
  </si>
  <si>
    <t>CORN-384</t>
  </si>
  <si>
    <t>CORN-385</t>
  </si>
  <si>
    <t>CORN-386</t>
  </si>
  <si>
    <t>CORN-387</t>
  </si>
  <si>
    <t>CORN-388</t>
  </si>
  <si>
    <t>CORN-389</t>
  </si>
  <si>
    <t>CORN-390</t>
  </si>
  <si>
    <t>CORN-391</t>
  </si>
  <si>
    <t>The system shall allow users to view reports</t>
  </si>
  <si>
    <t>CORN-392</t>
  </si>
  <si>
    <t>CORN-393</t>
  </si>
  <si>
    <t>The system shall enable view of payments</t>
  </si>
  <si>
    <t>CORN-394</t>
  </si>
  <si>
    <t>CORN-395</t>
  </si>
  <si>
    <t>Users shall be able to view records</t>
  </si>
  <si>
    <t>CORN-396</t>
  </si>
  <si>
    <t>CORN-397</t>
  </si>
  <si>
    <t>CORN-398</t>
  </si>
  <si>
    <t>The system shall provide functionality to create data</t>
  </si>
  <si>
    <t>CORN-399</t>
  </si>
  <si>
    <t>The system shall enable process of reports</t>
  </si>
  <si>
    <t>CORN-400</t>
  </si>
  <si>
    <t>The system shall allow users to view accounts</t>
  </si>
  <si>
    <t>CORN-401</t>
  </si>
  <si>
    <t>Users shall be able to validate data</t>
  </si>
  <si>
    <t>CORN-402</t>
  </si>
  <si>
    <t>The system shall allow users to validate reports</t>
  </si>
  <si>
    <t>CORN-403</t>
  </si>
  <si>
    <t>CORN-404</t>
  </si>
  <si>
    <t>CORN-405</t>
  </si>
  <si>
    <t>CORN-406</t>
  </si>
  <si>
    <t>CORN-407</t>
  </si>
  <si>
    <t>CORN-408</t>
  </si>
  <si>
    <t>CORN-409</t>
  </si>
  <si>
    <t>CORN-410</t>
  </si>
  <si>
    <t>The system shall enable manage of profiles</t>
  </si>
  <si>
    <t>CORN-411</t>
  </si>
  <si>
    <t>CORN-412</t>
  </si>
  <si>
    <t>The system shall allow users to view data</t>
  </si>
  <si>
    <t>CORN-413</t>
  </si>
  <si>
    <t>The system shall provide functionality to view records</t>
  </si>
  <si>
    <t>CORN-414</t>
  </si>
  <si>
    <t>CORN-415</t>
  </si>
  <si>
    <t>CORN-416</t>
  </si>
  <si>
    <t>Users shall be able to update data</t>
  </si>
  <si>
    <t>CORN-417</t>
  </si>
  <si>
    <t>CORN-418</t>
  </si>
  <si>
    <t>CORN-419</t>
  </si>
  <si>
    <t>The system shall enable validate of payments</t>
  </si>
  <si>
    <t>CORN-420</t>
  </si>
  <si>
    <t>CORN-421</t>
  </si>
  <si>
    <t>CORN-422</t>
  </si>
  <si>
    <t>The system shall enable update of transactions</t>
  </si>
  <si>
    <t>CORN-423</t>
  </si>
  <si>
    <t>CORN-424</t>
  </si>
  <si>
    <t>CORN-425</t>
  </si>
  <si>
    <t>The system shall allow users to validate records</t>
  </si>
  <si>
    <t>CORN-426</t>
  </si>
  <si>
    <t>CORN-427</t>
  </si>
  <si>
    <t>The application shall support delete orders</t>
  </si>
  <si>
    <t>CORN-428</t>
  </si>
  <si>
    <t>The system shall allow users to process records</t>
  </si>
  <si>
    <t>CORN-429</t>
  </si>
  <si>
    <t>CORN-430</t>
  </si>
  <si>
    <t>CORN-431</t>
  </si>
  <si>
    <t>CORN-432</t>
  </si>
  <si>
    <t>CORN-433</t>
  </si>
  <si>
    <t>The system shall provide functionality to delete records</t>
  </si>
  <si>
    <t>CORN-434</t>
  </si>
  <si>
    <t>CORN-435</t>
  </si>
  <si>
    <t>CORN-436</t>
  </si>
  <si>
    <t>The application shall support process transactions</t>
  </si>
  <si>
    <t>CORN-437</t>
  </si>
  <si>
    <t>CORN-438</t>
  </si>
  <si>
    <t>CORN-439</t>
  </si>
  <si>
    <t>CORN-440</t>
  </si>
  <si>
    <t>The application shall support validate records</t>
  </si>
  <si>
    <t>CORN-441</t>
  </si>
  <si>
    <t>The system shall allow users to manage records</t>
  </si>
  <si>
    <t>CORN-442</t>
  </si>
  <si>
    <t>CORN-443</t>
  </si>
  <si>
    <t>CORN-444</t>
  </si>
  <si>
    <t>CORN-445</t>
  </si>
  <si>
    <t>CORN-446</t>
  </si>
  <si>
    <t>The system shall enable manage of orders</t>
  </si>
  <si>
    <t>CORN-447</t>
  </si>
  <si>
    <t>CORN-448</t>
  </si>
  <si>
    <t>CORN-449</t>
  </si>
  <si>
    <t>CORN-450</t>
  </si>
  <si>
    <t>CORN-451</t>
  </si>
  <si>
    <t>CORN-452</t>
  </si>
  <si>
    <t>The application shall support update data</t>
  </si>
  <si>
    <t>CORN-453</t>
  </si>
  <si>
    <t>CORN-454</t>
  </si>
  <si>
    <t>The application shall support validate transactions</t>
  </si>
  <si>
    <t>CORN-455</t>
  </si>
  <si>
    <t>CORN-456</t>
  </si>
  <si>
    <t>CORN-457</t>
  </si>
  <si>
    <t>CORN-458</t>
  </si>
  <si>
    <t>CORN-459</t>
  </si>
  <si>
    <t>CORN-460</t>
  </si>
  <si>
    <t>The system shall provide functionality to validate records</t>
  </si>
  <si>
    <t>CORN-461</t>
  </si>
  <si>
    <t>CORN-462</t>
  </si>
  <si>
    <t>The system shall provide functionality to validate reports</t>
  </si>
  <si>
    <t>CORN-463</t>
  </si>
  <si>
    <t>CORN-464</t>
  </si>
  <si>
    <t>CORN-465</t>
  </si>
  <si>
    <t>CORN-466</t>
  </si>
  <si>
    <t>CORN-467</t>
  </si>
  <si>
    <t>The application shall support update transactions</t>
  </si>
  <si>
    <t>CORN-468</t>
  </si>
  <si>
    <t>CORN-469</t>
  </si>
  <si>
    <t>CORN-470</t>
  </si>
  <si>
    <t>CORN-471</t>
  </si>
  <si>
    <t>The system shall allow users to delete data</t>
  </si>
  <si>
    <t>CORN-472</t>
  </si>
  <si>
    <t>CORN-473</t>
  </si>
  <si>
    <t>CORN-474</t>
  </si>
  <si>
    <t>CORN-475</t>
  </si>
  <si>
    <t>CORN-476</t>
  </si>
  <si>
    <t>CORN-477</t>
  </si>
  <si>
    <t>CORN-478</t>
  </si>
  <si>
    <t>CORN-479</t>
  </si>
  <si>
    <t>The system shall enable create of profiles</t>
  </si>
  <si>
    <t>CORN-480</t>
  </si>
  <si>
    <t>CORN-481</t>
  </si>
  <si>
    <t>CORN-482</t>
  </si>
  <si>
    <t>The system shall provide functionality to process payments</t>
  </si>
  <si>
    <t>CORN-483</t>
  </si>
  <si>
    <t>CORN-484</t>
  </si>
  <si>
    <t>CORN-485</t>
  </si>
  <si>
    <t>CORN-486</t>
  </si>
  <si>
    <t>CORN-487</t>
  </si>
  <si>
    <t>The system shall enable create of accounts</t>
  </si>
  <si>
    <t>CORN-488</t>
  </si>
  <si>
    <t>CORN-489</t>
  </si>
  <si>
    <t>The system shall provide functionality to update orders</t>
  </si>
  <si>
    <t>CORN-490</t>
  </si>
  <si>
    <t>CORN-491</t>
  </si>
  <si>
    <t>CORN-492</t>
  </si>
  <si>
    <t>CORN-493</t>
  </si>
  <si>
    <t>CORN-494</t>
  </si>
  <si>
    <t>CORN-495</t>
  </si>
  <si>
    <t>CORN-496</t>
  </si>
  <si>
    <t>The system shall enable generate of accounts</t>
  </si>
  <si>
    <t>CORN-497</t>
  </si>
  <si>
    <t>CORN-498</t>
  </si>
  <si>
    <t>CORN-499</t>
  </si>
  <si>
    <t>CORN-500</t>
  </si>
  <si>
    <t>CORN-501</t>
  </si>
  <si>
    <t>CORN-502</t>
  </si>
  <si>
    <t>The system shall allow users to update reports</t>
  </si>
  <si>
    <t>CORN-503</t>
  </si>
  <si>
    <t>CORN-504</t>
  </si>
  <si>
    <t>The application shall support create reports</t>
  </si>
  <si>
    <t>CORN-505</t>
  </si>
  <si>
    <t>CORN-506</t>
  </si>
  <si>
    <t>CORN-507</t>
  </si>
  <si>
    <t>CORN-508</t>
  </si>
  <si>
    <t>CORN-509</t>
  </si>
  <si>
    <t>CORN-510</t>
  </si>
  <si>
    <t>CORN-511</t>
  </si>
  <si>
    <t>CORN-512</t>
  </si>
  <si>
    <t>CORN-513</t>
  </si>
  <si>
    <t>CORN-514</t>
  </si>
  <si>
    <t>CORN-515</t>
  </si>
  <si>
    <t>CORN-516</t>
  </si>
  <si>
    <t>CORN-517</t>
  </si>
  <si>
    <t>The system shall allow users to process payments</t>
  </si>
  <si>
    <t>CORN-518</t>
  </si>
  <si>
    <t>CORN-519</t>
  </si>
  <si>
    <t>The system shall enable validate of transactions</t>
  </si>
  <si>
    <t>CORN-520</t>
  </si>
  <si>
    <t>CORN-521</t>
  </si>
  <si>
    <t>CORN-522</t>
  </si>
  <si>
    <t>CORN-523</t>
  </si>
  <si>
    <t>CORN-524</t>
  </si>
  <si>
    <t>CORN-525</t>
  </si>
  <si>
    <t>CORN-526</t>
  </si>
  <si>
    <t>CORN-527</t>
  </si>
  <si>
    <t>Users shall be able to create data</t>
  </si>
  <si>
    <t>CORN-528</t>
  </si>
  <si>
    <t>CORN-529</t>
  </si>
  <si>
    <t>The system shall enable view of data</t>
  </si>
  <si>
    <t>CORN-530</t>
  </si>
  <si>
    <t>Users shall be able to view reports</t>
  </si>
  <si>
    <t>CORN-531</t>
  </si>
  <si>
    <t>The system shall allow users to update accounts</t>
  </si>
  <si>
    <t>CORN-532</t>
  </si>
  <si>
    <t>CORN-533</t>
  </si>
  <si>
    <t>CORN-534</t>
  </si>
  <si>
    <t>CORN-535</t>
  </si>
  <si>
    <t>The system shall provide functionality to update transactions</t>
  </si>
  <si>
    <t>CORN-536</t>
  </si>
  <si>
    <t>CORN-537</t>
  </si>
  <si>
    <t>CORN-538</t>
  </si>
  <si>
    <t>CORN-539</t>
  </si>
  <si>
    <t>CORN-540</t>
  </si>
  <si>
    <t>The application shall support delete records</t>
  </si>
  <si>
    <t>CORN-541</t>
  </si>
  <si>
    <t>CORN-542</t>
  </si>
  <si>
    <t>CORN-543</t>
  </si>
  <si>
    <t>CORN-544</t>
  </si>
  <si>
    <t>CORN-545</t>
  </si>
  <si>
    <t>CORN-546</t>
  </si>
  <si>
    <t>CORN-547</t>
  </si>
  <si>
    <t>CORN-548</t>
  </si>
  <si>
    <t>CORN-549</t>
  </si>
  <si>
    <t>CORN-550</t>
  </si>
  <si>
    <t>CORN-551</t>
  </si>
  <si>
    <t>The application shall support generate data</t>
  </si>
  <si>
    <t>CORN-552</t>
  </si>
  <si>
    <t>CORN-553</t>
  </si>
  <si>
    <t>CORN-554</t>
  </si>
  <si>
    <t>CORN-555</t>
  </si>
  <si>
    <t>The system shall allow users to validate data</t>
  </si>
  <si>
    <t>CORN-556</t>
  </si>
  <si>
    <t>CORN-557</t>
  </si>
  <si>
    <t>The system shall enable generate of profiles</t>
  </si>
  <si>
    <t>CORN-558</t>
  </si>
  <si>
    <t>CORN-559</t>
  </si>
  <si>
    <t>CORN-560</t>
  </si>
  <si>
    <t>CORN-561</t>
  </si>
  <si>
    <t>CORN-562</t>
  </si>
  <si>
    <t>The application shall support view profiles</t>
  </si>
  <si>
    <t>CORN-563</t>
  </si>
  <si>
    <t>CORN-564</t>
  </si>
  <si>
    <t>CORN-565</t>
  </si>
  <si>
    <t>CORN-566</t>
  </si>
  <si>
    <t>CORN-567</t>
  </si>
  <si>
    <t>CORN-568</t>
  </si>
  <si>
    <t>CORN-569</t>
  </si>
  <si>
    <t>Users shall be able to process transactions</t>
  </si>
  <si>
    <t>CORN-570</t>
  </si>
  <si>
    <t>CORN-571</t>
  </si>
  <si>
    <t>CORN-572</t>
  </si>
  <si>
    <t>CORN-573</t>
  </si>
  <si>
    <t>CORN-574</t>
  </si>
  <si>
    <t>CORN-575</t>
  </si>
  <si>
    <t>CORN-576</t>
  </si>
  <si>
    <t>The system shall enable delete of payments</t>
  </si>
  <si>
    <t>CORN-577</t>
  </si>
  <si>
    <t>CORN-578</t>
  </si>
  <si>
    <t>CORN-579</t>
  </si>
  <si>
    <t>CORN-580</t>
  </si>
  <si>
    <t>CORN-581</t>
  </si>
  <si>
    <t>CORN-582</t>
  </si>
  <si>
    <t>CORN-583</t>
  </si>
  <si>
    <t>CORN-584</t>
  </si>
  <si>
    <t>CORN-585</t>
  </si>
  <si>
    <t>CORN-586</t>
  </si>
  <si>
    <t>CORN-587</t>
  </si>
  <si>
    <t>CORN-588</t>
  </si>
  <si>
    <t>CORN-589</t>
  </si>
  <si>
    <t>CORN-590</t>
  </si>
  <si>
    <t>The system shall enable update of profiles</t>
  </si>
  <si>
    <t>CORN-591</t>
  </si>
  <si>
    <t>Users shall be able to process orders</t>
  </si>
  <si>
    <t>CORN-592</t>
  </si>
  <si>
    <t>CORN-593</t>
  </si>
  <si>
    <t>CORN-594</t>
  </si>
  <si>
    <t>CORN-595</t>
  </si>
  <si>
    <t>CORN-596</t>
  </si>
  <si>
    <t>CORN-597</t>
  </si>
  <si>
    <t>CORN-598</t>
  </si>
  <si>
    <t>CORN-599</t>
  </si>
  <si>
    <t>CORN-600</t>
  </si>
  <si>
    <t>CORN-601</t>
  </si>
  <si>
    <t>The system shall allow users to update orders</t>
  </si>
  <si>
    <t>CORN-602</t>
  </si>
  <si>
    <t>CORN-603</t>
  </si>
  <si>
    <t>CORN-604</t>
  </si>
  <si>
    <t>CORN-605</t>
  </si>
  <si>
    <t>CORN-606</t>
  </si>
  <si>
    <t>CORN-607</t>
  </si>
  <si>
    <t>CORN-608</t>
  </si>
  <si>
    <t>CORN-609</t>
  </si>
  <si>
    <t>CORN-610</t>
  </si>
  <si>
    <t>CORN-611</t>
  </si>
  <si>
    <t>CORN-612</t>
  </si>
  <si>
    <t>CORN-613</t>
  </si>
  <si>
    <t>CORN-614</t>
  </si>
  <si>
    <t>CORN-615</t>
  </si>
  <si>
    <t>CORN-616</t>
  </si>
  <si>
    <t>CORN-617</t>
  </si>
  <si>
    <t>Users shall be able to create accounts</t>
  </si>
  <si>
    <t>CORN-618</t>
  </si>
  <si>
    <t>CORN-619</t>
  </si>
  <si>
    <t>CORN-620</t>
  </si>
  <si>
    <t>CORN-621</t>
  </si>
  <si>
    <t>CORN-622</t>
  </si>
  <si>
    <t>CORN-623</t>
  </si>
  <si>
    <t>CORN-624</t>
  </si>
  <si>
    <t>CORN-625</t>
  </si>
  <si>
    <t>CORN-626</t>
  </si>
  <si>
    <t>The system shall provide functionality to delete accounts</t>
  </si>
  <si>
    <t>CORN-627</t>
  </si>
  <si>
    <t>CORN-628</t>
  </si>
  <si>
    <t>CORN-629</t>
  </si>
  <si>
    <t>CORN-630</t>
  </si>
  <si>
    <t>CORN-631</t>
  </si>
  <si>
    <t>CORN-632</t>
  </si>
  <si>
    <t>CORN-633</t>
  </si>
  <si>
    <t>The system shall allow users to view orders</t>
  </si>
  <si>
    <t>CORN-634</t>
  </si>
  <si>
    <t>CORN-635</t>
  </si>
  <si>
    <t>CORN-636</t>
  </si>
  <si>
    <t>CORN-637</t>
  </si>
  <si>
    <t>CORN-638</t>
  </si>
  <si>
    <t>CORN-639</t>
  </si>
  <si>
    <t>CORN-640</t>
  </si>
  <si>
    <t>CORN-641</t>
  </si>
  <si>
    <t>CORN-642</t>
  </si>
  <si>
    <t>CORN-643</t>
  </si>
  <si>
    <t>The application shall support update payments</t>
  </si>
  <si>
    <t>CORN-644</t>
  </si>
  <si>
    <t>CORN-645</t>
  </si>
  <si>
    <t>CORN-646</t>
  </si>
  <si>
    <t>CORN-647</t>
  </si>
  <si>
    <t>CORN-648</t>
  </si>
  <si>
    <t>The application shall support create data</t>
  </si>
  <si>
    <t>CORN-649</t>
  </si>
  <si>
    <t>CORN-650</t>
  </si>
  <si>
    <t>CORN-651</t>
  </si>
  <si>
    <t>CORN-652</t>
  </si>
  <si>
    <t>CORN-653</t>
  </si>
  <si>
    <t>CORN-654</t>
  </si>
  <si>
    <t>CORN-655</t>
  </si>
  <si>
    <t>CORN-656</t>
  </si>
  <si>
    <t>CORN-657</t>
  </si>
  <si>
    <t>CORN-658</t>
  </si>
  <si>
    <t>The system shall allow users to view records</t>
  </si>
  <si>
    <t>CORN-659</t>
  </si>
  <si>
    <t>CORN-660</t>
  </si>
  <si>
    <t>CORN-661</t>
  </si>
  <si>
    <t>CORN-662</t>
  </si>
  <si>
    <t>The system shall allow users to create payments</t>
  </si>
  <si>
    <t>CORN-663</t>
  </si>
  <si>
    <t>CORN-664</t>
  </si>
  <si>
    <t>CORN-665</t>
  </si>
  <si>
    <t>CORN-666</t>
  </si>
  <si>
    <t>CORN-667</t>
  </si>
  <si>
    <t>CORN-668</t>
  </si>
  <si>
    <t>CORN-669</t>
  </si>
  <si>
    <t>CORN-670</t>
  </si>
  <si>
    <t>CORN-671</t>
  </si>
  <si>
    <t>CORN-672</t>
  </si>
  <si>
    <t>CORN-673</t>
  </si>
  <si>
    <t>CORN-674</t>
  </si>
  <si>
    <t>The system shall enable validate of accounts</t>
  </si>
  <si>
    <t>CORN-675</t>
  </si>
  <si>
    <t>CORN-676</t>
  </si>
  <si>
    <t>CORN-677</t>
  </si>
  <si>
    <t>CORN-678</t>
  </si>
  <si>
    <t>The system shall enable validate of profiles</t>
  </si>
  <si>
    <t>CORN-679</t>
  </si>
  <si>
    <t>CORN-680</t>
  </si>
  <si>
    <t>CORN-681</t>
  </si>
  <si>
    <t>CORN-682</t>
  </si>
  <si>
    <t>CORN-683</t>
  </si>
  <si>
    <t>CORN-684</t>
  </si>
  <si>
    <t>CORN-685</t>
  </si>
  <si>
    <t>CORN-686</t>
  </si>
  <si>
    <t>CORN-687</t>
  </si>
  <si>
    <t>CORN-688</t>
  </si>
  <si>
    <t>CORN-689</t>
  </si>
  <si>
    <t>CORN-690</t>
  </si>
  <si>
    <t>CORN-691</t>
  </si>
  <si>
    <t>The system shall enable manage of records</t>
  </si>
  <si>
    <t>CORN-692</t>
  </si>
  <si>
    <t>CORN-693</t>
  </si>
  <si>
    <t>CORN-694</t>
  </si>
  <si>
    <t>CORN-695</t>
  </si>
  <si>
    <t>The application shall support process records</t>
  </si>
  <si>
    <t>CORN-696</t>
  </si>
  <si>
    <t>CORN-697</t>
  </si>
  <si>
    <t>CORN-698</t>
  </si>
  <si>
    <t>CORN-699</t>
  </si>
  <si>
    <t>CORN-700</t>
  </si>
  <si>
    <t>CORN-701</t>
  </si>
  <si>
    <t>CORN-702</t>
  </si>
  <si>
    <t>CORN-703</t>
  </si>
  <si>
    <t>CORN-704</t>
  </si>
  <si>
    <t>CORN-705</t>
  </si>
  <si>
    <t>CORN-706</t>
  </si>
  <si>
    <t>CORN-707</t>
  </si>
  <si>
    <t>CORN-708</t>
  </si>
  <si>
    <t>CORN-709</t>
  </si>
  <si>
    <t>CORN-710</t>
  </si>
  <si>
    <t>CORN-711</t>
  </si>
  <si>
    <t>CORN-712</t>
  </si>
  <si>
    <t>CORN-713</t>
  </si>
  <si>
    <t>Users shall be able to generate payments</t>
  </si>
  <si>
    <t>CORN-714</t>
  </si>
  <si>
    <t>CORN-715</t>
  </si>
  <si>
    <t>CORN-716</t>
  </si>
  <si>
    <t>CORN-717</t>
  </si>
  <si>
    <t>CORN-718</t>
  </si>
  <si>
    <t>CORN-719</t>
  </si>
  <si>
    <t>CORN-720</t>
  </si>
  <si>
    <t>CORN-721</t>
  </si>
  <si>
    <t>CORN-722</t>
  </si>
  <si>
    <t>CORN-723</t>
  </si>
  <si>
    <t>The system shall respond to user requests within 30 seconds</t>
  </si>
  <si>
    <t>CORN-724</t>
  </si>
  <si>
    <t>Database queries shall execute within 30 milliseconds</t>
  </si>
  <si>
    <t>CORN-725</t>
  </si>
  <si>
    <t>The system shall respond to user requests within 2 seconds</t>
  </si>
  <si>
    <t>CORN-726</t>
  </si>
  <si>
    <t>Page load time shall not exceed 2 seconds</t>
  </si>
  <si>
    <t>CORN-727</t>
  </si>
  <si>
    <t>Database queries shall execute within 60 milliseconds</t>
  </si>
  <si>
    <t>CORN-728</t>
  </si>
  <si>
    <t>CORN-729</t>
  </si>
  <si>
    <t>Page load time shall not exceed 30 seconds</t>
  </si>
  <si>
    <t>CORN-730</t>
  </si>
  <si>
    <t>Database queries shall execute within 2 milliseconds</t>
  </si>
  <si>
    <t>CORN-731</t>
  </si>
  <si>
    <t>CORN-732</t>
  </si>
  <si>
    <t>CORN-733</t>
  </si>
  <si>
    <t>CORN-734</t>
  </si>
  <si>
    <t>The system shall respond to user requests within 60 seconds</t>
  </si>
  <si>
    <t>CORN-735</t>
  </si>
  <si>
    <t>The system shall respond to user requests within 10 seconds</t>
  </si>
  <si>
    <t>CORN-736</t>
  </si>
  <si>
    <t>CORN-737</t>
  </si>
  <si>
    <t>CORN-738</t>
  </si>
  <si>
    <t>Database queries shall execute within 5 milliseconds</t>
  </si>
  <si>
    <t>CORN-739</t>
  </si>
  <si>
    <t>CORN-740</t>
  </si>
  <si>
    <t>The system shall respond to user requests within 5 seconds</t>
  </si>
  <si>
    <t>CORN-741</t>
  </si>
  <si>
    <t>CORN-742</t>
  </si>
  <si>
    <t>CORN-743</t>
  </si>
  <si>
    <t>CORN-744</t>
  </si>
  <si>
    <t>CORN-745</t>
  </si>
  <si>
    <t>The system shall support up to 500 concurrent users</t>
  </si>
  <si>
    <t>CORN-746</t>
  </si>
  <si>
    <t>Page load time shall not exceed 5 seconds</t>
  </si>
  <si>
    <t>CORN-747</t>
  </si>
  <si>
    <t>CORN-748</t>
  </si>
  <si>
    <t>CORN-749</t>
  </si>
  <si>
    <t>CORN-750</t>
  </si>
  <si>
    <t>The system shall support up to 10000 concurrent users</t>
  </si>
  <si>
    <t>CORN-751</t>
  </si>
  <si>
    <t>CORN-752</t>
  </si>
  <si>
    <t>Page load time shall not exceed 10 seconds</t>
  </si>
  <si>
    <t>CORN-753</t>
  </si>
  <si>
    <t>CORN-754</t>
  </si>
  <si>
    <t>CORN-755</t>
  </si>
  <si>
    <t>Page load time shall not exceed 60 seconds</t>
  </si>
  <si>
    <t>CORN-756</t>
  </si>
  <si>
    <t>CORN-757</t>
  </si>
  <si>
    <t>CORN-758</t>
  </si>
  <si>
    <t>CORN-759</t>
  </si>
  <si>
    <t>CORN-760</t>
  </si>
  <si>
    <t>Database queries shall execute within 10 milliseconds</t>
  </si>
  <si>
    <t>CORN-761</t>
  </si>
  <si>
    <t>CORN-762</t>
  </si>
  <si>
    <t>CORN-763</t>
  </si>
  <si>
    <t>CORN-764</t>
  </si>
  <si>
    <t>The system shall support up to 5000 concurrent users</t>
  </si>
  <si>
    <t>CORN-765</t>
  </si>
  <si>
    <t>The system shall support up to 1000 concurrent users</t>
  </si>
  <si>
    <t>CORN-766</t>
  </si>
  <si>
    <t>CORN-767</t>
  </si>
  <si>
    <t>CORN-768</t>
  </si>
  <si>
    <t>CORN-769</t>
  </si>
  <si>
    <t>CORN-770</t>
  </si>
  <si>
    <t>CORN-771</t>
  </si>
  <si>
    <t>CORN-772</t>
  </si>
  <si>
    <t>CORN-773</t>
  </si>
  <si>
    <t>CORN-774</t>
  </si>
  <si>
    <t>CORN-775</t>
  </si>
  <si>
    <t>CORN-776</t>
  </si>
  <si>
    <t>CORN-777</t>
  </si>
  <si>
    <t>CORN-778</t>
  </si>
  <si>
    <t>CORN-779</t>
  </si>
  <si>
    <t>The system shall support up to 100 concurrent users</t>
  </si>
  <si>
    <t>CORN-780</t>
  </si>
  <si>
    <t>CORN-781</t>
  </si>
  <si>
    <t>CORN-782</t>
  </si>
  <si>
    <t>CORN-783</t>
  </si>
  <si>
    <t>CORN-784</t>
  </si>
  <si>
    <t>CORN-785</t>
  </si>
  <si>
    <t>CORN-786</t>
  </si>
  <si>
    <t>CORN-787</t>
  </si>
  <si>
    <t>CORN-788</t>
  </si>
  <si>
    <t>CORN-789</t>
  </si>
  <si>
    <t>CORN-790</t>
  </si>
  <si>
    <t>CORN-791</t>
  </si>
  <si>
    <t>CORN-792</t>
  </si>
  <si>
    <t>CORN-793</t>
  </si>
  <si>
    <t>CORN-794</t>
  </si>
  <si>
    <t>CORN-795</t>
  </si>
  <si>
    <t>CORN-796</t>
  </si>
  <si>
    <t>CORN-797</t>
  </si>
  <si>
    <t>CORN-798</t>
  </si>
  <si>
    <t>CORN-799</t>
  </si>
  <si>
    <t>CORN-800</t>
  </si>
  <si>
    <t>CORN-801</t>
  </si>
  <si>
    <t>CORN-802</t>
  </si>
  <si>
    <t>CORN-803</t>
  </si>
  <si>
    <t>CORN-804</t>
  </si>
  <si>
    <t>CORN-805</t>
  </si>
  <si>
    <t>CORN-806</t>
  </si>
  <si>
    <t>CORN-807</t>
  </si>
  <si>
    <t>CORN-808</t>
  </si>
  <si>
    <t>CORN-809</t>
  </si>
  <si>
    <t>CORN-810</t>
  </si>
  <si>
    <t>CORN-811</t>
  </si>
  <si>
    <t>CORN-812</t>
  </si>
  <si>
    <t>CORN-813</t>
  </si>
  <si>
    <t>CORN-814</t>
  </si>
  <si>
    <t>CORN-815</t>
  </si>
  <si>
    <t>CORN-816</t>
  </si>
  <si>
    <t>CORN-817</t>
  </si>
  <si>
    <t>CORN-818</t>
  </si>
  <si>
    <t>CORN-819</t>
  </si>
  <si>
    <t>CORN-820</t>
  </si>
  <si>
    <t>CORN-821</t>
  </si>
  <si>
    <t>User authentication shall require OAuth 2.0</t>
  </si>
  <si>
    <t>CORN-822</t>
  </si>
  <si>
    <t>Access control shall be implemented using JWT</t>
  </si>
  <si>
    <t>CORN-823</t>
  </si>
  <si>
    <t>Access control shall be implemented using SSL/TLS</t>
  </si>
  <si>
    <t>CORN-824</t>
  </si>
  <si>
    <t>The system shall encrypt all sensitive data using AES-256</t>
  </si>
  <si>
    <t>CORN-825</t>
  </si>
  <si>
    <t>CORN-826</t>
  </si>
  <si>
    <t>Access control shall be implemented using AES-256</t>
  </si>
  <si>
    <t>CORN-827</t>
  </si>
  <si>
    <t>User authentication shall require RBAC</t>
  </si>
  <si>
    <t>CORN-828</t>
  </si>
  <si>
    <t>User authentication shall require JWT</t>
  </si>
  <si>
    <t>CORN-829</t>
  </si>
  <si>
    <t>The system shall encrypt all sensitive data using JWT</t>
  </si>
  <si>
    <t>CORN-830</t>
  </si>
  <si>
    <t>User authentication shall require RSA</t>
  </si>
  <si>
    <t>CORN-831</t>
  </si>
  <si>
    <t>CORN-832</t>
  </si>
  <si>
    <t>CORN-833</t>
  </si>
  <si>
    <t>CORN-834</t>
  </si>
  <si>
    <t>The system shall log all security events</t>
  </si>
  <si>
    <t>CORN-835</t>
  </si>
  <si>
    <t>The system shall encrypt all sensitive data using RBAC</t>
  </si>
  <si>
    <t>CORN-836</t>
  </si>
  <si>
    <t>CORN-837</t>
  </si>
  <si>
    <t>CORN-838</t>
  </si>
  <si>
    <t>CORN-839</t>
  </si>
  <si>
    <t>CORN-840</t>
  </si>
  <si>
    <t>CORN-841</t>
  </si>
  <si>
    <t>Access control shall be implemented using OAuth 2.0</t>
  </si>
  <si>
    <t>CORN-842</t>
  </si>
  <si>
    <t>The system shall encrypt all sensitive data using RSA</t>
  </si>
  <si>
    <t>CORN-843</t>
  </si>
  <si>
    <t>CORN-844</t>
  </si>
  <si>
    <t>CORN-845</t>
  </si>
  <si>
    <t>CORN-846</t>
  </si>
  <si>
    <t>Access control shall be implemented using RSA</t>
  </si>
  <si>
    <t>CORN-847</t>
  </si>
  <si>
    <t>CORN-848</t>
  </si>
  <si>
    <t>CORN-849</t>
  </si>
  <si>
    <t>CORN-850</t>
  </si>
  <si>
    <t>User authentication shall require SSL/TLS</t>
  </si>
  <si>
    <t>CORN-851</t>
  </si>
  <si>
    <t>CORN-852</t>
  </si>
  <si>
    <t>Access control shall be implemented using RBAC</t>
  </si>
  <si>
    <t>CORN-853</t>
  </si>
  <si>
    <t>CORN-854</t>
  </si>
  <si>
    <t>CORN-855</t>
  </si>
  <si>
    <t>CORN-856</t>
  </si>
  <si>
    <t>CORN-857</t>
  </si>
  <si>
    <t>CORN-858</t>
  </si>
  <si>
    <t>CORN-859</t>
  </si>
  <si>
    <t>CORN-860</t>
  </si>
  <si>
    <t>User authentication shall require AES-256</t>
  </si>
  <si>
    <t>CORN-861</t>
  </si>
  <si>
    <t>CORN-862</t>
  </si>
  <si>
    <t>CORN-863</t>
  </si>
  <si>
    <t>CORN-864</t>
  </si>
  <si>
    <t>CORN-865</t>
  </si>
  <si>
    <t>CORN-866</t>
  </si>
  <si>
    <t>CORN-867</t>
  </si>
  <si>
    <t>CORN-868</t>
  </si>
  <si>
    <t>CORN-869</t>
  </si>
  <si>
    <t>CORN-870</t>
  </si>
  <si>
    <t>CORN-871</t>
  </si>
  <si>
    <t>CORN-872</t>
  </si>
  <si>
    <t>CORN-873</t>
  </si>
  <si>
    <t>CORN-874</t>
  </si>
  <si>
    <t>CORN-875</t>
  </si>
  <si>
    <t>CORN-876</t>
  </si>
  <si>
    <t>The system shall encrypt all sensitive data using SSL/TLS</t>
  </si>
  <si>
    <t>CORN-877</t>
  </si>
  <si>
    <t>CORN-878</t>
  </si>
  <si>
    <t>CORN-879</t>
  </si>
  <si>
    <t>CORN-880</t>
  </si>
  <si>
    <t>CORN-881</t>
  </si>
  <si>
    <t>CORN-882</t>
  </si>
  <si>
    <t>CORN-883</t>
  </si>
  <si>
    <t>The system shall encrypt all sensitive data using OAuth 2.0</t>
  </si>
  <si>
    <t>CORN-884</t>
  </si>
  <si>
    <t>CORN-885</t>
  </si>
  <si>
    <t>CORN-886</t>
  </si>
  <si>
    <t>CORN-887</t>
  </si>
  <si>
    <t>CORN-888</t>
  </si>
  <si>
    <t>CORN-889</t>
  </si>
  <si>
    <t>CORN-890</t>
  </si>
  <si>
    <t>CORN-891</t>
  </si>
  <si>
    <t>CORN-892</t>
  </si>
  <si>
    <t>CORN-893</t>
  </si>
  <si>
    <t>CORN-894</t>
  </si>
  <si>
    <t>CORN-895</t>
  </si>
  <si>
    <t>CORN-896</t>
  </si>
  <si>
    <t>CORN-897</t>
  </si>
  <si>
    <t>CORN-898</t>
  </si>
  <si>
    <t>CORN-899</t>
  </si>
  <si>
    <t>CORN-900</t>
  </si>
  <si>
    <t>CORN-901</t>
  </si>
  <si>
    <t>CORN-902</t>
  </si>
  <si>
    <t>CORN-903</t>
  </si>
  <si>
    <t>CORN-904</t>
  </si>
  <si>
    <t>CORN-905</t>
  </si>
  <si>
    <t>CORN-906</t>
  </si>
  <si>
    <t>CORN-907</t>
  </si>
  <si>
    <t>CORN-908</t>
  </si>
  <si>
    <t>CORN-909</t>
  </si>
  <si>
    <t>CORN-910</t>
  </si>
  <si>
    <t>CORN-911</t>
  </si>
  <si>
    <t>CORN-912</t>
  </si>
  <si>
    <t>CORN-913</t>
  </si>
  <si>
    <t>Error messages shall be clear and actionable</t>
  </si>
  <si>
    <t>CORN-914</t>
  </si>
  <si>
    <t>The user interface shall be intuitive and user-friendly</t>
  </si>
  <si>
    <t>CORN-915</t>
  </si>
  <si>
    <t>CORN-916</t>
  </si>
  <si>
    <t>CORN-917</t>
  </si>
  <si>
    <t>The system shall support multiple languages</t>
  </si>
  <si>
    <t>CORN-918</t>
  </si>
  <si>
    <t>CORN-919</t>
  </si>
  <si>
    <t>CORN-920</t>
  </si>
  <si>
    <t>CORN-921</t>
  </si>
  <si>
    <t>CORN-922</t>
  </si>
  <si>
    <t>The system shall provide help documentation</t>
  </si>
  <si>
    <t>CORN-923</t>
  </si>
  <si>
    <t>CORN-924</t>
  </si>
  <si>
    <t>CORN-925</t>
  </si>
  <si>
    <t>CORN-926</t>
  </si>
  <si>
    <t>CORN-927</t>
  </si>
  <si>
    <t>CORN-928</t>
  </si>
  <si>
    <t>CORN-929</t>
  </si>
  <si>
    <t>CORN-930</t>
  </si>
  <si>
    <t>CORN-931</t>
  </si>
  <si>
    <t>CORN-932</t>
  </si>
  <si>
    <t>CORN-933</t>
  </si>
  <si>
    <t>CORN-934</t>
  </si>
  <si>
    <t>CORN-935</t>
  </si>
  <si>
    <t>CORN-936</t>
  </si>
  <si>
    <t>CORN-937</t>
  </si>
  <si>
    <t>CORN-938</t>
  </si>
  <si>
    <t>CORN-939</t>
  </si>
  <si>
    <t>CORN-940</t>
  </si>
  <si>
    <t>CORN-941</t>
  </si>
  <si>
    <t>CORN-942</t>
  </si>
  <si>
    <t>CORN-943</t>
  </si>
  <si>
    <t>CORN-944</t>
  </si>
  <si>
    <t>CORN-945</t>
  </si>
  <si>
    <t>CORN-946</t>
  </si>
  <si>
    <t>CORN-947</t>
  </si>
  <si>
    <t>CORN-948</t>
  </si>
  <si>
    <t>CORN-949</t>
  </si>
  <si>
    <t>CORN-950</t>
  </si>
  <si>
    <t>CORN-951</t>
  </si>
  <si>
    <t>CORN-952</t>
  </si>
  <si>
    <t>CORN-953</t>
  </si>
  <si>
    <t>CORN-954</t>
  </si>
  <si>
    <t>CORN-955</t>
  </si>
  <si>
    <t>CORN-956</t>
  </si>
  <si>
    <t>CORN-957</t>
  </si>
  <si>
    <t>CORN-958</t>
  </si>
  <si>
    <t>CORN-959</t>
  </si>
  <si>
    <t>CORN-960</t>
  </si>
  <si>
    <t>CORN-961</t>
  </si>
  <si>
    <t>CORN-962</t>
  </si>
  <si>
    <t>CORN-963</t>
  </si>
  <si>
    <t>CORN-964</t>
  </si>
  <si>
    <t>CORN-965</t>
  </si>
  <si>
    <t>CORN-966</t>
  </si>
  <si>
    <t>CORN-967</t>
  </si>
  <si>
    <t>CORN-968</t>
  </si>
  <si>
    <t>CORN-969</t>
  </si>
  <si>
    <t>CORN-970</t>
  </si>
  <si>
    <t>CORN-971</t>
  </si>
  <si>
    <t>CORN-972</t>
  </si>
  <si>
    <t>CORN-973</t>
  </si>
  <si>
    <t>CORN-974</t>
  </si>
  <si>
    <t>CORN-975</t>
  </si>
  <si>
    <t>CORN-976</t>
  </si>
  <si>
    <t>CORN-977</t>
  </si>
  <si>
    <t>CORN-978</t>
  </si>
  <si>
    <t>CORN-979</t>
  </si>
  <si>
    <t>CORN-980</t>
  </si>
  <si>
    <t>CORN-981</t>
  </si>
  <si>
    <t>CORN-982</t>
  </si>
  <si>
    <t>CORN-983</t>
  </si>
  <si>
    <t>CORN-984</t>
  </si>
  <si>
    <t>CORN-985</t>
  </si>
  <si>
    <t>CORN-986</t>
  </si>
  <si>
    <t>CORN-987</t>
  </si>
  <si>
    <t>CORN-988</t>
  </si>
  <si>
    <t>CORN-989</t>
  </si>
  <si>
    <t>CORN-990</t>
  </si>
  <si>
    <t>CORN-991</t>
  </si>
  <si>
    <t>CORN-992</t>
  </si>
  <si>
    <t>CORN-993</t>
  </si>
  <si>
    <t>CORN-994</t>
  </si>
  <si>
    <t>CORN-995</t>
  </si>
  <si>
    <t>CORN-996</t>
  </si>
  <si>
    <t>CORN-997</t>
  </si>
  <si>
    <t>CORN-998</t>
  </si>
  <si>
    <t>The system shall recover from failures within 30 minutes</t>
  </si>
  <si>
    <t>CORN-999</t>
  </si>
  <si>
    <t>Data backup shall occur every 2 hours</t>
  </si>
  <si>
    <t>CORN-1000</t>
  </si>
  <si>
    <t>Data backup shall occur every 5 hours</t>
  </si>
  <si>
    <t>CORN-1001</t>
  </si>
  <si>
    <t>The system shall recover from failures within 2 minutes</t>
  </si>
  <si>
    <t>CORN-1002</t>
  </si>
  <si>
    <t>The system shall recover from failures within 5 minutes</t>
  </si>
  <si>
    <t>CORN-1003</t>
  </si>
  <si>
    <t>The system shall handle errors gracefully</t>
  </si>
  <si>
    <t>CORN-1004</t>
  </si>
  <si>
    <t>The system shall have 99% uptime availability</t>
  </si>
  <si>
    <t>CORN-1005</t>
  </si>
  <si>
    <t>The system shall recover from failures within 60 minutes</t>
  </si>
  <si>
    <t>CORN-1006</t>
  </si>
  <si>
    <t>The system shall have 95% uptime availability</t>
  </si>
  <si>
    <t>CORN-1007</t>
  </si>
  <si>
    <t>CORN-1008</t>
  </si>
  <si>
    <t>CORN-1009</t>
  </si>
  <si>
    <t>CORN-1010</t>
  </si>
  <si>
    <t>CORN-1011</t>
  </si>
  <si>
    <t>CORN-1012</t>
  </si>
  <si>
    <t>CORN-1013</t>
  </si>
  <si>
    <t>CORN-1014</t>
  </si>
  <si>
    <t>CORN-1015</t>
  </si>
  <si>
    <t>CORN-1016</t>
  </si>
  <si>
    <t>CORN-1017</t>
  </si>
  <si>
    <t>CORN-1018</t>
  </si>
  <si>
    <t>CORN-1019</t>
  </si>
  <si>
    <t>CORN-1020</t>
  </si>
  <si>
    <t>The system shall have 99.9% uptime availability</t>
  </si>
  <si>
    <t>CORN-1021</t>
  </si>
  <si>
    <t>CORN-1022</t>
  </si>
  <si>
    <t>CORN-1023</t>
  </si>
  <si>
    <t>CORN-1024</t>
  </si>
  <si>
    <t>CORN-1025</t>
  </si>
  <si>
    <t>CORN-1026</t>
  </si>
  <si>
    <t>CORN-1027</t>
  </si>
  <si>
    <t>Data backup shall occur every 10 hours</t>
  </si>
  <si>
    <t>CORN-1028</t>
  </si>
  <si>
    <t>Data backup shall occur every 60 hours</t>
  </si>
  <si>
    <t>CORN-1029</t>
  </si>
  <si>
    <t>CORN-1030</t>
  </si>
  <si>
    <t>CORN-1031</t>
  </si>
  <si>
    <t>CORN-1032</t>
  </si>
  <si>
    <t>CORN-1033</t>
  </si>
  <si>
    <t>CORN-1034</t>
  </si>
  <si>
    <t>CORN-1035</t>
  </si>
  <si>
    <t>CORN-1036</t>
  </si>
  <si>
    <t>CORN-1037</t>
  </si>
  <si>
    <t>CORN-1038</t>
  </si>
  <si>
    <t>CORN-1039</t>
  </si>
  <si>
    <t>CORN-1040</t>
  </si>
  <si>
    <t>CORN-1041</t>
  </si>
  <si>
    <t>CORN-1042</t>
  </si>
  <si>
    <t>CORN-1043</t>
  </si>
  <si>
    <t>CORN-1044</t>
  </si>
  <si>
    <t>CORN-1045</t>
  </si>
  <si>
    <t>CORN-1046</t>
  </si>
  <si>
    <t>CORN-1047</t>
  </si>
  <si>
    <t>Data backup shall occur every 30 hours</t>
  </si>
  <si>
    <t>CORN-1048</t>
  </si>
  <si>
    <t>CORN-1049</t>
  </si>
  <si>
    <t>CORN-1050</t>
  </si>
  <si>
    <t>CORN-1051</t>
  </si>
  <si>
    <t>CORN-1052</t>
  </si>
  <si>
    <t>CORN-1053</t>
  </si>
  <si>
    <t>CORN-1054</t>
  </si>
  <si>
    <t>CORN-1055</t>
  </si>
  <si>
    <t>CORN-1056</t>
  </si>
  <si>
    <t>CORN-1057</t>
  </si>
  <si>
    <t>CORN-1058</t>
  </si>
  <si>
    <t>CORN-1059</t>
  </si>
  <si>
    <t>CORN-1060</t>
  </si>
  <si>
    <t>CORN-1061</t>
  </si>
  <si>
    <t>The system shall recover from failures within 10 minutes</t>
  </si>
  <si>
    <t>CORN-1062</t>
  </si>
  <si>
    <t>CORN-1063</t>
  </si>
  <si>
    <t>CORN-1064</t>
  </si>
  <si>
    <t>CORN-1065</t>
  </si>
  <si>
    <t>CORN-1066</t>
  </si>
  <si>
    <t>The code shall be well-documented and modular</t>
  </si>
  <si>
    <t>CORN-1067</t>
  </si>
  <si>
    <t>The system shall support easy configuration updates</t>
  </si>
  <si>
    <t>CORN-1068</t>
  </si>
  <si>
    <t>CORN-1069</t>
  </si>
  <si>
    <t>CORN-1070</t>
  </si>
  <si>
    <t>CORN-1071</t>
  </si>
  <si>
    <t>CORN-1072</t>
  </si>
  <si>
    <t>CORN-1073</t>
  </si>
  <si>
    <t>CORN-1074</t>
  </si>
  <si>
    <t>Database schema changes shall be version controlled</t>
  </si>
  <si>
    <t>CORN-1075</t>
  </si>
  <si>
    <t>CORN-1076</t>
  </si>
  <si>
    <t>CORN-1077</t>
  </si>
  <si>
    <t>CORN-1078</t>
  </si>
  <si>
    <t>CORN-1079</t>
  </si>
  <si>
    <t>CORN-1080</t>
  </si>
  <si>
    <t>CORN-1081</t>
  </si>
  <si>
    <t>CORN-1082</t>
  </si>
  <si>
    <t>CORN-1083</t>
  </si>
  <si>
    <t>CORN-1084</t>
  </si>
  <si>
    <t>CORN-1085</t>
  </si>
  <si>
    <t>The system shall provide diagnostic tools</t>
  </si>
  <si>
    <t>CORN-1086</t>
  </si>
  <si>
    <t>CORN-1087</t>
  </si>
  <si>
    <t>CORN-1088</t>
  </si>
  <si>
    <t>CORN-1089</t>
  </si>
  <si>
    <t>CORN-1090</t>
  </si>
  <si>
    <t>CORN-1091</t>
  </si>
  <si>
    <t>CORN-1092</t>
  </si>
  <si>
    <t>CORN-1093</t>
  </si>
  <si>
    <t>CORN-1094</t>
  </si>
  <si>
    <t>CORN-1095</t>
  </si>
  <si>
    <t>CORN-1096</t>
  </si>
  <si>
    <t>CORN-1097</t>
  </si>
  <si>
    <t>CORN-1098</t>
  </si>
  <si>
    <t>CORN-1099</t>
  </si>
  <si>
    <t>CORN-1100</t>
  </si>
  <si>
    <t>CORN-1101</t>
  </si>
  <si>
    <t>CORN-1102</t>
  </si>
  <si>
    <t>CORN-1103</t>
  </si>
  <si>
    <t>CORN-1104</t>
  </si>
  <si>
    <t>CORN-1105</t>
  </si>
  <si>
    <t>CORN-1106</t>
  </si>
  <si>
    <t>CORN-1107</t>
  </si>
  <si>
    <t>CORN-1108</t>
  </si>
  <si>
    <t>The system shall run on multiple operating systems</t>
  </si>
  <si>
    <t>CORN-1109</t>
  </si>
  <si>
    <t>Mobile compatibility shall be maintained</t>
  </si>
  <si>
    <t>CORN-1110</t>
  </si>
  <si>
    <t>CORN-1111</t>
  </si>
  <si>
    <t>The system shall support different database platforms</t>
  </si>
  <si>
    <t>CORN-1112</t>
  </si>
  <si>
    <t>The application shall be browser-independent</t>
  </si>
  <si>
    <t>CORN-1113</t>
  </si>
  <si>
    <t>CORN-1114</t>
  </si>
  <si>
    <t>CORN-1115</t>
  </si>
  <si>
    <t>CORN-1116</t>
  </si>
  <si>
    <t>CORN-1117</t>
  </si>
  <si>
    <t>CORN-1118</t>
  </si>
  <si>
    <t>CORN-1119</t>
  </si>
  <si>
    <t>CORN-1120</t>
  </si>
  <si>
    <t>CORN-1121</t>
  </si>
  <si>
    <t>CORN-1122</t>
  </si>
  <si>
    <t>CORN-1123</t>
  </si>
  <si>
    <t>CORN-1124</t>
  </si>
  <si>
    <t>CORN-1125</t>
  </si>
  <si>
    <t>CORN-1126</t>
  </si>
  <si>
    <t>CORN-1127</t>
  </si>
  <si>
    <t>CORN-1128</t>
  </si>
  <si>
    <t>CORN-1129</t>
  </si>
  <si>
    <t>Environmental constraints shall be considered</t>
  </si>
  <si>
    <t>CORN-1130</t>
  </si>
  <si>
    <t>The system shall comply with industry standards</t>
  </si>
  <si>
    <t>CORN-1131</t>
  </si>
  <si>
    <t>CORN-1132</t>
  </si>
  <si>
    <t>CORN-1133</t>
  </si>
  <si>
    <t>CORN-1134</t>
  </si>
  <si>
    <t>The system shall support audit trails</t>
  </si>
  <si>
    <t>CORN-1135</t>
  </si>
  <si>
    <t>CORN-1136</t>
  </si>
  <si>
    <t>CORN-1137</t>
  </si>
  <si>
    <t>CORN-1138</t>
  </si>
  <si>
    <t>Legal and regulatory requirements shall be met</t>
  </si>
  <si>
    <t>CORN-1139</t>
  </si>
  <si>
    <t>CORN-1140</t>
  </si>
  <si>
    <t>CORN-1141</t>
  </si>
  <si>
    <t>CORN-1142</t>
  </si>
  <si>
    <t>CORN-1143</t>
  </si>
  <si>
    <t>CORN-1144</t>
  </si>
  <si>
    <t>CORN-1145</t>
  </si>
  <si>
    <t>Ambiguity</t>
  </si>
  <si>
    <t>Ambiguity_Human_explanation</t>
  </si>
  <si>
    <t>No</t>
  </si>
  <si>
    <t>No strong ambiguity indicators found</t>
  </si>
  <si>
    <t>Yes</t>
  </si>
  <si>
    <t>vague terms: provide functionality</t>
  </si>
  <si>
    <t>vague terms: provide functionality which user?</t>
  </si>
  <si>
    <t>vague terms: manage</t>
  </si>
  <si>
    <t>vague terms: manage, support</t>
  </si>
  <si>
    <t>vague terms: support</t>
  </si>
  <si>
    <t xml:space="preserve">No strong ambiguity indicators found </t>
  </si>
  <si>
    <t>vague terms: intuitive, user-friendly</t>
  </si>
  <si>
    <t>vague terms: handle</t>
  </si>
  <si>
    <t>vague terms: easy, support</t>
  </si>
  <si>
    <t>vague terms: manage, provide functionality</t>
  </si>
  <si>
    <t>Group_id (Project_Name)</t>
  </si>
  <si>
    <t>Inconsistency</t>
  </si>
  <si>
    <t>Inconsistency_explanation</t>
  </si>
  <si>
    <t>multiple time constraints: 10milliseconds, 10seconds, 30seconds, 60minutes</t>
  </si>
  <si>
    <t>contains both 'shall' and 'shall not'; multiple time constraints: 10seconds, 2milliseconds, 2seconds, 30milliseconds, 5milliseconds, 5seconds</t>
  </si>
  <si>
    <t>contains both 'shall' and 'shall not';; multiple time constraints: 10seconds, 30seconds</t>
  </si>
  <si>
    <t>contains both 'shall' and 'shall not'; multiple time constraints: 10milliseconds, 10seconds, 2hours, 5seconds, 60minutes, 60seconds</t>
  </si>
  <si>
    <t>contains both 'shall' and 'shall not'; multiple time constraints: 10seconds, 2seconds, 30milliseconds, 30seconds, 60seconds</t>
  </si>
  <si>
    <t>Multiple time constraints: 10hours, 10seconds, 30milliseconds, 30seconds, 5hours, 5milliseconds</t>
  </si>
  <si>
    <t>contains both 'shall' and 'shall not''; multiple time constraints: 2hours, 2seconds, 5hours, 5milliseconds, 5seconds, 60hours</t>
  </si>
  <si>
    <t>contains both 'shall' and 'shall not'; multiple time constraints: 10seconds, 30minutes, 5seconds, 60minutes</t>
  </si>
  <si>
    <t>multiple time constraints: 10seconds, 2minutes, 30hours, 30seconds, 5minutes, 60hours</t>
  </si>
  <si>
    <t>contains both 'shall' and 'shall not'; multiple time constraints: 10milliseconds, 10minutes, 10seconds, 2seconds, 30seconds, 5hours</t>
  </si>
  <si>
    <t>multiple time constraints: 10milliseconds, 2hours, 30milliseconds, 30minutes, 5milliseconds, 5minutes</t>
  </si>
  <si>
    <t>multiple time constraints: 10milliseconds, 2minutes, 30milliseconds, 5milliseconds, 60seconds</t>
  </si>
  <si>
    <t>contains both 'shall' and 'shall not';  multiple time constraints: 10seconds, 2hours, 2seconds, 30minutes, 30seconds, 5hours</t>
  </si>
  <si>
    <t>contains both 'shall' and 'shall not'; multiple time constraints: 10hours, 10milliseconds, 10seconds, 30milliseconds, 60minutes</t>
  </si>
  <si>
    <t>COUNTA of Req_id</t>
  </si>
  <si>
    <t>Inconsistency_Explanation</t>
  </si>
  <si>
    <t>Contains both 'shall' and 'shall not'; Multiple time constraints: 10milliseconds, 10seconds, 30seconds, 60minutes</t>
  </si>
  <si>
    <t xml:space="preserve"> Contains both 'shall' and 'shall not'; Multiple time constraints: 10seconds, 2milliseconds, 2seconds, 30milliseconds, 5milliseconds, 5seconds</t>
  </si>
  <si>
    <t>Contains both 'shall' and 'shall not'; multiple time constraints: 10seconds, 30seconds</t>
  </si>
  <si>
    <t>contains both 'shall' and 'shall not'; Multiple time constraints: 10seconds, 2seconds, 30milliseconds, 30seconds, 60seconds</t>
  </si>
  <si>
    <t>Contains both 'shall' and 'shall not''; multiple time constraints: 2hours, 2seconds, 5hours, 5milliseconds, 5seconds, 60hours</t>
  </si>
  <si>
    <t>Contains both 'shall' and 'shall not'; multiple time constraints: 10seconds, 30minutes, 5seconds, 60minutes</t>
  </si>
  <si>
    <t>Multiple time constraints: 10seconds, 2minutes, 30hours, 30seconds, 5minutes, 60hours</t>
  </si>
  <si>
    <t>multiple time constraints: 10milliseconds, 2seconds, 5minutes, 60milliseconds, 60minutes</t>
  </si>
  <si>
    <t>Grand Total</t>
  </si>
  <si>
    <t>id</t>
  </si>
  <si>
    <t>text</t>
  </si>
  <si>
    <t>domain</t>
  </si>
  <si>
    <t>type</t>
  </si>
  <si>
    <t>project</t>
  </si>
  <si>
    <t>Payments</t>
  </si>
  <si>
    <t>FR</t>
  </si>
  <si>
    <t>Orders</t>
  </si>
  <si>
    <t>General</t>
  </si>
  <si>
    <t>Accounts</t>
  </si>
  <si>
    <t>NFR</t>
  </si>
  <si>
    <t>Database</t>
  </si>
  <si>
    <t>Reporting</t>
  </si>
  <si>
    <t>Security</t>
  </si>
  <si>
    <t>Messaging</t>
  </si>
  <si>
    <t>Domain</t>
  </si>
  <si>
    <t>confidence</t>
  </si>
  <si>
    <t>explanation</t>
  </si>
  <si>
    <t>suggestion</t>
  </si>
  <si>
    <t>SMELL</t>
  </si>
  <si>
    <t>HIGH</t>
  </si>
  <si>
    <t>The phrase "support process payments" is grammatically unclear and allows multiple reasonable interpretations. It could mean the application shall support the processing of payments, or it could be read as supporting a specific kind of payment called "process payments." A competent implementer would most likely infer payment processing, but the wording itself is malformed enough to permit different interpretations and could lead to different implementations.</t>
  </si>
  <si>
    <t>The application shall support payment processing.</t>
  </si>
  <si>
    <t>CLEAN</t>
  </si>
  <si>
    <t>MEDIUM</t>
  </si>
  <si>
    <t>The requirement states a clear capability: users can view orders. While it does not specify which users, which orders, or what order details are shown, those are omissions or incompleteness rather than true ambiguity. A competent implementer would reasonably interpret this as providing read access to order information, and the core behaviour does not split into multiple conflicting interpretations.</t>
  </si>
  <si>
    <t>The phrase "support view payments" is grammatically unclear and allows multiple reasonable interpretations. It could mean the application shall allow users to view payments, or it could mean the application shall support a payment type or feature called "view payments." These interpretations could lead to different implementations and user interface behaviour.</t>
  </si>
  <si>
    <t>The application shall allow users to view payment records.</t>
  </si>
  <si>
    <t>The phrase "enable validate of data" is grammatically malformed and supports multiple reasonable interpretations, such as "enable validation of data," "allow users to validate data," or "enable the system to validate data." These interpretations could lead to different implementations regarding who performs validation and what functionality is required.</t>
  </si>
  <si>
    <t>Rewrite to specify the intended meaning, for example: "The system shall validate input data." or "The system shall allow authorized users to validate data."</t>
  </si>
  <si>
    <t>The phrase "support delete data" is semantically unclear. A reasonable reader could interpret it as allowing users to delete stored data, supporting deletion of specific data types, or supporting a delete-data operation through some interface or API. These interpretations could lead to different implementations and behaviours because they differ in scope, actor, and operation.</t>
  </si>
  <si>
    <t>The application shall allow authorized users to delete stored customer records through the user interface.</t>
  </si>
  <si>
    <t>The phrase "support create records" is semantically unclear. A competent reader could reasonably interpret it as supporting the creation of records, or as supporting records of type "create" if read literally as an awkward noun phrase. More importantly for implementation, "support" can also mean the application itself provides a create-record function, or merely interoperates with some external process that creates records. These interpretations could lead to different system behaviour and design.</t>
  </si>
  <si>
    <t>The application shall provide a function that allows users to create new records.</t>
  </si>
  <si>
    <t>The phrase "generate accounts" is lexically ambiguous. A competent reader could reasonably interpret it as allowing users to create new user accounts, automatically generate account numbers/details, or produce account records/reports. These interpretations would lead to different implementations and system behaviours.</t>
  </si>
  <si>
    <t>The system shall allow users to create new user accounts.</t>
  </si>
  <si>
    <t>The requirement is broad and incomplete, but it does not present multiple clear, competing interpretations of the same wording. A reasonable reader would understand it to mean that the system must support creating transactions. The statement lacks detail about transaction types, inputs, workflow, validation, and constraints, but those are omissions rather than true ambiguity.</t>
  </si>
  <si>
    <t>The phrase "99% uptime availability" is open to multiple reasonable interpretations that could affect implementation and verification. A developer or operator could interpret it as 99% availability measured over any month, over a year, during business hours only, or excluding planned maintenance. "Uptime" and "availability" are also overlapping terms that may be measured differently in practice. These differing interpretations could lead to different system designs, monitoring setups, and acceptance criteria.</t>
  </si>
  <si>
    <t>The system shall be available 99.0% of the time, measured monthly, 24 hours per day and 7 days per week, excluding no downtime categories unless explicitly listed.</t>
  </si>
  <si>
    <t>The phrase "handle errors gracefully" is subjective and allows multiple reasonable interpretations. Different developers could implement it as showing a user-friendly message, logging the error silently, retrying the operation, rolling back changes, preventing crashes, or some combination of these. These interpretations would lead to different system behaviours, so this is a true ambiguity defect.</t>
  </si>
  <si>
    <t>The system shall, upon detecting an error, display a user-readable error message, log the error with timestamp and context, prevent application crash, and return the user to the previous safe state.</t>
  </si>
  <si>
    <t>The phrase "handle errors gracefully" is inherently subjective and can be reasonably interpreted in multiple ways. Different developers could implement it as showing user-friendly error messages, logging errors silently, retrying operations automatically, preventing crashes, rolling back transactions, or some combination of these. These interpretations would lead to different system behaviours, so this is a true ambiguity defect.</t>
  </si>
  <si>
    <t>The system shall, upon detecting an error, display a user-friendly error message, log the error with a timestamp and error code, prevent application crashes, and return the user to the previous safe state.</t>
  </si>
  <si>
    <t>The terms "well-documented" and "modular" are open to multiple reasonable interpretations. Different developers could interpret "well-documented" as requiring inline comments, API documentation, architecture documentation, or varying levels of detail. Likewise, "modular" could mean separation into classes, functions, packages, services, or simply low coupling and high cohesion. These interpretations could lead to different implementations and review outcomes.</t>
  </si>
  <si>
    <t>The code shall include inline comments for all non-obvious logic, API documentation for all public interfaces, and be organized into components such that each component has a single defined responsibility and no component exceeds 500 lines of code.</t>
  </si>
  <si>
    <t>The terms "well-documented" and "modular" are open to multiple reasonable interpretations. Different developers could interpret "well-documented" as requiring inline comments, API documentation, design documents, or varying levels of detail. Likewise, "modular" could mean separation into classes, functions, packages, services, or simply low coupling and high cohesion. These interpretations could lead to different implementations and review outcomes, so this is a true ambiguity defect.</t>
  </si>
  <si>
    <t>The code shall include inline comments for all public functions, API documentation for all external interfaces, and be organized into components such that each module has a single responsibility and no module exceeds 500 lines of code.</t>
  </si>
  <si>
    <t>The phrase "support manage payments" is not grammatically clear and allows multiple reasonable interpretations of what functionality is required. It could mean the application shall allow users to manage payments generally, shall support payment management by administrators, or shall support the process of making payments. These interpretations could lead to different features and behaviours, so this is a true ambiguity rather than mere missing detail.</t>
  </si>
  <si>
    <t>The application shall allow authorized users to create, view, update, and cancel payment records.</t>
  </si>
  <si>
    <t>The phrase "easy configuration updates" is subjective and can be reasonably interpreted in multiple ways. Different teams could implement it as a simple user interface for changing settings, automated deployment of configuration changes, support for hot-reloading without restart, or merely allowing configuration files to be edited manually. These interpretations would lead to different system behaviour and design decisions.</t>
  </si>
  <si>
    <t>The system shall allow authorized administrators to update configuration settings through an administrative interface, and the updated settings shall take effect without restarting the system.</t>
  </si>
  <si>
    <t>The phrase "different database platforms" is open to multiple reasonable interpretations that could lead to different implementations. It could mean support for multiple DBMS products such as MySQL, PostgreSQL, and Oracle; support for different operating system platforms on which a database runs; or support for different categories of databases such as relational and NoSQL systems. In addition, "support" itself is broad and could mean compatibility at deployment time, runtime portability, configurable adapters, or simultaneous multi-database operation. These interpretations would affect architecture, interfaces, testing, and product behavior.</t>
  </si>
  <si>
    <t>The system shall be compatible with PostgreSQL 16 and MySQL 8 as the application database management systems, using a configurable database abstraction layer so the same application code can run with either DBMS.</t>
  </si>
  <si>
    <t>The phrase "browser-independent" has multiple reasonable interpretations that could lead to different implementations. It could mean the application must work in all major browsers, work in any standards-compliant browser, provide identical behaviour across browsers, or avoid relying on browser-specific features. Different teams could implement and test against different browser sets or compatibility expectations.</t>
  </si>
  <si>
    <t>The application shall support the latest released versions of Chrome, Firefox, Safari, and Edge, and all user-facing functions shall behave consistently across those browsers.</t>
  </si>
  <si>
    <t>The phrase "support audit trails" is open to multiple reasonable interpretations that could lead to different implementations. A developer could interpret it as recording all user actions, only security-relevant events, only data changes, or merely providing integration points for an external audit mechanism. "Audit trails" can also vary in scope, content, retention, and accessibility. Because the same statement can reasonably be implemented in materially different ways, it contains a true ambiguity.</t>
  </si>
  <si>
    <t>The system shall record an audit trail for all create, update, and delete actions on business records, including the user ID, timestamp, action performed, and previous and new values.</t>
  </si>
  <si>
    <t>The phrase "shall be able to" can reasonably be interpreted in different ways: it may mean users are permitted to update records, or that the system must provide functionality enabling them to do so. In addition, "records" is generic and could refer to all records or only certain record types within scope. These interpretations could lead to different implementations, such as authorization-only handling versus full edit functionality, or different sets of editable data.</t>
  </si>
  <si>
    <t>The system shall provide authorized users with the ability to edit existing customer records.</t>
  </si>
  <si>
    <t>The phrase "allow users to update transactions" is reasonably open to multiple interpretations that could lead to different implementations. "Update transactions" could mean editing existing transaction records after creation, modifying only certain fields before finalization, changing transaction status, or performing a new transaction-related action such as retrying or correcting a transaction. Also, "users" is broad and could mean all users or only authorized roles. These are plausible interpretations of the same statement and would affect system behavior and permissions.</t>
  </si>
  <si>
    <t>The system shall allow authorized users to edit existing transaction records, including amount, date, and description, before the transaction is finalized.</t>
  </si>
  <si>
    <t>The phrase "validate orders" is semantically ambiguous because a competent developer could reasonably interpret it in multiple ways that would lead to different implementations. For example, it could mean checking that required order data is present and correctly formatted, verifying business rules such as inventory availability or pricing, confirming payment authorization, or approving orders through a workflow. The requirement does not indicate what kind of validation is intended, so different teams could implement different behaviours.</t>
  </si>
  <si>
    <t>The system shall validate each order by checking that all required fields are present, the customer account is active, the ordered items are in stock, and the total price matches the item prices and discounts.</t>
  </si>
  <si>
    <t>The phrase "enable generate of records" is grammatically malformed, creating multiple reasonable interpretations. It could mean the system shall generate records itself, or that it shall enable a user or another component to generate records. These interpretations would lead to different implementations and behaviors.</t>
  </si>
  <si>
    <t>Rewrite to state the intended actor and action clearly, for example: "The system shall generate records." or "The system shall allow users to generate records."</t>
  </si>
  <si>
    <t>The phrase "support delete transactions" is reasonably open to multiple interpretations that could lead to different implementations. "Delete transactions" could mean deleting transaction records from the system, processing financial reversal/cancellation transactions, or allowing users to remove pending transactions before completion. In addition, "support" is vague about whether the application must provide a user-facing delete function, an API capability, administrative-only deletion, or merely handle such requests. These are distinct interpretations with different system behaviours.</t>
  </si>
  <si>
    <t>The application shall allow authorized users to permanently delete stored transaction records from the transaction history.</t>
  </si>
  <si>
    <t>The phrase "enable create of payments" is grammatically malformed, and a competent reader could reasonably interpret it in more than one way. It could mean the system shall allow users to create payment records, or it could mean the system shall activate/configure payment creation capability. These interpretations could lead to different implementations and behaviours.</t>
  </si>
  <si>
    <t>The system shall allow authorized users to create payment records.</t>
  </si>
  <si>
    <t>The phrase "enable generate of data" is grammatically malformed and supports multiple reasonable interpretations, such as enabling data generation, generating data, or enabling generation by a user or another component. These interpretations could lead to different implementations and behaviours.</t>
  </si>
  <si>
    <t>The system shall generate data. If the intent is to allow a user or component to do so, rewrite as: The system shall allow authorized users to generate data.</t>
  </si>
  <si>
    <t>The phrase 'enable update of reports' is reasonably interpretable in more than one way. It could mean the system shall allow users to edit existing reports, or it could mean the system shall refresh/regenerate report contents from updated underlying data. These interpretations would lead to different implementations and behaviours. The statement also does not indicate who or what performs the update, which reinforces the semantic uncertainty.</t>
  </si>
  <si>
    <t>The system shall allow authorized users to edit and save existing reports.</t>
  </si>
  <si>
    <t>The phrase "enable delete of accounts" is semantically unclear. A competent reader could reasonably interpret it as: (1) the system shall provide a function that allows users or administrators to delete accounts, or (2) the system shall permit account deletion by changing permissions/configuration so deletion is enabled. These interpretations could lead to different implementations and behaviours. The wording is also unnatural enough that the intended action is not clear from standard usage alone.</t>
  </si>
  <si>
    <t>The system shall provide an account deletion function that allows authorized users to delete accounts.</t>
  </si>
  <si>
    <t>The phrase "view payments" is open to more than one reasonable interpretation. It could mean users can view a list of payment records, view the details of an individual payment, view only their own payments, or view all payments in the system. These interpretations could lead to different implementations and access-control behaviour. This is more than missing detail because the core action itself can reasonably be understood in different ways.</t>
  </si>
  <si>
    <t>Users shall be able to view a list of their own payment records and open the details of each payment.</t>
  </si>
  <si>
    <t>The phrase "support validate payments" is grammatically unclear and allows multiple reasonable interpretations. It could mean the application shall validate payments itself, shall support payment validation performed elsewhere, or shall support users in validating payments. These interpretations could lead to different implementations and system behaviours.</t>
  </si>
  <si>
    <t>Rewrite with a clear verb structure, for example: "The application shall validate payments before processing them." or "The application shall support external payment validation services."</t>
  </si>
  <si>
    <t>The phrase "enable process of orders" is grammatically unclear and supports multiple reasonable interpretations. It could mean the system shall enable users to process orders, the system shall itself process orders, or the system shall enable the order-processing workflow in some other way. These interpretations could lead to different implementations and behaviours.</t>
  </si>
  <si>
    <t>Rewrite with a clear verb and actor, for example: "The system shall allow authorized users to process customer orders."</t>
  </si>
  <si>
    <t>The requirement clearly states that the system must support account creation. While it does not specify details such as who can create accounts, what data is required, or what type of accounts are involved, those are omissions or incompleteness issues rather than true ambiguity. A reasonable reader would interpret this consistently as requiring account-creation capability.</t>
  </si>
  <si>
    <t>The phrase "support create profiles" is semantically unclear. A reasonable reader could interpret it as the application allowing users to create profiles, or as the application supporting profiles used for creation/configuration of something else. The wording is also grammatically irregular, which increases the chance of multiple interpretations about what action and object are intended. These interpretations could lead to different implementations.</t>
  </si>
  <si>
    <t>The application shall allow users to create user profiles.</t>
  </si>
  <si>
    <t>The phrase "generate orders" has multiple reasonable interpretations that could lead to different implementations. It could mean creating new customer purchase orders in the system, automatically producing replenishment or supplier orders, or generating order documents/reports from existing order data. Because a developer could reasonably implement different functionality based on these interpretations, this is a true ambiguity rather than mere missing detail.</t>
  </si>
  <si>
    <t>The system shall provide functionality for authorized users to create new customer orders in the system.</t>
  </si>
  <si>
    <t>The phrase "support validate profiles" is grammatically unclear and allows multiple reasonable interpretations. It could mean the application shall support validating profiles, support profiles that are already validated, or support a feature named "Validate Profiles." These interpretations could lead to different implementations and behaviours.</t>
  </si>
  <si>
    <t>The application shall provide a feature to validate user profiles.</t>
  </si>
  <si>
    <t>The phrase "support view orders" is grammatically unclear and allows multiple reasonable interpretations. It could mean the application shall support a feature to view orders, or it could be read as supporting order views/views of orders in some other structural sense. A developer could implement different behaviours based on these interpretations, so this is a true ambiguity rather than mere missing detail.</t>
  </si>
  <si>
    <t>The application shall allow users to view orders.</t>
  </si>
  <si>
    <t>The statement has a clear core meaning: users must be able to access and see reports. Although it does not specify which reports, how they are displayed, or which users are authorized, those are omissions or incompleteness issues rather than true ambiguity. A competent developer would not reasonably derive multiple conflicting meanings of 'view reports' that change the required behavior at a fundamental level.</t>
  </si>
  <si>
    <t>The phrase "enable process of orders" is grammatically unclear and supports multiple reasonable interpretations. It could mean the system shall enable users to process orders, or it could mean the system shall enable the order-processing process/workflow itself. These interpretations could lead to different implementations, such as providing user actions for handling orders versus automating or supporting a broader business process.</t>
  </si>
  <si>
    <t>Rewrite with a clear verb and object, for example: "The system shall enable users to process orders." or "The system shall support the order-processing workflow."</t>
  </si>
  <si>
    <t>The requirement clearly states that the system must support deletion of records. While it does not specify which records, who may delete them, or how deletion is performed, those are omissions or incompleteness issues rather than true ambiguity. A reasonable reader would interpret this consistently as requiring some capability to remove records.</t>
  </si>
  <si>
    <t>The phrase "support generate records" is grammatically unclear and allows multiple reasonable interpretations. It could mean the application shall generate records itself, or it could mean the application shall support users in generating records through some feature or workflow. These interpretations could lead to different implementations and behaviours, so this is a true ambiguity defect.</t>
  </si>
  <si>
    <t>The application shall generate records.</t>
  </si>
  <si>
    <t>The term "manage" is open to multiple reasonable interpretations, such as viewing reports, creating them, editing them, deleting them, approving them, or organizing them. Different teams could implement different sets of capabilities while still believing they satisfy the requirement, leading to different system behaviour.</t>
  </si>
  <si>
    <t>Users shall be able to create, view, edit, delete, and export reports.</t>
  </si>
  <si>
    <t>The phrase "manage records" has multiple reasonable interpretations, such as create/read/update/delete records, update only, administer record metadata, or perform broader workflow actions on records. Different teams could implement different capabilities based on this wording, leading to different system behaviour.</t>
  </si>
  <si>
    <t>Users shall be able to create, view, edit, and delete records.</t>
  </si>
  <si>
    <t>The phrase "enable generate of data" is grammatically malformed and supports multiple reasonable interpretations. It could mean the system shall generate data itself, shall enable users to generate data, or shall enable the generation/import/creation of data by another component. These interpretations would lead to different implementations and behaviours.</t>
  </si>
  <si>
    <t>Rewrite with a clear actor and action, for example: "The system shall allow users to generate data reports" or "The system shall generate data automatically."</t>
  </si>
  <si>
    <t>The phrase "update reports" has multiple reasonable interpretations that could lead to different implementations. It could mean users may edit the content or metadata of existing reports, refresh/regenerate reports from current data, or change the status/version of reports. In addition, "allow users" does not specify whether all users or only authorized users can perform the update. These are plausible interpretations of the same statement and could produce different system behaviour.</t>
  </si>
  <si>
    <t>The system shall allow authorized users to edit the content and metadata of existing reports.</t>
  </si>
  <si>
    <t>The phrase "support delete reports" is grammatically unclear and allows multiple reasonable interpretations. It could mean the application shall support deleting reports, or it could mean the application shall support reports that have been deleted / a delete-report function or report type. These interpretations could lead to different implementations, such as providing a report-deletion capability versus handling a specific kind of report.</t>
  </si>
  <si>
    <t>The application shall allow users to delete reports.</t>
  </si>
  <si>
    <t>The phrase "update accounts" is reasonably open to multiple interpretations that could lead to different implementations. "Accounts" could mean user profile/account details, financial accounts, or account records in general. "Update" could mean editing account attributes, changing status, modifying balances, or performing broader maintenance actions. A developer could implement different screens, permissions, and business rules depending on which meaning is intended. This is more than missing detail; the core action and object are semantically unclear.</t>
  </si>
  <si>
    <t>The system shall allow authenticated users to edit their account profile information, including name, email address, and password.</t>
  </si>
  <si>
    <t>The phrase 'allow users to update data' is open to multiple reasonable interpretations that could lead to different implementations. 'Users' could mean all users or only authorized roles, and 'update data' could mean editing any stored data, only user-owned records, or a specific subset of fields. These are not just missing details; the same statement can reasonably be understood in different ways that affect system behavior and access control.</t>
  </si>
  <si>
    <t>The system shall allow authenticated users with edit permission to modify their own profile data fields: name, email address, and phone number.</t>
  </si>
  <si>
    <t>The phrase "support create profiles" is reasonably interpretable in more than one way. It could mean the application shall allow users to create profiles, or it could mean the application shall support profiles intended for creation-related functions/configurations. The wording is also grammatically unclear, making the intended action and object relationship uncertain. These interpretations could lead to different implementations and UI/API behaviour.</t>
  </si>
  <si>
    <t>The application shall allow users to create profiles.</t>
  </si>
  <si>
    <t>The phrase "validate data" is open to multiple reasonable interpretations. A developer could interpret it as checking format and type constraints, verifying required fields are present, enforcing business rules, checking consistency against other records, or validating data against an external source. These interpretations would lead to different implementations and system behaviours. The requirement also does not indicate what data is being validated or under what conditions validation occurs.</t>
  </si>
  <si>
    <t>The system shall validate user-entered customer data at the time of submission by checking that all required fields are present, dates are in YYYY-MM-DD format, numeric fields contain only numbers, and the customer ID exists in the master customer database.</t>
  </si>
  <si>
    <t>The phrase "validate accounts" has multiple reasonable interpretations that could lead to different implementations. It could mean verifying that an account exists, checking account credentials, confirming account status or eligibility, validating account data fields, or approving accounts through a business workflow. Because a developer could implement different behaviours based on these interpretations, this is a true ambiguity rather than mere missing detail.</t>
  </si>
  <si>
    <t>The system shall provide functionality to verify that a user account exists, is active, and has valid login credentials before granting access.</t>
  </si>
  <si>
    <t>The phrase "enable manage of transactions" is grammatically malformed and supports multiple reasonable interpretations. A reader could interpret it as "enable management of transactions," meaning the system provides transaction management functions broadly, or as "enable managers to manage transactions," meaning a specific user role can manage transactions. It could also be read as allowing only certain transaction operations. These interpretations could lead to different implementations and access-control behaviour.</t>
  </si>
  <si>
    <t>The system shall allow authorized users to create, view, update, and delete transactions.</t>
  </si>
  <si>
    <t>The phrase "process orders" is semantically ambiguous because it can reasonably mean different things in different systems, such as creating an order, reviewing it, approving it, fulfilling it, charging payment, or marking it complete. These interpretations could lead to different implementations and user workflows. The statement "allow users" is not itself the main issue; the ambiguity comes from what actions are included in "process".</t>
  </si>
  <si>
    <t>The system shall allow users to review submitted orders, confirm payment, and mark orders as fulfilled.</t>
  </si>
  <si>
    <t>The phrase "enable delete of records" is reasonably interpretable in more than one way. It could mean the system shall provide users with the ability to delete records, or it could mean the system shall activate/allow deletion only under certain conditions or permissions. In addition, "records" is generic and could be interpreted as all record types or only a specific set within the system. These interpretations could lead to different implementations and behaviours.</t>
  </si>
  <si>
    <t>The system shall allow authorized users to delete records.</t>
  </si>
  <si>
    <t>The phrase "manage payments" is open to multiple reasonable interpretations, such as creating payments, editing scheduled payments, approving payments, cancelling payments, viewing payment history, or processing refunds. Different teams could implement different sets of functions while still believing they satisfy the requirement. This is a true ambiguity because the same statement can be interpreted in materially different ways that affect system behaviour.</t>
  </si>
  <si>
    <t>Users shall be able to create, view, edit, cancel, and refund payments.</t>
  </si>
  <si>
    <t>The phrase "process reports" is open to multiple reasonable interpretations. It could mean users can generate reports, review/analyze reports, approve reports, modify report contents, submit reports for workflow processing, or execute a batch operation on reports. These interpretations would lead to different implementations and system behaviors. The requirement therefore contains a true ambiguity, not merely missing detail.</t>
  </si>
  <si>
    <t>Users shall be able to generate and view reports.</t>
  </si>
  <si>
    <t>The phrase "support process transactions" is grammatically unclear and allows multiple reasonable interpretations. It could mean the application shall support the processing of transactions, or it could mean the application shall support process-related transactions associated with a business process. These interpretations could lead to different implementations and system behaviour.</t>
  </si>
  <si>
    <t>Rewrite to state the intended meaning explicitly, for example: "The application shall support the processing of financial transactions."</t>
  </si>
  <si>
    <t>The phrase "enable create of reports" is grammatically malformed and can reasonably be interpreted in more than one way. It could mean the system shall allow users to create reports, or it could mean the system shall activate/report-creation functionality in some other way. These interpretations could lead to different implementations and behaviors.</t>
  </si>
  <si>
    <t>The system shall allow users to create reports.</t>
  </si>
  <si>
    <t>The phrase "support create profiles" is reasonably interpretable in more than one way. It could mean the application shall allow users to create profiles, or it could mean the application shall support profiles intended for creation/configuration purposes. The wording is also grammatically unclear, making the intended action and object relationship uncertain. These interpretations could lead to different implementations and UI behaviour.</t>
  </si>
  <si>
    <t>The requirement states a clear capability: users can create payments. While it does not specify workflow details, payment types, validation rules, or permissions, those are omissions or incompleteness rather than true ambiguity. A reasonable reader would interpret this consistently as the system providing functionality for users to initiate or enter a new payment record/transaction.</t>
  </si>
  <si>
    <t>The phrase 'support delete transactions' is reasonably open to multiple interpretations. 'Delete transactions' could mean transactions whose purpose is to delete records, or it could mean deleting transaction records themselves. Also, 'support' is vague about the required behavior: it could mean the application allows users to perform deletions directly, processes deletion requests from another system, or merely handles such operations internally. These interpretations could lead to different implementations and behaviors.</t>
  </si>
  <si>
    <t>The application shall allow authorized users to delete transaction records from the system.</t>
  </si>
  <si>
    <t>The requirement states a clear maximum time limit of 30 seconds for page load time. Although it does not define measurement conditions such as network environment, start/end timing points, or which pages are covered, those are omissions or incompleteness rather than true ambiguity in the wording itself. The statement is unlikely to be reasonably interpreted in multiple distinct ways that would lead to different implementations.</t>
  </si>
  <si>
    <t>The requirement states a clear measurable constraint: page load time must be 5 seconds or less. Although it does not specify test conditions such as network speed, page type, or when timing starts and ends, those are omissions or incompleteness rather than multiple reasonable interpretations of the same wording. A competent developer would understand the core behavior consistently as a maximum allowed load time.</t>
  </si>
  <si>
    <t>The phrase "respond to user requests" has more than one reasonable interpretation that could affect implementation. It could mean the system must complete processing and deliver the full result within 10 seconds, or it could mean the system only needs to acknowledge the request or begin responding within 10 seconds. These interpretations can lead to different designs and measured behaviours, so this is a true ambiguity.</t>
  </si>
  <si>
    <t>The system shall display the complete result of each user-initiated request within 10 seconds of the user submitting the request.</t>
  </si>
  <si>
    <t>The statement can reasonably be interpreted in more than one way because 'database queries' and 'execute within 10 milliseconds' do not define the measurement scope. A developer could interpret this as applying to every query, only typical queries, only predefined application queries, or only under certain load conditions. 'Execute within 10 milliseconds' could also mean database engine execution time only or total elapsed time including network and application overhead. These interpretations could lead to different implementations, testing approaches, and performance guarantees.</t>
  </si>
  <si>
    <t>Each predefined application database query shall complete in no more than 10 milliseconds of total elapsed time, measured from submission by the application to receipt of the final result, under normal operating load of up to 100 concurrent users.</t>
  </si>
  <si>
    <t>The statement can reasonably be interpreted in more than one way. 'Database queries' could mean every query, only typical queries, or a defined subset of supported queries. 'Execute within 30 milliseconds' could also refer to different measurement boundaries, such as database engine execution time only or total application-observed response time including network and middleware overhead. These interpretations could lead to different implementations, testing approaches, and acceptance criteria.</t>
  </si>
  <si>
    <t>All supported SQL queries executed by the database engine under normal operating load shall complete in 30 milliseconds or less, measured from the time the database receives the query until the final result is produced.</t>
  </si>
  <si>
    <t>The statement expresses a clear performance requirement: database queries are required to complete within 10 milliseconds. Although it does not specify measurement conditions such as workload, query type, hardware, or percentile, those omissions make the requirement incomplete or difficult to verify, not truly ambiguous. A competent reader is unlikely to derive multiple distinct meanings of the same sentence that would lead to different implementations.</t>
  </si>
  <si>
    <t>The requirement states a clear upper bound on page load time: it must be no more than 60 seconds. While it does not define measurement conditions such as network environment, start/end timing points, or which pages are covered, those are omissions or incompleteness rather than true ambiguity in the wording itself. The core meaning is reasonably interpreted in one way and would not typically lead to multiple conflicting implementations.</t>
  </si>
  <si>
    <t>The phrase "access control" can reasonably be interpreted in different ways in software design. One team could read it as authentication/access decision logic, while another could read it as authorization policy enforcement or credential exchange. "Using RSA" also leaves multiple plausible meanings for how RSA is applied: for example, RSA for user authentication, RSA for key exchange, or RSA for protecting tokens/credentials. These interpretations could lead to materially different implementations and behaviours, so this is a true ambiguity rather than mere missing detail.</t>
  </si>
  <si>
    <t>Specify the exact access-control function and RSA usage, for example: "The system shall authenticate users using RSA-based digital signatures before granting access."</t>
  </si>
  <si>
    <t>The phrase "security events" is open to multiple reasonable interpretations. A developer could interpret it narrowly as authentication and authorization events only, or broadly as any event with security relevance such as configuration changes, failed access attempts, privilege changes, malware detections, or audit-related actions. These interpretations would lead to different logging behaviour and implementations. The word "all" depends on how "security events" is defined, so it does not remove the ambiguity.</t>
  </si>
  <si>
    <t>The system shall log the following security events: successful and failed login attempts, logout events, password changes, account lockouts, privilege changes, access-denied events, and security configuration changes.</t>
  </si>
  <si>
    <t>"User authentication shall require AES-256" is ambiguous because AES-256 is an encryption algorithm, but the requirement does not make clear what role it plays in authentication. Reasonable implementers could interpret this differently, such as: authentication credentials must be encrypted with AES-256 in transit, stored using AES-256, or authentication itself must use a mechanism based on AES-256. These interpretations would lead to different designs and behaviours.</t>
  </si>
  <si>
    <t>Specify exactly how AES-256 applies to authentication, for example: "The system shall encrypt authentication credentials in transit using AES-256" or "The system shall store authentication tokens encrypted with AES-256."</t>
  </si>
  <si>
    <t>The phrase "require RBAC" is open to more than one reasonable interpretation. It could mean that authentication itself must be performed using role-based access control information, or that access to the authenticated system must be governed by RBAC after login. Since authentication and authorization are distinct concepts, different teams could implement different behaviour based on this wording.</t>
  </si>
  <si>
    <t>Authentication shall verify user identity before access is granted, and authorization shall enforce role-based access control for all protected functions.</t>
  </si>
  <si>
    <t>The phrase "sensitive data" is open to multiple reasonable interpretations. Different teams could classify different sets of data as sensitive, leading to different implementations and protection scope. In addition, "using SSL/TLS" can reasonably be interpreted as protecting data only in transit via transport-layer encryption, while others might read it as a general requirement to encrypt all sensitive data, including stored data, with SSL/TLS terminology used loosely. These interpretations could produce materially different system behaviour.</t>
  </si>
  <si>
    <t>The system shall encrypt all personally identifiable information, authentication credentials, and payment data during transmission using TLS 1.3 or higher.</t>
  </si>
  <si>
    <t>The requirement combines two different security concepts in a way that permits multiple reasonable interpretations. 'Encrypt ... using RBAC' is unclear because RBAC normally refers to role-based access control, not an encryption method. A developer could interpret this as: (1) sensitive data must be encrypted, and access to decrypted data must be controlled by RBAC; or (2) encryption keys or encryption operations must be managed according to RBAC roles. These interpretations could lead to different designs and implementations. In addition, 'sensitive data' may depend on project definitions, but the primary ambiguity is the meaning of 'using RBAC' in relation to encryption.</t>
  </si>
  <si>
    <t>The system shall encrypt all sensitive data using [specified encryption algorithm], and shall restrict access to decrypted sensitive data using role-based access control (RBAC).</t>
  </si>
  <si>
    <t>The terms "clear" and "actionable" are subjective and allow multiple reasonable interpretations. Different teams could implement this requirement differently: one might provide brief plain-language messages, another might include detailed technical causes, and another might add recovery steps or links to help content. Because these interpretations could lead to different message content and user behaviour, the requirement contains a true ambiguity defect.</t>
  </si>
  <si>
    <t>Error messages shall state the problem in plain language, identify the affected field or operation, and provide a specific user action to resolve the error.</t>
  </si>
  <si>
    <t>The terms "intuitive" and "user-friendly" are subjective and can be reasonably interpreted in different ways by different analysts or developers. One team might implement a minimal, familiar interface with few steps, while another might focus on visual clarity, onboarding help, accessibility, or consistency. These differing interpretations could lead to different designs and behaviours, so this is a true ambiguity defect.</t>
  </si>
  <si>
    <t>The user interface shall allow a first-time user to complete the primary task within 3 minutes without training, shall use consistent navigation on all screens, and shall conform to WCAG 2.1 AA accessibility guidelines.</t>
  </si>
  <si>
    <t>The requirement clearly states that the system must provide help documentation. While it does not specify the format, scope, or delivery method of the documentation, that is incompleteness rather than true ambiguity. A competent developer would consistently understand this as requiring some form of help documentation to be made available by the system, not as multiple conflicting interpretations of the same wording.</t>
  </si>
  <si>
    <t>The phrase "help documentation" can reasonably be interpreted in more than one way, such as embedded in-application help, a user manual, an online knowledge base, or downloadable documentation. These interpretations could lead to different implementations and user-visible behaviour. The requirement also does not clarify what form of help must be provided, only that some help documentation exists.</t>
  </si>
  <si>
    <t>The system shall provide an online user help manual accessible from every application screen.</t>
  </si>
  <si>
    <t>The phrase "help documentation" is open to multiple reasonable interpretations, such as an in-application help system, a user manual, online documentation, context-sensitive help, or downloadable documents. These interpretations could lead to different implementations and user experiences. The requirement clearly mandates that some help be provided, but the form of that help is not uniquely determined by the wording.</t>
  </si>
  <si>
    <t>The system shall provide an online user help manual accessible from the application's Help menu.</t>
  </si>
  <si>
    <t>The terms "clear" and "actionable" are subjective and allow multiple reasonable interpretations. Different teams could implement this requirement differently, for example by showing brief plain-language messages, detailed technical diagnostics, suggested recovery steps, links to help content, or different combinations of these. Because the same statement can reasonably lead to different error-message content and behaviour, it contains a true ambiguity defect.</t>
  </si>
  <si>
    <t>Error messages shall describe the problem in plain language, identify the affected field or operation when applicable, and provide at least one specific user action to resolve or recover from the error.</t>
  </si>
  <si>
    <t>The terms "clear" and "actionable" are subjective and allow multiple reasonable interpretations. Different teams could implement this requirement differently, such as using plain-language explanations, varying levels of technical detail, different remediation guidance, or simply adding generic help text. These interpretations could lead to different error message content and user behaviour.</t>
  </si>
  <si>
    <t>Error messages shall state the cause of the error in plain language and provide the user with at least one specific corrective action to resolve it.</t>
  </si>
  <si>
    <t>The terms "intuitive" and "user-friendly" are subjective and can be reasonably interpreted in different ways by different analysts or developers. One team might implement a minimal, simplified interface, while another might focus on consistency, accessibility, guided workflows, or reduced training needs. These differing interpretations could lead to different designs and behaviours, so the requirement is truly ambiguous.</t>
  </si>
  <si>
    <t>The user interface shall allow a first-time user to complete the primary task without training in no more than 3 minutes, and shall conform to the approved usability and accessibility standards defined for the project.</t>
  </si>
  <si>
    <t>label</t>
  </si>
  <si>
    <t>The requirement contains a syntactic error that creates genuine ambiguity. The phrase 'support process payments' is grammatically malformed and can be reasonably interpreted in at least two ways: (1) 'support [the ability to] process payments' (missing article/verb structure), or (2) 'support process [for] payments' (missing preposition). Additionally, if 'process' is intended as a noun, it's unclear what 'process payments' means as a compound concept. This grammatical ambiguity could lead different implementers to seek clarification on different aspects or make different assumptions about the core functionality being described.</t>
  </si>
  <si>
    <t>The application shall process payments.</t>
  </si>
  <si>
    <t>This requirement clearly states that users shall have the capability to view orders. While it lacks implementation details (e.g., which orders, what information is displayed, through what interface), these are matters of incompleteness, not ambiguity. A competent analyst would reasonably interpret this as: the system must provide functionality that allows users to access and see order information. The core meaningâ€”that viewing orders must be possible for usersâ€”is unambiguous. Standard domain knowledge in software systems indicates 'view' means read-only access to data, and 'orders' refers to order records in the system. Different implementations might vary in UI design or data presentation, but they would all satisfy the same fundamental requirement: enabling users to see orders.</t>
  </si>
  <si>
    <t>The phrase 'support view payments' is semantically ambiguous because it can be reasonably interpreted in multiple ways that would lead to different implementations: (1) 'support' could mean enable/allow users to view payments, (2) 'view' could be a noun referring to a specific display perspective or screen (e.g., 'payments view'), making 'support' mean maintain or provide that view, or (3) the grammatical structure is unclear - it could be 'support [the ability to] view payments' or 'support [a] view [called] payments'. These interpretations would result in different functional implementations - one focusing on viewing capability, another on supporting a specific UI component or perspective.</t>
  </si>
  <si>
    <t>The requirement contains a grammatical error ('enable validate') that creates syntactic ambiguity. It could reasonably be interpreted as: (1) 'enable validation of data' - meaning the system should provide/activate data validation functionality, (2) 'enable [users to] validate data' - meaning users should be able to perform validation actions, or (3) a typo for 'enable valid data' - meaning the system should ensure data validity. Each interpretation could lead to different implementations: automated validation rules, user-triggered validation features, or data integrity constraints. The malformed syntax prevents clear understanding of the intended functionality.</t>
  </si>
  <si>
    <t>The system shall validate all input data against defined business rules before processing.</t>
  </si>
  <si>
    <t>The requirement contains a syntactic ambiguity due to the missing article or determiner before 'delete data'. This creates multiple reasonable interpretations: (1) 'support delete data' could mean support a feature called 'delete data', (2) it could be missing 'the' to mean 'support the delete data [operation]', or (3) it could be missing 'to' to mean 'support [the ability] to delete data'. Each interpretation could lead to different implementations - whether this is about supporting a specific data deletion feature, supporting deletion operations in general, or providing deletion capability. The grammatical structure is incomplete in a way that genuinely affects meaning, not just detail level.</t>
  </si>
  <si>
    <t>The application shall support the ability to delete data.</t>
  </si>
  <si>
    <t>The requirement contains a grammatical error that creates genuine ambiguity. 'Support create records' is syntactically malformed - it could mean 'support creating records' (the system enables record creation), 'support create-records' (support a feature/function named 'create records'), or 'support CREATE RECORDS' (support a specific SQL/database command). The missing article or verb form makes the intended meaning unclear, and different interpretations would lead to different implementations: a CRUD operation interface, integration with an external feature, or database command support.</t>
  </si>
  <si>
    <t>The application shall support creating records.</t>
  </si>
  <si>
    <t xml:space="preserve"> The word 'generate' is ambiguous in this context. It could reasonably mean: (1) create new user accounts (registration/signup functionality), or (2) produce/export account reports or summaries for existing users. Both interpretations are plausible in software systems and would lead to completely different implementations - one being a user registration module, the other being a reporting feature. A competent developer could legitimately interpret this either way without additional context.</t>
  </si>
  <si>
    <t>The system shall allow users to create new user accounts." OR "The system shall allow users to export account reports.</t>
  </si>
  <si>
    <t>While this requirement lacks implementation details (such as what data a transaction contains, validation rules, or user interface specifics), it is not ambiguous. The core meaning is clear: the system must provide functionality that allows transactions to be created. Any competent analyst or developer would understand this means implementing a create operation for transaction entities. The missing details represent incompleteness, not ambiguityâ€”developers would not reasonably interpret 'create transactions' to mean something fundamentally different like 'delete transactions' or 'view transactions'. Standard domain knowledge and requirements elicitation would fill in the missing specifics without confusion about the fundamental intent.</t>
  </si>
  <si>
    <t>The requirement '99% uptime availability' can be reasonably interpreted in multiple ways that would lead to different implementations: (1) 99% measured over what time period - per day (14.4 min downtime), per month (7.2 hours), per year (3.65 days)? (2) Does this include planned maintenance or only unplanned outages? (3) Is this measured continuously or during specific business hours? (4) Does 'uptime' mean the system is running, or that it is running AND responsive/functional? Different interpretations of these aspects would result in significantly different SLA implementations, monitoring strategies, and acceptable maintenance windows.</t>
  </si>
  <si>
    <t>The system shall maintain 99% availability measured monthly, calculated as (total minutes in month - unplanned downtime minutes) / total minutes in month, where availability means the system responds to health checks within 2 seconds. Planned maintenance windows announced 48 hours in advance are excluded from this calculation.</t>
  </si>
  <si>
    <t>The term 'gracefully' is subjective and can be interpreted in multiple ways that would lead to different implementations. One developer might interpret this as logging errors silently without user notification, another as displaying user-friendly error messages, another as implementing retry mechanisms, and yet another as ensuring the system continues operating in a degraded mode. The phrase 'handle errors' is also vague - it doesn't specify which errors, what handling means, or what the expected behavior should be. Different competent developers would reasonably implement this requirement in substantially different ways.</t>
  </si>
  <si>
    <t>The system shall display a user-friendly error message and log the error details when a database connection fails, allowing the user to retry the operation or return to the previous screen.</t>
  </si>
  <si>
    <t>The term 'gracefully' is subjective and can be interpreted in multiple ways that would lead to different implementations. One developer might interpret this as logging errors and continuing operation, another as displaying user-friendly error messages, another as attempting automatic recovery, and yet another as failing safely without data corruption. The phrase 'handle errors' is also vague - it doesn't specify which errors, what handling means, or what the expected behavior should be. Multiple competent developers could reasonably implement this requirement in fundamentally different ways.</t>
  </si>
  <si>
    <t>The system shall log all runtime errors to the error log, display a user-friendly error message to the user, and allow the user to continue working without data loss.</t>
  </si>
  <si>
    <t>This requirement contains two subjective terms that allow multiple reasonable interpretations: 'well-documented' and 'modular'. Different developers could reasonably interpret 'well-documented' as requiring inline comments only, comprehensive API documentation, user guides, or all of the above. Similarly, 'modular' could mean different things: separate files, distinct classes, microservices architecture, or plugin-based design. These different interpretations would lead to significantly different implementations and verification criteria.</t>
  </si>
  <si>
    <t>The code shall include inline comments for all public methods, API documentation using [specific tool/format], and maintain a separation of concerns with distinct modules for [list specific functional areas]. Each module shall expose a defined interface and have minimal dependencies on other modules.</t>
  </si>
  <si>
    <t>The code shall include inline comments for all public methods, API documentation using [specific tool/format], and a developer guide. The code shall be organized into separate modules where each module has a single responsibility and communicates through defined interfaces.</t>
  </si>
  <si>
    <t>The phrase 'support manage payments' contains a syntactic error that creates genuine ambiguity. It could be interpreted as: (1) 'support managing payments' - the application enables payment management functionality, (2) 'support and manage payments' - two separate functions (support payments AND manage payments), or (3) a typographical error for 'support payment management'. Each interpretation would lead to different implementations: enabling third-party payment management tools, implementing both support and management features separately, or building integrated payment management. The grammatical malformation prevents clear understanding of the intended functionality.</t>
  </si>
  <si>
    <t>The application shall enable users to manage payments.</t>
  </si>
  <si>
    <t>The requirement contains the subjective term 'easy' which different stakeholders could reasonably interpret in multiple ways that would lead to different implementations. 'Easy' could mean: (1) configuration updates require minimal steps/clicks, (2) updates can be done without system restart, (3) updates don't require technical expertise, (4) updates have a simple UI, or (5) updates can be done quickly. Each interpretation would result in different design decisions and implementation approaches. This is similar to the ambiguous example 'user-friendly' - both use subjective qualifiers without objective criteria.</t>
  </si>
  <si>
    <t>The system shall allow authorized users to update configuration parameters through the admin interface without requiring system restart or redeployment.</t>
  </si>
  <si>
    <t>While this requirement lacks implementation details (which databases, how many, what level of support), it has a single clear interpretation: the system must be designed to work with more than one type of database platform (e.g., MySQL, PostgreSQL, Oracle, SQL Server). The core meaningâ€”that the system architecture should not be locked to a single database vendorâ€”is unambiguous. The missing details (specific platforms, connection methods, migration support) represent incompleteness, not ambiguity. A competent developer would understand this as a portability requirement requiring database abstraction, even though specific implementation choices remain unspecified.</t>
  </si>
  <si>
    <t>The term 'browser-independent' can be reasonably interpreted in multiple ways that would lead to different implementations: (1) The application must function identically across all browsers (Chrome, Firefox, Safari, Edge, etc.), (2) The application must function across major modern browsers only, (3) The application must work across browsers but with acceptable variations in appearance or features, (4) The application should not depend on browser-specific APIs or extensions. Additionally, 'browser-independent' does not specify which browsers, which versions, or what level of compatibility is required. A developer could implement basic HTML/CSS that works everywhere but looks different, or invest significant effort in pixel-perfect cross-browser consistency. These are fundamentally different implementation approaches stemming from legitimate interpretations of the same requirement.</t>
  </si>
  <si>
    <t>The application shall function correctly on the latest stable versions of Chrome, Firefox, Safari, and Edge, with consistent core functionality and visual appearance within 5% layout variance across these browsers.</t>
  </si>
  <si>
    <t>While this requirement lacks implementation details, it is not ambiguous. 'Audit trails' is a well-established term in software engineering with a clear, standard meaning: a chronological record of system activities that enables reconstruction and examination of sequences of events. Any competent analyst or developer would understand this requirement to mean the system must record and maintain logs of user actions, system events, or data changes for accountability and traceability purposes. The absence of specifics about what to log, retention periods, or storage format represents incompleteness, not ambiguity. Different implementations would all satisfy the same fundamental interpretation: providing capability to track and review system activities.</t>
  </si>
  <si>
    <t>This requirement clearly states that users shall have the capability to update records. While it lacks implementation details (such as which records, what fields can be updated, validation rules, or UI specifics), these are matters of incompleteness rather than ambiguity. The core meaning is unambiguous: the system must provide functionality allowing users to modify existing records. A competent analyst would not reasonably interpret 'update records' to mean something fundamentally different (like delete, create, or view records). The verb 'update' has a clear, standard meaning in software contexts. Missing details about scope and constraints are normal at high-level requirements and do not constitute multiple reasonable interpretations that would lead to fundamentally different implementations.</t>
  </si>
  <si>
    <t>The requirement clearly states that users shall be able to update transactions. While implementation details (such as which fields can be updated, validation rules, or authorization constraints) are not specified, the core functional requirement is unambiguous: the system must provide functionality for users to modify existing transaction records. The verb 'update' has a clear, standard meaning in software systems (modify existing data), and 'transactions' is a well-understood domain concept. Missing details about scope, constraints, or business rules represent incompleteness, not ambiguity. A competent developer would understand this requires implementing transaction modification functionality, and would seek additional requirements for the specific rules and constraints.</t>
  </si>
  <si>
    <t>While this requirement lacks implementation details about what specific validation rules should be applied, it is not ambiguous. The term 'validate orders' has a clear, standard meaning in software systems: checking that order data meets certain criteria or business rules before processing. Any competent analyst would understand this refers to verification functionality for orders. The requirement clearly states WHAT must be provided (validation functionality) and WHAT it applies to (orders). The absence of specific validation rules (e.g., checking inventory, verifying payment methods, validating addresses) represents incompleteness, not ambiguity. Different developers would all implement some form of order validation logic; they would not interpret this requirement as meaning fundamentally different things.</t>
  </si>
  <si>
    <t>The requirement contains a grammatical error ('enable generate') that creates syntactic ambiguity. It could reasonably be interpreted as: (1) 'enable generation of records' - allowing the system to create new records, (2) 'enable generated records' - making previously generated records available/accessible, or (3) a typo for 'enable/generate records' - either enabling or generating records as separate actions. The malformed syntax prevents clear understanding of whether the system should create records, make them available, or both. Different interpretations would lead to different implementations.</t>
  </si>
  <si>
    <t>The system shall enable the generation of records.</t>
  </si>
  <si>
    <t>LOW</t>
  </si>
  <si>
    <t>The term 'delete transactions' has multiple reasonable interpretations that could lead to different implementations: (1) the ability to perform deletion operations as a type of transaction (i.e., transactional deletes with rollback capability), (2) the ability to delete transaction records from the system, or (3) the ability to reverse/undo previously completed transactions. Each interpretation would result in fundamentally different functionality and implementation approaches."</t>
  </si>
  <si>
    <t>The application shall allow users to delete transaction records from the database." OR "The application shall support deletion operations within a transactional context with rollback capability." OR "The application shall allow authorized users to reverse completed financial transactions."</t>
  </si>
  <si>
    <t>While the requirement contains a grammatical error ('enable create' instead of 'enable creation'), the intent is clear: the system must provide functionality to create payments. A competent analyst would reasonably interpret this as requiring a payment creation feature. The requirement does not specify implementation details (UI, API, validation rules, payment types), but this is incompleteness, not ambiguity. There is no reasonable alternative interpretation that would lead to fundamentally different implementations - all interpretations converge on 'the system must allow users/processes to create payments.'</t>
  </si>
  <si>
    <t>The requirement contains a grammatical error ('enable generate') that creates syntactic ambiguity. It is unclear whether the intended meaning is 'enable generation of data' (allowing data to be created/produced), 'enable generating data' (providing capability to create data), or possibly 'enable generator of data' (activating a data generator component). Additionally, 'data' is vague - it could mean user data, system data, reports, logs, or any other data type. The phrase 'enable generate' is malformed and could reasonably be interpreted as: (1) allowing users to generate/create data, (2) enabling a data generation feature, (3) activating an automated data generator, or (4) permitting data export/output. These interpretations could lead to significantly different implementations.</t>
  </si>
  <si>
    <t>The system shall enable users to generate reports in CSV format.</t>
  </si>
  <si>
    <t>While this requirement lacks implementation details (who can update, what fields, validation rules, etc.), it has a single clear interpretation: the system must provide functionality that allows reports to be modified/updated. The core meaning is unambiguous - 'enable update of reports' clearly means providing the capability to modify existing reports. The missing details represent incompleteness rather than ambiguity. A competent analyst would not reasonably interpret this as meaning something fundamentally different (e.g., 'delete reports' or 'view reports'). Using standard domain knowledge, 'update' has a well-understood meaning in software systems.</t>
  </si>
  <si>
    <t>The requirement clearly states that the system must provide functionality to delete accounts. While it lacks implementation details (e.g., who can delete accounts, what happens to associated data, confirmation requirements), these are missing specifications rather than ambiguities. A competent analyst would understand this as: the system must include a delete account feature. The core functional requirementâ€”that account deletion capability must existâ€”has only one reasonable interpretation. The absence of details about authorization, cascading effects, or UI design does not create multiple conflicting interpretations of what 'enable delete of accounts' means.</t>
  </si>
  <si>
    <t>The requirement clearly states that users shall have the capability to view payments. While it lacks implementation details (such as which payments, what information is displayed, or the UI format), these are matters of incompleteness rather than ambiguity. A competent analyst would reasonably interpret this as: the system must provide functionality that allows users to access and see payment information. This single interpretation would not lead to fundamentally different implementationsâ€”all would involve displaying payment data to users. The omission of specifics about filtering, sorting, or data fields does not create multiple conflicting interpretations of the core requirement.</t>
  </si>
  <si>
    <t>The requirement contains a syntactic error that creates genuine ambiguity. The phrase 'support validate payments' is grammatically malformed and can be reasonably interpreted in multiple ways: (1) 'support validating payments' - the system provides payment validation functionality, (2) 'support valid payments' - the system accepts/processes only valid payments, or (3) it could be a typo for 'support and validate payments' - two separate functions. Each interpretation would lead to different implementation approaches and system behaviors. This is not merely missing detail but actual structural ambiguity in the requirement statement itself.</t>
  </si>
  <si>
    <t>The application shall validate payments before processing them.</t>
  </si>
  <si>
    <t>The phrase 'enable process of orders' is semantically ambiguous because 'process' can be reasonably interpreted in multiple ways that would lead to different implementations: (1) 'process' as a verb meaning to handle/execute orders (e.g., validate, fulfill, ship orders), or (2) 'process' as a noun meaning to enable/configure a workflow or procedure for orders. Additionally, 'enable' is vague - it could mean allow users to initiate processing, configure the system to support processing, or activate an existing processing capability. These interpretations would result in fundamentally different system behaviors and implementations.</t>
  </si>
  <si>
    <t>The system shall allow authorized users to submit orders for processing." or "The system shall process customer orders by validating payment, updating inventory, and generating shipping labels." or "The system shall provide administrators the ability to configure order processing workflows.</t>
  </si>
  <si>
    <t>The requirement clearly states that the system must provide functionality to create accounts. While it lacks implementation details (e.g., what fields are required, validation rules, account types), this is incompleteness rather than ambiguity. A competent analyst would reasonably interpret this as: the system must have a feature that allows accounts to be created. There is no reasonable alternative interpretation that would lead to fundamentally different implementations of the core functionality. The requirement unambiguously establishes that account creation capability must exist.</t>
  </si>
  <si>
    <t>The requirement contains a grammatical error that creates genuine ambiguity. 'Support create profiles' is syntactically malformed and can be reasonably interpreted in multiple ways: (1) 'support creating profiles' - the system enables profile creation, (2) 'support create-profile operations' - the system provides API/interface support for profile creation functionality, or (3) it could be a typo for 'support created profiles' - the system works with already-created profiles. Each interpretation could lead to different implementation approaches (user-facing creation feature vs. backend support vs. profile management). The missing article and verb form creates true ambiguity beyond mere incompleteness.</t>
  </si>
  <si>
    <t>While this requirement lacks implementation details (e.g., what data orders contain, how they are generated, user interface specifics), it is not ambiguous. The core meaning is clear: the system must have functionality that creates/generates orders. Any competent analyst would understand this means the system needs a feature to create order entities. The missing details represent incompleteness, not ambiguityâ€”there is no reasonable interpretation where 'generate orders' means something fundamentally different that would lead to conflicting implementations of the basic capability.</t>
  </si>
  <si>
    <t>The requirement contains a syntactic error that creates genuine ambiguity. The phrase 'support validate profiles' is grammatically malformed and can be reasonably interpreted in multiple ways: (1) 'support validation of profiles' - the system provides profile validation functionality, (2) 'support validated profiles' - the system works with profiles that have been validated, or (3) a typo where 'support' or 'validate' should be removed. Each interpretation would lead to different implementations: validation logic vs. handling pre-validated data vs. basic profile support. A competent analyst cannot determine the intended meaning without clarification.</t>
  </si>
  <si>
    <t>The application shall validate user profiles before activation.</t>
  </si>
  <si>
    <t>The requirement contains a syntactic ambiguity due to the missing article or preposition. It could be interpreted as either 'The application shall support view orders' (where 'view' is a noun, meaning the application supports a specific type of orders called 'view orders') or 'The application shall support [the ability to] view orders' (where 'view' is a verb, meaning users can view/display orders). These two interpretations would lead to completely different implementations: one would involve handling a special order type, while the other would involve implementing a display/query feature for orders.</t>
  </si>
  <si>
    <t>This requirement clearly states that users must be able to view reports. While it lacks implementation details (such as which reports, what format, access controls, or UI specifics), these are matters of incompleteness rather than ambiguity. A competent analyst would understand this as a functional capability requirement: the system must provide a mechanism for users to access and display reports. There is no reasonable alternative interpretation that would lead to fundamentally different implementations of the core functionalityâ€”all implementations would involve presenting report data to users in some viewable form. The missing details would typically be specified in supplementary requirements or design documents, which is standard practice.</t>
  </si>
  <si>
    <t>The phrase 'enable process of orders' is semantically ambiguous because 'process' can be reasonably interpreted in multiple ways that would lead to different implementations: (1) 'process' as a verb meaning to handle/execute orders (e.g., validate, fulfill, ship orders), or (2) 'process' as a noun meaning to enable/configure a workflow or procedure for orders. Additionally, 'enable' is vague - it could mean allow users to initiate processing, configure the system to support processing, or activate an existing processing capability. These interpretations would result in fundamentally different system behaviors and implementations."</t>
  </si>
  <si>
    <t>The requirement clearly states that the system must provide functionality to delete records. While it lacks implementation details (e.g., which records, user permissions, confirmation dialogs, soft vs. hard delete), these are standard omissions that do not create ambiguity. Any competent developer would understand this means: the system must include a delete capability for records. The core functional requirementâ€”that deletion functionality must existâ€”has only one reasonable interpretation. Missing details about HOW to implement deletion or WHICH records are implementation concerns, not ambiguities in the requirement itself.</t>
  </si>
  <si>
    <t>The phrase 'support generate records' contains a syntactic ambiguity. It is unclear whether 'support' is the main verb (meaning the application shall support/enable something) or if 'generate' is the main action. This could be interpreted as: (1) 'The application shall support [the ability to] generate records' - where support means enable/provide functionality, or (2) 'The application shall support-generate records' - a compound action, or (3) a grammatical error where 'support' should be removed. These interpretations could lead to different implementations - one focusing on providing tools/interfaces for record generation versus directly generating records itself.</t>
  </si>
  <si>
    <t>The application shall generate records. OR The application shall provide functionality to generate records. OR The application shall enable users to generate records.</t>
  </si>
  <si>
    <t>The term 'manage' is semantically ambiguous because it could reasonably be interpreted in multiple ways that would lead to different implementations: (1) create, read, update, and delete reports (full CRUD operations), (2) only view and organize existing reports, (3) configure report settings and permissions, (4) schedule and distribute reports, or (5) some subset of these operations. Different developers could implement substantially different functionality based on their interpretation of 'manage', making this a true ambiguity that affects implementation.</t>
  </si>
  <si>
    <t>The term 'manage records' is semantically ambiguous because it could reasonably be interpreted in multiple ways that would lead to different implementations: (1) create, read, update, and delete records (full CRUD operations), (2) only update and delete existing records (no creation), (3) view and edit records but not delete them, (4) organize, categorize, or arrange records without modifying content, or (5) any subset of these operations. A competent developer could implement any of these interpretations as 'managing' records, resulting in significantly different system capabilities and user interfaces.</t>
  </si>
  <si>
    <t>Users shall be able to create, view, update, and delete records.</t>
  </si>
  <si>
    <t>The requirement contains a grammatical error ('enable generate') that creates syntactic ambiguity. It could reasonably be interpreted as: (1) 'enable generation of data' - allowing the system to create/produce data, (2) 'enable generating data' - providing capability to generate data, or (3) a typo for 'enable/generate data' - meaning either enable OR generate. Additionally, 'data' is vague without context, but the primary ambiguity stems from the malformed verb phrase that makes the intended action unclear. Different interpretations could lead to different implementations (e.g., a data creation feature vs. a permission/enablement mechanism vs. dual functionality).</t>
  </si>
  <si>
    <t>The system shall generate data in [specify format/type].</t>
  </si>
  <si>
    <t>The requirement clearly states that users shall be able to update reports. While implementation details (such as which fields can be updated, validation rules, or access controls) are not specified, the core functionality is unambiguous: the system must provide a capability for users to modify existing reports. The verb 'update' has a clear, standard meaning in software contexts (modify existing data), and 'allow' indicates a required capability. Missing details about HOW updates work or WHICH reports constitute incompleteness, not ambiguity. A competent developer would understand this requires implementing report modification functionality.</t>
  </si>
  <si>
    <t>The requirement contains a syntactic ambiguity due to missing grammatical structure. It is unclear whether 'delete' is a verb (the application shall support the deletion of reports) or an adjective/noun modifier (the application shall support reports that are marked as 'delete' or 'deleted'). These two interpretations would lead to fundamentally different implementations: one would implement functionality to remove reports, while the other would implement support for a specific type or category of reports. A competent developer could reasonably interpret this either way, leading to different system behaviors.</t>
  </si>
  <si>
    <t>The application shall support deletion of reports.</t>
  </si>
  <si>
    <t>The requirement clearly states that the system must provide functionality for users to update accounts. While it lacks implementation details (such as which account fields can be updated, validation rules, or UI specifics), these are normal omissions in high-level requirements and do not constitute ambiguity. A competent analyst would reasonably interpret this as: the system must provide a mechanism allowing authenticated users to modify account information. The core meaningâ€”that update functionality must existâ€”is unambiguous. Missing details about scope, constraints, or implementation approach represent incompleteness, not multiple conflicting interpretations.</t>
  </si>
  <si>
    <t>While this requirement lacks implementation details (which data, what update operations, access controls, validation rules), it has a single clear interpretation: the system must provide functionality enabling users to modify existing data. The core meaningâ€”that users can change dataâ€”is unambiguous. Missing details about scope, constraints, and specifics represent incompleteness, not ambiguity. A competent analyst would not reasonably interpret 'allow users to update data' as meaning anything other than providing data modification capability. The requirement would benefit from additional detail, but those omissions do not create multiple conflicting interpretations of what is being asked.</t>
  </si>
  <si>
    <t>While this requirement lacks implementation details (what data, what validation rules, when validation occurs), it does not contain true ambiguity. The core meaning is clear: the system must include data validation functionality. All competent analysts would understand this means the system needs to check data against some criteria to ensure correctness or compliance. The absence of specifics about which data fields, validation rules, or timing represents incompleteness, not ambiguity. Different implementations would vary in scope and detail, but not because the requirement itself can be interpreted in fundamentally different ways. Using standard domain knowledge, 'validate data' has a well-understood meaning in software engineering.</t>
  </si>
  <si>
    <t>The term 'validate accounts' can be reasonably interpreted in multiple ways that would lead to different implementations: (1) verifying that account data meets format/business rules (e.g., valid email format, required fields present), (2) authenticating that an account belongs to a legitimate user (credential verification), (3) confirming account status is active/approved (authorization check), or (4) verifying account balance or financial validity. Each interpretation would require substantially different validation logic, data checks, and system behavior.</t>
  </si>
  <si>
    <t>The system shall verify that account registration data conforms to business rules (valid email format, required fields completed, unique username) before account creation.</t>
  </si>
  <si>
    <t>The requirement contains a grammatical error ('enable manage' instead of 'enable management' or 'enable managing') that creates genuine ambiguity. Beyond the grammatical issue, 'manage' is vague and could reasonably mean: (1) create new transactions, (2) edit existing transactions, (3) delete transactions, (4) view/search transactions, (5) approve/reject transactions, or (6) any combination of these operations. Different developers could implement entirely different sets of functionality based on their interpretation of 'manage'. This is not merely missing detailâ€”the term 'manage' itself admits multiple distinct interpretations that would lead to different implementations.</t>
  </si>
  <si>
    <t>The system shall enable users to create, view, edit, and delete transactions.</t>
  </si>
  <si>
    <t>While this requirement lacks implementation details (e.g., what processing entails, UI specifics, validation rules), it is not ambiguous. The core meaning is clear: users must have the capability to process orders within the system. Any competent analyst would understand this as a functional capability requirement. The missing details represent incompleteness, not ambiguityâ€”developers would naturally seek clarification on the specifics of order processing through standard requirements elaboration processes. There is no reasonable alternative interpretation that would lead to fundamentally different implementations of the basic capability.</t>
  </si>
  <si>
    <t>The requirement clearly states that the system must provide functionality to delete records. While it lacks implementation details (e.g., which records, user permissions, soft vs. hard delete, confirmation dialogs), these are missing specifications rather than ambiguities. A competent developer would understand this as: 'provide a delete capability for records.' The core intentâ€”enabling record deletionâ€”has only one reasonable interpretation. The absence of details about HOW to implement deletion or WHICH records does not create multiple conflicting interpretations of WHAT the requirement asks for.</t>
  </si>
  <si>
    <t>The term 'manage payments' is semantically ambiguous because it could reasonably be interpreted in multiple ways that would lead to different implementations: (1) create, view, edit, and delete payment records, (2) process/execute payments, (3) approve/reject payments, (4) configure payment methods, (5) reconcile payments, or (6) any combination of these. A developer implementing 'manage payments' could reasonably choose to implement only viewing and editing existing payments, while another might implement full CRUD operations plus payment processing. These interpretations would result in substantially different system behaviors and capabilities.</t>
  </si>
  <si>
    <t>Users shall be able to create, view, edit, and delete payment records. Users shall be able to process payments using configured payment methods.</t>
  </si>
  <si>
    <t>The term 'process reports' is semantically ambiguous because it could reasonably mean multiple different operations: (1) generate/create reports from data, (2) review/approve reports submitted by others, (3) execute/run existing reports, (4) edit/modify report content, (5) transform reports from one format to another, or (6) handle/manage reports through a workflow. Each interpretation would lead to significantly different implementations with different UI elements, permissions, and system behaviors. A competent developer could not determine which specific functionality to implement without clarification.</t>
  </si>
  <si>
    <t>Users shall be able to generate reports from system data in PDF format.</t>
  </si>
  <si>
    <t>The requirement contains a syntactic ambiguity due to the phrase 'support process transactions'. This can be reasonably interpreted in two different ways: (1) 'support [the ability to] process transactions' - meaning the application should be capable of processing transactions, or (2) 'support process [for] transactions' - meaning the application should support some workflow or process related to transactions. Additionally, there's a possible interpretation where 'process' is a noun (support process-transactions as a type of transaction). These different interpretations would lead to fundamentally different implementations - one focusing on transaction processing capability, another on workflow support, and potentially another on a specific transaction type.</t>
  </si>
  <si>
    <t>The application shall process transactions." or "The application shall support the transaction processing workflow." depending on intended meaning.</t>
  </si>
  <si>
    <t>While the requirement contains a grammatical error ('enable create' instead of 'enable creation'), the intent is clear: the system must provide functionality to create reports. Despite missing implementation details (report format, content, user roles, storage), these omissions represent incompleteness rather than ambiguity. A competent analyst would reasonably interpret this as 'the system shall provide report creation capability.' The core functional requirementâ€”that users can create reportsâ€”has only one reasonable interpretation. The grammatical awkwardness does not create multiple plausible meanings that would lead to fundamentally different implementations.</t>
  </si>
  <si>
    <t>The requirement contains a grammatical error that creates genuine ambiguity. 'support create profiles' is syntactically malformed and can be reasonably interpreted in multiple ways: (1) 'support creating profiles' - the system enables profile creation, (2) 'support create-profile operations' - the system provides functionality for profile creation, or (3) it could be a typo for 'support/create profiles' meaning two separate functions. The missing article or verb form makes the intended meaning unclear, and different interpretations could lead to different implementations (e.g., whether this is about supporting an existing profile creation mechanism vs. implementing profile creation directly).</t>
  </si>
  <si>
    <t>The requirement clearly states that users shall have the capability to create payments. While it lacks implementation details (e.g., payment methods, validation rules, UI specifics), there is only one reasonable interpretation of the core functionality: the system must provide a feature that allows users to initiate/create payment transactions. The absence of detailed specifications about how payments are created, what fields are required, or what payment types are supported represents incompleteness, not ambiguity. A competent analyst would not reasonably interpret 'create payments' in multiple conflicting ways that would lead to fundamentally different implementations of the core capability.</t>
  </si>
  <si>
    <t>The term 'delete transactions' has multiple reasonable interpretations that could lead to different implementations: (1) the ability to perform deletion operations as a type of transaction (i.e., transactional deletes with rollback capability), (2) the ability to delete transaction records from the system, or (3) the ability to reverse/cancel previously completed transactions. Each interpretation would result in fundamentally different functionality and implementation approaches.</t>
  </si>
  <si>
    <t>The application shall allow users to delete transaction records from the database." OR "The application shall support deletion operations within a transactional context with rollback capability." OR "The application shall allow authorized users to reverse completed financial transactions.</t>
  </si>
  <si>
    <t>The requirement contains referential ambiguity regarding what 'page load time' means. A competent developer could reasonably interpret this as: (1) time until the page is fully rendered and all resources loaded, (2) time until the DOM is ready and interactive, (3) time until first contentful paint, or (4) time until the server responds with HTML. Each interpretation would lead to different implementation approaches and measurement criteria. Additionally, 'page' is ambiguous - does this apply to all pages, specific pages, or average across pages? These different interpretations could result in significantly different technical implementations and testing strategies.</t>
  </si>
  <si>
    <t>The initial page load time, measured from user request to DOM content loaded event, shall not exceed 30 seconds for the home page under normal network conditions.</t>
  </si>
  <si>
    <t>The requirement contains referential ambiguity regarding what 'page load time' means. Multiple reasonable interpretations exist: (1) time until the page is visually rendered, (2) time until the DOM is fully loaded, (3) time until all resources (images, scripts) are loaded, (4) time until the page is interactive, or (5) time until the onLoad event fires. Each interpretation could lead to different implementation approaches and measurement criteria. Additionally, 'page' is ambiguous - does this apply to all pages, the home page, or specific pages? These ambiguities would cause competent developers to implement different solutions.</t>
  </si>
  <si>
    <t>The time from user request to complete page load (DOMContentLoaded event) shall not exceed 5 seconds for the home page under normal network conditions.</t>
  </si>
  <si>
    <t>This requirement specifies a clear performance constraint: the system must respond within 10 seconds. While it does not specify every detail (e.g., what constitutes a 'response', whether this is average or maximum time, what happens under load), these are implementation details and missing specifications, not ambiguities. A competent developer would reasonably interpret this as: when a user makes a request, the system must provide a response within 10 seconds. This interpretation is standard in performance requirements and would not lead to fundamentally different implementations. The core obligationâ€”a 10-second response time limitâ€”is unambiguous.</t>
  </si>
  <si>
    <t>The requirement contains multiple sources of ambiguity that could lead to different implementations: (1) 'Database queries' is unclear - does this mean ALL queries, simple queries, complex queries, or a specific subset? (2) The measurement point is ambiguous - does the 10ms include network latency, application processing time, or only the database engine execution time? (3) The statistical interpretation is unclear - must ALL queries execute within 10ms (maximum), or is this an average, median, or percentile requirement? These ambiguities could lead to significantly different implementation approaches and testing criteria.</t>
  </si>
  <si>
    <t>All SELECT queries executed by the application shall complete database engine processing within 10 milliseconds, measured as the 95th percentile response time, excluding network transmission time.</t>
  </si>
  <si>
    <t>This requirement specifies a clear, measurable performance constraint: database queries must complete within 30 milliseconds. While it lacks implementation details (e.g., which queries, under what load, percentile requirements), these omissions represent incompleteness rather than ambiguity. A competent developer would understand this as a performance requirement with a specific numeric threshold. The core meaningâ€”queries should not exceed 30ms execution timeâ€”is unambiguous. Standard domain knowledge would guide reasonable assumptions about scope and measurement.</t>
  </si>
  <si>
    <t>The requirement contains referential ambiguity regarding what 'page load time' means. A competent developer could reasonably interpret this as: (1) time until the page is fully rendered and all resources loaded, (2) time until the DOM is ready and interactive, (3) time until first contentful paint, or (4) time until the server responds with HTML. Each interpretation would lead to different implementation approaches and measurement criteria. Additionally, 'page' is ambiguous - does this apply to all pages, specific pages, or the homepage? These multiple reasonable interpretations could result in different implementations and acceptance criteria.</t>
  </si>
  <si>
    <t>The initial page load time, measured from user request to DOMContentLoaded event, shall not exceed 60 seconds for the homepage under normal network conditions.</t>
  </si>
  <si>
    <t>The requirement is ambiguous because 'access control' and 'using RSA' can be reasonably interpreted in multiple ways that would lead to different implementations. 'Access control' could mean authentication (verifying identity), authorization (verifying permissions), or both. 'Using RSA' could mean: (1) RSA for encrypting credentials during transmission, (2) RSA for digital signatures to verify identity, (3) RSA for encrypting access tokens, (4) RSA key pairs for authentication mechanisms, or (5) RSA for encrypting authorization policies. A competent developer could implement any of these interpretations, resulting in fundamentally different access control architectures.</t>
  </si>
  <si>
    <t>Access control shall authenticate users using RSA public-key cryptography, where each user possesses an RSA private key and the system verifies identity by validating digital signatures created with that key.</t>
  </si>
  <si>
    <t>The term 'security events' is subject to multiple reasonable interpretations that could lead to different implementations. Different analysts could reasonably interpret this as: (1) only authentication/authorization events, (2) all access control violations, (3) system intrusions and attacks, (4) data breaches and unauthorized access attempts, or (5) a comprehensive set including all of the above plus configuration changes, privilege escalations, etc. Each interpretation would result in logging different sets of events, making this ambiguous in a way that affects implementation.</t>
  </si>
  <si>
    <t>The system shall log all security events including: authentication attempts (successful and failed), authorization failures, user privilege changes, security configuration modifications, and detected intrusion attempts.</t>
  </si>
  <si>
    <t>The requirement states that user authentication 'shall require AES-256' but does not specify what aspect of authentication requires AES-256 encryption. Multiple reasonable interpretations exist: (1) passwords must be encrypted with AES-256 before storage, (2) authentication tokens/session data must use AES-256, (3) the entire authentication communication channel must use AES-256, or (4) credentials must be encrypted with AES-256 during transmission. Each interpretation would lead to significantly different implementations. A competent developer could reasonably implement any of these, and the choice would materially affect the system's security architecture.</t>
  </si>
  <si>
    <t>User authentication shall encrypt stored password hashes using AES-256 encryption with a unique salt per user.</t>
  </si>
  <si>
    <t>The requirement clearly states that user authentication must use Role-Based Access Control (RBAC). RBAC is a well-established access control mechanism with a standard definition in the security domain: users are assigned roles, and permissions are associated with those roles. While implementation details (such as specific roles, permission granularity, or technical framework) are not specified, this does not constitute ambiguity. Any competent developer would understand this requirement to mean implementing an authentication system where access rights are determined by user roles rather than individual permissions or other access control models (like DAC or MAC). The core interpretationâ€”that RBAC must be usedâ€”is unambiguous.</t>
  </si>
  <si>
    <t>This requirement clearly specifies that sensitive data must be encrypted using SSL/TLS protocols. While it does not specify implementation details such as which version of TLS, cipher suites, or what constitutes 'sensitive data', these are matters of incompleteness rather than ambiguity. A competent developer would understand this requirement to mean: (1) identify sensitive data according to standard security classifications, (2) apply SSL/TLS encryption to protect that data, typically during transmission. The core directiveâ€”encrypt sensitive data with SSL/TLSâ€”has only one reasonable interpretation. The omission of technical parameters (TLS version, key length, etc.) represents missing specification detail, not multiple conflicting interpretations that would lead to fundamentally different implementations.</t>
  </si>
  <si>
    <t>The requirement contains a fundamental semantic confusion. RBAC (Role-Based Access Control) is an authorization/access control mechanism, not an encryption method. A competent analyst could interpret this in multiple ways: (1) encrypt data AND implement RBAC separately, (2) use RBAC to control who can encrypt/decrypt data, (3) the requirement author confused RBAC with an encryption algorithm (e.g., AES, RSA). These interpretations would lead to completely different implementations - one focusing on encryption algorithms, another on access control policies, or a combination of both. The mixing of encryption (a confidentiality mechanism) with RBAC (an authorization mechanism) creates genuine ambiguity about what security controls are actually required.</t>
  </si>
  <si>
    <t>The system shall encrypt all sensitive data using AES-256 encryption, and shall implement Role-Based Access Control (RBAC) to restrict access to decrypted sensitive data based on user roles.</t>
  </si>
  <si>
    <t>This requirement contains subjective terms that allow multiple reasonable interpretations. 'Clear' is subjective - one developer might interpret it as using simple language, another as providing technical details, and another as including error codes. 'Actionable' is similarly ambiguous - it could mean providing a specific fix, offering general guidance, including contact information, or suggesting next steps. Different developers could implement error messages with significantly different content, format, and level of detail while each believing they met this requirement.</t>
  </si>
  <si>
    <t>Error messages shall include: (1) a unique error code, (2) a description of what went wrong in plain language, (3) the specific action that caused the error, and (4) at least one concrete step the user can take to resolve or report the issue.</t>
  </si>
  <si>
    <t>The terms 'intuitive' and 'user-friendly' are highly subjective and lack objective criteria. Different stakeholders (designers, developers, testers, users) could reasonably interpret these terms in fundamentally different ways, leading to different implementations. One developer might interpret 'intuitive' as minimalist design with few options, while another might interpret it as comprehensive with guided workflows. 'User-friendly' could mean different things for different user populations (novice vs. expert users). These interpretations would result in measurably different UI designs, navigation structures, and interaction patterns. There are no standard, universally accepted definitions of these terms that would guide implementation consistently.</t>
  </si>
  <si>
    <t>The user interface shall: (1) allow users to complete core tasks within 3 clicks from the home screen, (2) provide contextual help tooltips for all input fields, (3) display confirmation messages for all destructive actions, and (4) achieve a System Usability Scale (SUS) score of at least 75 in user testing with the target user group.</t>
  </si>
  <si>
    <t>While this requirement lacks implementation details (format, access method, content scope), it has a single clear interpretation: the system must make help documentation available to users. The core obligation is unambiguous - provide help documentation. Missing details about HOW to provide it (online help, PDF, context-sensitive, etc.) or WHAT to include constitute incompleteness, not ambiguity. Any competent developer would understand this means 'make help documentation accessible' and would seek clarification on implementation specifics through normal requirements elaboration processes. The requirement does not present multiple conflicting interpretations that would lead to fundamentally different implementations of the core obligation.</t>
  </si>
  <si>
    <t>While this requirement lacks implementation details (format, access method, content scope), it has a single clear interpretation: the system must make help documentation available to users. The core obligation is unambiguous - provide help documentation. Missing details about HOW to provide it (online help, PDF, context-sensitive, etc.) or WHAT to include constitute incompleteness, not ambiguity. Any competent developer would understand this means 'make help documentation accessible' and would use standard domain conventions to implement it. There are no competing reasonable interpretations that would lead to fundamentally different implementations of the core requirement.</t>
  </si>
  <si>
    <t>While this requirement lacks implementation details (format, access method, content scope), it has a single clear interpretation: the system must make help documentation available to users. A competent analyst would understand this as a standard feature requirement. The missing details (whether online/offline, HTML/PDF, context-sensitive or general) represent incompleteness, not ambiguity. Different developers might implement this differently, but they would all be implementing the same core concept: providing help documentation. This is analogous to 'The system shall export reports in PDF format' - both specify what must exist without specifying all implementation details.</t>
  </si>
  <si>
    <t>This requirement contains subjective terms that allow multiple reasonable interpretations. 'Clear' is subjective - one developer might interpret this as using simple language, another as providing technical details, and another as including error codes. 'Actionable' is similarly ambiguous - it could mean providing a specific fix, suggesting next steps, offering a help link, or enabling a retry mechanism. Different developers could implement significantly different error message formats and content based on their interpretation of these terms, leading to inconsistent user experiences.</t>
  </si>
  <si>
    <t>Error messages shall include: (1) a unique error code, (2) a description of what went wrong in plain language, (3) the specific action the user should take to resolve the issue or whom to contact for assistance.</t>
  </si>
  <si>
    <t>The requirement contains two subjective terms that allow multiple reasonable interpretations: 'clear' and 'actionable'. Different developers could implement this differently - one might interpret 'clear' as using simple language without jargon, another as providing detailed technical information. Similarly, 'actionable' could mean including specific steps to resolve the error, or simply indicating what went wrong, or providing links to documentation. These interpretations would lead to measurably different error message implementations with different content, structure, and level of detail.</t>
  </si>
  <si>
    <t>Error messages shall include: (1) a description of what went wrong in plain language, (2) the specific cause or context of the error, and (3) at least one concrete step the user can take to resolve or report the issue.</t>
  </si>
  <si>
    <t>Human Evaluation</t>
  </si>
  <si>
    <t>Agent Evaluation (gpt-5.4)</t>
  </si>
  <si>
    <t>Match</t>
  </si>
  <si>
    <t>Evaluation Metrics(TP,FP,FN,TN)</t>
  </si>
  <si>
    <t>TP (True Positive)</t>
  </si>
  <si>
    <t>TN (True Negative)</t>
  </si>
  <si>
    <t>FP (False Positive)</t>
  </si>
  <si>
    <t>FN (False Negative)</t>
  </si>
  <si>
    <t>Precision</t>
  </si>
  <si>
    <t>Recall</t>
  </si>
  <si>
    <t>F1-SCORE</t>
  </si>
  <si>
    <t>TP</t>
  </si>
  <si>
    <t>FN</t>
  </si>
  <si>
    <t>FP</t>
  </si>
  <si>
    <t>TN</t>
  </si>
  <si>
    <t>TOTAL:</t>
  </si>
  <si>
    <t>Agent Evaluation (claude-sonnet-4-5)</t>
  </si>
  <si>
    <t>Req_ID</t>
  </si>
  <si>
    <t>Requirement_Text</t>
  </si>
  <si>
    <t>reqAId</t>
  </si>
  <si>
    <t>reqBId</t>
  </si>
  <si>
    <t>reqAText</t>
  </si>
  <si>
    <t>reqBText</t>
  </si>
  <si>
    <t>No contradiction was detected for this candidate pair.</t>
  </si>
  <si>
    <t>Both requirements define the maximum allowed page load time, but they specify different limits: 5 seconds versus 10 seconds. These are conflicting acceptance criteria for the same performance measure and create ambiguity about which threshold must be satisfied.</t>
  </si>
  <si>
    <t>Define a single authoritative maximum page load time, or clarify that one value applies to a specific context, page type, or operating condition.</t>
  </si>
  <si>
    <t>These two requirements specify different maximum page load times: 10 seconds versus 30 seconds. They are not strictly mutually exclusive because a system meeting the 10-second limit also satisfies the 30-second limit, but they define conflicting acceptance criteria and create ambiguity about the intended performance target.</t>
  </si>
  <si>
    <t>Define a single authoritative maximum page load time, or distinguish the limits by context, page type, or operating conditions.</t>
  </si>
  <si>
    <t>These requirements specify different response-time limits for user requests: within 10 seconds versus within 2 seconds. They are not strictly contradictory because satisfying 2 seconds also satisfies 10 seconds, but they impose incompatible performance thresholds and make the required behaviour unclear.</t>
  </si>
  <si>
    <t>Choose one response-time requirement as the authoritative target, or clarify that one value is a stricter goal for a specific subset of requests.</t>
  </si>
  <si>
    <t>The two requirements specify different maximum page load times: 60 seconds versus 2 seconds. These are conflicting performance targets because they define incompatible acceptance criteria for the same behavior, even though an implementation meeting 2 seconds would also satisfy 60 seconds.</t>
  </si>
  <si>
    <t>Define a single authoritative maximum page load time or clarify whether one value is a general limit and the other applies to a specific page type, condition, or service level.</t>
  </si>
  <si>
    <t>Both requirements define the same recovery behavior after failures but specify different maximum recovery times: 60 minutes versus 30 minutes. These impose conflicting constraints unless one is intended to refine or replace the other.</t>
  </si>
  <si>
    <t>Clarify the required recovery time and keep a single authoritative target, or specify that one requirement applies to a different failure class or operating condition.</t>
  </si>
  <si>
    <t>Both requirements address system recovery from failures and assign different deadlines: within 60 minutes and within 30 minutes. As written, they conflict because they define incompatible recovery limits for the same behavior.</t>
  </si>
  <si>
    <t>Resolve the discrepancy by choosing one recovery objective or by scoping each requirement to distinct failure scenarios.</t>
  </si>
  <si>
    <t>These requirements specify different maximum recovery times after failures: 60 minutes versus 5 minutes. They define conflicting recovery objectives for the same system behavior.</t>
  </si>
  <si>
    <t>Choose a single recovery time objective or clarify that the times apply to different failure classes, components, or service levels.</t>
  </si>
  <si>
    <t>These requirements specify different maximum recovery times after failures: 60 minutes versus 2 minutes. They impose incompatible recovery targets unless scoped to different situations.</t>
  </si>
  <si>
    <t>Define one authoritative recovery requirement or explicitly scope each recovery time to distinct failure scenarios.</t>
  </si>
  <si>
    <t>These requirements specify different maximum recovery times after failures: 5 minutes versus 2 minutes. They create conflicting recovery objectives for the same system behavior.</t>
  </si>
  <si>
    <t>Harmonize the recovery target or clarify that each requirement applies to different subsystems or severity levels.</t>
  </si>
  <si>
    <t>Both requirements define different maximum response times for the same scope, 'user requests'. One requires responses within 30 seconds, while the other requires responses within 2 seconds. These are conflicting performance rules unless explicitly scoped to different request types.</t>
  </si>
  <si>
    <t>Define a single response-time requirement for user requests, or explicitly scope each timing requirement to different request categories or operating conditions.</t>
  </si>
  <si>
    <t>Both requirements specify different response-time limits for the same subject, 'user requests': 30 seconds versus 5 seconds. This creates conflicting performance expectations for the same behavior.</t>
  </si>
  <si>
    <t>Harmonize the response-time thresholds or clarify that each applies to different request classes, workloads, or contexts.</t>
  </si>
  <si>
    <t>These requirements assign different maximum response times to the same system behavior, 'respond to user requests': 30 seconds and 5 seconds. Without further scoping, they are incompatible as parallel requirements.</t>
  </si>
  <si>
    <t>Keep one authoritative response-time target or add explicit conditions that distinguish when each limit applies.</t>
  </si>
  <si>
    <t>Both requirements constrain the same system response behavior but with different limits: 2 seconds and 5 seconds. This creates conflicting performance requirements unless one is intended as a stricter subset with explicit scope.</t>
  </si>
  <si>
    <t>Specify whether 2 seconds is the universal target and 5 seconds is obsolete, or define separate scopes for each timing requirement.</t>
  </si>
  <si>
    <t>These requirements define different response-time thresholds for the same user-request behavior: 2 seconds versus 5 seconds. Without contextual differentiation, they conflict.</t>
  </si>
  <si>
    <t>Choose one response-time requirement or qualify each one by request type, environment, or service level.</t>
  </si>
  <si>
    <t>Both requirements specify different maximum execution times for database queries: 30 milliseconds versus 60 milliseconds. These are not strictly contradictory because a system satisfying 30 milliseconds also satisfies 60 milliseconds, but they define conflicting acceptance criteria and create ambiguity about the required performance target.</t>
  </si>
  <si>
    <t>Consolidate these into a single authoritative performance requirement, or clarify whether 60 milliseconds applies to a different query class, environment, or operating condition.</t>
  </si>
  <si>
    <t>Both requirements define different maximum execution times for database queries: 30 milliseconds versus 5 milliseconds. These are not strictly mutually exclusive because meeting 5 milliseconds would satisfy 30 milliseconds, but they impose conflicting performance thresholds and make the intended requirement unclear.</t>
  </si>
  <si>
    <t>Define one required query-response target, or scope each timing requirement to distinct query types, workloads, or deployment conditions.</t>
  </si>
  <si>
    <t>These requirements specify different maximum execution times for database queries: 60 milliseconds and 5 milliseconds. Although the stricter target subsumes the looser one, the pair creates inconsistent performance expectations and ambiguous verification criteria.</t>
  </si>
  <si>
    <t>Replace the overlapping limits with a single agreed threshold, or explicitly assign each limit to different categories of queries or contexts.</t>
  </si>
  <si>
    <t>Both requirements define the execution time for database queries, but they specify different maximum limits: 5 milliseconds versus 30 milliseconds. These are conflicting performance rules unless one is explicitly a general upper bound and the other a stricter subset condition, which is not stated.</t>
  </si>
  <si>
    <t>Define a single authoritative performance target for database queries, or clarify whether one requirement is a stricter target and the other a broader acceptable limit under specific conditions.</t>
  </si>
  <si>
    <t>Both requirements specify different maximum execution times for database queries: 5 milliseconds and 10 milliseconds. Without contextual qualifiers, they impose conflicting performance constraints.</t>
  </si>
  <si>
    <t>Consolidate these into one performance requirement or specify the conditions under which each timing threshold applies.</t>
  </si>
  <si>
    <t>These requirements assign different maximum execution times to the same behaviour, database query execution: 30 milliseconds versus 10 milliseconds. Without scope distinctions, they conflict as competing rules.</t>
  </si>
  <si>
    <t>Choose one required query response threshold or qualify each requirement by query type, environment, or priority level.</t>
  </si>
  <si>
    <t>These requirements define different maximum response times for user requests: one requires responses within 2 seconds, while the other allows up to 5 seconds. They impose conflicting performance limits for the same kind of system behavior.</t>
  </si>
  <si>
    <t>Define a single response-time requirement for user requests, or clarify that the two limits apply to different request types, contexts, or service levels.</t>
  </si>
  <si>
    <t>Both requirements define maximum execution time for database queries, but with different limits: 10 milliseconds versus 30 milliseconds. These are conflicting performance rules because they specify different acceptance criteria for the same behavior.</t>
  </si>
  <si>
    <t>Clarify the intended performance target and keep a single authoritative requirement, or distinguish the limits by query type, workload, or environment.</t>
  </si>
  <si>
    <t>The authentication requirements mandate different mechanisms: RBAC and OAuth 2.0. These can coexist in some architectures, but as written both are stated as required for user authentication without clarifying their relationship. This creates a plausible inconsistency because RBAC is an authorization model while OAuth 2.0 is an authentication/authorization protocol, and requiring each as the defining authentication mechanism may lead to incompatible implementation interpretations.</t>
  </si>
  <si>
    <t>Clarify whether OAuth 2.0 is the authentication protocol and RBAC is the authorization model applied after login, or specify that both must be used together.</t>
  </si>
  <si>
    <t>These two requirements specify different recovery time objectives for the same system behavior after failures: within 5 minutes versus within 60 minutes. They define incompatible acceptance criteria because a single required recovery target is unclear.</t>
  </si>
  <si>
    <t>Define one authoritative recovery-time requirement, or clarify that one value applies to a specific failure class while the other applies to a different class.</t>
  </si>
  <si>
    <t>These requirements assign different maximum execution times to database queries: 60 milliseconds and 10 milliseconds. Although 10 milliseconds is stricter, the pair creates conflicting performance rules and ambiguous acceptance criteria for the same query behavior.</t>
  </si>
  <si>
    <t>Keep a single performance threshold, or specify that different thresholds apply to different query types, workloads, or operating conditions.</t>
  </si>
  <si>
    <t>CORN-751 requires page load time not to exceed 2 seconds, while CORN-767 requires page load time not to exceed 5 seconds. These create conflicting performance requirements where the system cannot simultaneously satisfy a 2-second maximum and a 5-second maximum as the primary constraint. The stricter requirement (2 seconds) makes the looser requirement (5 seconds) contradictory in specification.</t>
  </si>
  <si>
    <t>Determine the actual required page load time threshold and remove the conflicting requirement. If different page types have different thresholds, specify which pages each requirement applies to.</t>
  </si>
  <si>
    <t>CORN-751 requires page load time not to exceed 2 seconds, while CORN-778 requires page load time not to exceed 10 seconds. These create conflicting performance requirements. A system designed to meet a 2-second threshold contradicts a specification allowing up to 10 seconds.</t>
  </si>
  <si>
    <t>Establish a single, clear page load time requirement or differentiate requirements by page type, user role, or system context.</t>
  </si>
  <si>
    <t>CORN-767 requires page load time not to exceed 5 seconds, while CORN-778 requires page load time not to exceed 10 seconds. These specifications conflict as they define different maximum acceptable performance thresholds for the same metric.</t>
  </si>
  <si>
    <t>Consolidate into a single page load time requirement or clarify if different requirements apply to different scenarios (e.g., different page types, network conditions, or user contexts).</t>
  </si>
  <si>
    <t>CORN-821 requires user authentication to use OAuth 2.0, while CORN-855 requires user authentication to use JWT. These are different authentication mechanisms. While OAuth 2.0 can use JWT as a token format, the requirements as stated appear to mandate different authentication approaches without clarifying their relationship or compatibility.</t>
  </si>
  <si>
    <t>Clarify whether JWT is used as the token format within OAuth 2.0 implementation, or specify which authentication mechanism takes precedence. Consider revising to: 'User authentication shall require OAuth 2.0 using JWT tokens' if both are intended to work together.</t>
  </si>
  <si>
    <t>CORN-821 requires OAuth 2.0 for user authentication, while CORN-867 requires RBAC for user authentication. OAuth 2.0 is an authorization framework/protocol, while RBAC (Role-Based Access Control) is an access control model. These serve different purposes but the requirements state both 'shall require' for authentication, creating potential confusion about which mechanism is actually required.</t>
  </si>
  <si>
    <t>Clarify that OAuth 2.0 handles authentication/authorization protocol while RBAC defines the access control model. Consider revising to separate concerns: 'User authentication shall use OAuth 2.0' and 'Access control shall implement RBAC model'.</t>
  </si>
  <si>
    <t>CORN-855 requires JWT for user authentication, while CORN-867 requires RBAC for user authentication. JWT is a token format/standard, while RBAC is an access control model. These address different aspects but both are stated as requirements for authentication, potentially creating implementation conflicts.</t>
  </si>
  <si>
    <t>Clarify the relationship between JWT and RBAC. Consider revising to: 'User authentication tokens shall use JWT format' and 'Authorization shall implement RBAC model' to separate authentication token format from access control methodology.</t>
  </si>
  <si>
    <t>CORN-912 requires user authentication to use OAuth 2.0, while CORN-855 requires user authentication to use JWT. These are different authentication mechanisms. While OAuth 2.0 can use JWT as a token format, the requirements as stated appear to mandate different authentication approaches without clarifying their relationship or compatibility.</t>
  </si>
  <si>
    <t>CORN-912 requires OAuth 2.0 for user authentication, while CORN-867 requires RBAC for user authentication. OAuth 2.0 is an authorization framework/protocol, while RBAC (Role-Based Access Control) is an access control model. These serve different purposes but the requirements state both 'shall require' for authentication, creating potential confusion about which mechanism is actually required.</t>
  </si>
  <si>
    <t>CORN-749 specifies that page load time shall not exceed 5 seconds, while CORN-811 specifies that page load time shall not exceed 10 seconds. These requirements define conflicting performance constraints for the same metric. A page cannot simultaneously be required to load in both 5 seconds or less AND 10 seconds or less as separate requirements - one constraint is stricter than the other, creating ambiguity about which threshold must be met.</t>
  </si>
  <si>
    <t>Clarify which page load time requirement is correct, or specify different contexts (e.g., different page types, network conditions, or user roles). If 5 seconds is the intended limit, remove CORN-811. If different pages have different requirements, specify which pages each requirement applies to.</t>
  </si>
  <si>
    <t>CORN-752 requires page load time not to exceed 10 seconds, while CORN-775 allows up to 30 seconds. These requirements define conflicting performance constraints for the same metric (page load time). A system cannot simultaneously satisfy both a 10-second maximum and a 30-second maximum as the primary constraint.</t>
  </si>
  <si>
    <t>Determine the correct page load time requirement based on user needs and system capabilities. Remove one requirement or clarify if they apply to different types of pages (e.g., simple pages vs. complex reports).</t>
  </si>
  <si>
    <t>CORN-792 requires the system to respond to user requests within 10 seconds, while CORN-798 requires responses within 2 seconds. These requirements define conflicting performance constraints for the same metric (system response time). A system cannot simultaneously satisfy both a 10-second maximum and a 2-second maximum as the primary constraint.</t>
  </si>
  <si>
    <t>Determine the correct response time requirement based on user experience goals and technical feasibility. Remove one requirement or clarify if they apply to different types of requests (e.g., simple queries vs. complex operations).</t>
  </si>
  <si>
    <t>CORN-739 specifies that page load time shall not exceed 30 seconds, while CORN-755 specifies that page load time shall not exceed 60 seconds. These requirements define conflicting performance constraints for the same metric (page load time). A system cannot simultaneously satisfy both a 30-second maximum and a 60-second maximum as the authoritative requirement - one must take precedence.</t>
  </si>
  <si>
    <t>Determine the correct page load time requirement and remove the conflicting specification. If different page types require different load times, specify which pages each requirement applies to.</t>
  </si>
  <si>
    <t>CORN-741 specifies that database queries shall execute within 30 milliseconds, while CORN-809 specifies that database queries shall execute within 5 milliseconds. These requirements define conflicting performance constraints for the same metric (database query execution time). A system cannot simultaneously satisfy both a 30ms maximum and a 5ms maximum as the authoritative requirement.</t>
  </si>
  <si>
    <t>Determine the correct database query execution time requirement and remove the conflicting specification. If different query types require different execution times, specify which queries each requirement applies to.</t>
  </si>
  <si>
    <t>CORN-813 specifies that page load time shall not exceed 60 seconds, while CORN-814 specifies that page load time shall not exceed 2 seconds. These requirements define conflicting performance constraints for the same metric. A page cannot simultaneously comply with both a 60-second maximum and a 2-second maximum - the 2-second constraint is more restrictive and makes the 60-second constraint redundant or contradictory depending on intent.</t>
  </si>
  <si>
    <t>Determine the correct performance requirement for page load time. If 2 seconds is the target, remove CORN-813. If different page types have different requirements, clarify which pages each requirement applies to (e.g., 'Dashboard page load time shall not exceed 2 seconds' vs 'Report generation page load time shall not exceed 60 seconds').</t>
  </si>
  <si>
    <t>CORN-1005 requires the system to recover from failures within 60 minutes, while CORN-1045 requires recovery within 30 minutes. These are conflicting recovery time objectives that cannot both be satisfied - a system cannot simultaneously have both a 60-minute and 30-minute recovery requirement.</t>
  </si>
  <si>
    <t>Determine the correct recovery time objective (RTO) for the system. If different failure types require different recovery times, specify which failures must recover within 30 minutes and which within 60 minutes. Otherwise, select one recovery time requirement and remove the other.</t>
  </si>
  <si>
    <t>CORN-1040 requires the system to recover from failures within 60 minutes, while CORN-1045 requires recovery within 30 minutes. These are conflicting recovery time objectives that cannot both be satisfied - a system cannot simultaneously have both a 60-minute and 30-minute recovery requirement.</t>
  </si>
  <si>
    <t>CORN-1015 requires the system to recover from failures within 60 minutes, while CORN-1024 requires recovery within 5 minutes. These are mutually exclusive recovery time objectives - the system cannot simultaneously meet both a 60-minute and a 5-minute recovery requirement.</t>
  </si>
  <si>
    <t>Determine the actual recovery time objective (RTO) required for the system and retain only one requirement. If different failure types require different recovery times, specify the failure scenarios explicitly in each requirement.</t>
  </si>
  <si>
    <t>CORN-1015 requires the system to recover from failures within 60 minutes, while CORN-1041 requires recovery within 2 minutes. These define conflicting recovery time objectives that cannot both be satisfied.</t>
  </si>
  <si>
    <t>CORN-1024 requires the system to recover from failures within 5 minutes, while CORN-1041 requires recovery within 2 minutes. These are conflicting recovery time requirements - the system cannot have two different recovery time objectives for the same failure scenarios.</t>
  </si>
  <si>
    <t>CORN-723 requires the system to respond within 30 seconds, while CORN-733 requires response within 2 seconds. These are mutually exclusive performance requirements - the system cannot simultaneously meet both a 30-second and a 2-second response time constraint for the same user requests.</t>
  </si>
  <si>
    <t>Determine the correct response time requirement based on system capabilities and user needs. Consider whether different types of requests require different response times, or consolidate to a single response time requirement.</t>
  </si>
  <si>
    <t>CORN-723 specifies a 30-second response time while CORN-740 specifies a 5-second response time for user requests. These conflicting performance requirements cannot both be satisfied simultaneously.</t>
  </si>
  <si>
    <t>Clarify the intended response time requirement. If different request types have different performance needs, specify which requests require which response times. Otherwise, select the single appropriate response time threshold.</t>
  </si>
  <si>
    <t>CORN-723 requires 30-second response time while CORN-799 requires 5-second response time for user requests. These are contradictory performance constraints that cannot both be met.</t>
  </si>
  <si>
    <t>Consolidate to a single response time requirement or differentiate requirements by request type if different operations have different performance needs.</t>
  </si>
  <si>
    <t>CORN-733 mandates a 2-second response time while CORN-740 mandates a 5-second response time for user requests. These are conflicting performance requirements that create ambiguity about which threshold must be met.</t>
  </si>
  <si>
    <t>Determine the correct response time requirement. If 2 seconds is the target, remove CORN-740. If 5 seconds is acceptable, remove CORN-733. Consider whether different operations require different response times.</t>
  </si>
  <si>
    <t>CORN-733 specifies 2-second response time while CORN-799 specifies 5-second response time for user requests. These contradictory requirements cannot both be implemented.</t>
  </si>
  <si>
    <t>Select the appropriate response time threshold based on system performance requirements and user experience goals. Remove the conflicting requirement or clarify if they apply to different request categories.</t>
  </si>
  <si>
    <t>CORN-724 requires database queries to execute within 30 milliseconds, while CORN-728 requires them to execute within 60 milliseconds. These create conflicting performance requirements - a query cannot simultaneously meet both a 30ms and 60ms constraint as they define different maximum execution times.</t>
  </si>
  <si>
    <t>Determine the correct performance requirement for database queries. If different query types require different performance levels, specify which queries must meet which timing constraint. Otherwise, select one timing requirement (likely 30ms for stricter performance or 60ms for more relaxed performance).</t>
  </si>
  <si>
    <t>CORN-724 requires database queries to execute within 30 milliseconds, while CORN-771 requires them to execute within 5 milliseconds. These are mutually exclusive performance requirements - the same database queries cannot meet both a 30ms and 5ms execution time constraint.</t>
  </si>
  <si>
    <t>Clarify the performance requirements. If different types of queries have different performance needs, specify which queries must meet which timing constraint. Otherwise, select the appropriate single timing requirement based on system performance goals.</t>
  </si>
  <si>
    <t>CORN-728 requires database queries to execute within 60 milliseconds, while CORN-771 requires them to execute within 5 milliseconds. These define incompatible performance constraints for database queries - they cannot both be satisfied simultaneously.</t>
  </si>
  <si>
    <t>Resolve the conflicting timing requirements by either: (1) selecting one timing constraint that applies to all database queries, or (2) categorizing queries by type and assigning specific timing requirements to each category.</t>
  </si>
  <si>
    <t>CORN-738 requires database queries to execute within 5 milliseconds, while CORN-766 requires execution within 30 milliseconds. These are conflicting performance requirements that cannot both be satisfied simultaneously. A query cannot be required to complete in both 5ms and 30ms.</t>
  </si>
  <si>
    <t>Determine the correct performance requirement for database queries. Consider whether different query types require different thresholds, or consolidate to a single performance requirement (e.g., 5ms for simple queries, 30ms for complex queries).</t>
  </si>
  <si>
    <t>CORN-738 requires database queries to execute within 5 milliseconds, while CORN-793 requires execution within 10 milliseconds. These are conflicting performance requirements. A system cannot simultaneously guarantee both 5ms and 10ms execution times.</t>
  </si>
  <si>
    <t>Consolidate to a single performance requirement. If 5ms is the target, remove CORN-793. If different query types have different requirements, specify which queries must meet which thresholds.</t>
  </si>
  <si>
    <t>CORN-766 requires database queries to execute within 30 milliseconds, while CORN-793 requires execution within 10 milliseconds. These are mutually exclusive performance requirements that create conflicting implementation constraints.</t>
  </si>
  <si>
    <t>Select one performance threshold or differentiate requirements by query type (e.g., read queries within 10ms, write queries within 30ms). Remove redundant or conflicting requirements.</t>
  </si>
  <si>
    <t>CORN-725 requires the system to respond to user requests within 2 seconds, while CORN-742 requires responses within 5 seconds. These are conflicting performance requirements that define different maximum response times for the same behavior (responding to user requests).</t>
  </si>
  <si>
    <t>Determine the correct response time requirement and remove or align the conflicting requirement. If different response times are needed for different types of requests, specify the request types explicitly in each requirement.</t>
  </si>
  <si>
    <t>CORN-725 requires system responses within 2 seconds, while CORN-729 allows page load times up to 30 seconds. If page loads are considered user requests (which is typical), then a page load would violate the 2-second response requirement. This creates conflicting performance expectations.</t>
  </si>
  <si>
    <t>Clarify whether page loads are considered 'user requests' covered by CORN-725. If they are separate concerns, explicitly distinguish between general system responses and page load operations. Otherwise, align the timing requirements to be compatible.</t>
  </si>
  <si>
    <t>CORN-725 requires system responses within 2 seconds, while CORN-732 allows page load times up to 30 seconds. If page loads are considered user requests (which is typical), then a page load would violate the 2-second response requirement. This creates conflicting performance expectations.</t>
  </si>
  <si>
    <t>CORN-742 requires system responses within 5 seconds, while CORN-729 allows page load times up to 30 seconds. If page loads are considered user requests (which is typical), then a page load would violate the 5-second response requirement. This creates conflicting performance expectations.</t>
  </si>
  <si>
    <t>Clarify whether page loads are considered 'user requests' covered by CORN-742. If they are separate concerns, explicitly distinguish between general system responses and page load operations. Otherwise, align the timing requirements to be compatible.</t>
  </si>
  <si>
    <t>CORN-742 requires system responses within 5 seconds, while CORN-732 allows page load times up to 30 seconds. If page loads are considered user requests (which is typical), then a page load would violate the 5-second response requirement. This creates conflicting performance expectations.</t>
  </si>
  <si>
    <t>CORN-780 requires database queries to execute within 10 milliseconds, while CORN-788 requires execution within 30 milliseconds. These are conflicting performance requirements - a query cannot simultaneously meet both a 10ms and 30ms constraint as they define different maximum execution times for the same operation.</t>
  </si>
  <si>
    <t>Determine the correct performance requirement for database queries. If different query types require different thresholds, specify which queries must meet which timing constraint. Otherwise, select either 10ms or 30ms as the single performance target.</t>
  </si>
  <si>
    <t>CORN-873 requires user authentication to use RBAC (Role-Based Access Control), while CORN-905 requires user authentication to use OAuth 2.0. These specify different authentication mechanisms. While OAuth 2.0 can be used alongside RBAC (OAuth for authentication, RBAC for authorization), the requirements as stated appear to mandate different authentication approaches without clarifying how they work together.</t>
  </si>
  <si>
    <t>Clarify the authentication and authorization architecture. If both are required, specify that OAuth 2.0 shall be used for authentication and RBAC for authorization. If only one mechanism is needed, select either RBAC or OAuth 2.0 as the authentication requirement.</t>
  </si>
  <si>
    <t>CORN-1002 requires the system to recover from failures within 5 minutes, while CORN-1064 requires recovery within 60 minutes. These are conflicting recovery time objectives - a system cannot simultaneously be required to recover within both 5 minutes and 60 minutes. The 5-minute requirement is more stringent and makes the 60-minute requirement contradictory.</t>
  </si>
  <si>
    <t>Clarify the intended recovery time objective. If different failure types require different recovery times, specify which failures apply to each requirement. Otherwise, retain only one recovery time requirement that reflects the actual system needs.</t>
  </si>
  <si>
    <t>CORN-727 specifies that database queries shall execute within 60 milliseconds, while CORN-760 requires execution within 10 milliseconds. These are conflicting performance requirements - a query cannot be required to complete within both 60ms and 10ms simultaneously. The 10ms requirement is more stringent and contradicts the 60ms requirement.</t>
  </si>
  <si>
    <t>Determine the correct performance requirement for database queries. If different query types have different performance needs, specify which queries apply to each requirement. Otherwise, establish a single performance threshold that meets system objectives.</t>
  </si>
  <si>
    <t>HUMAN LABEL</t>
  </si>
  <si>
    <t>CHATGPT LABEL</t>
  </si>
  <si>
    <t>CLAUDE LABEL</t>
  </si>
  <si>
    <t>Banking_Portal</t>
  </si>
  <si>
    <t>Credit_Processing_System</t>
  </si>
  <si>
    <t>Fleet_Management_System</t>
  </si>
  <si>
    <t>Hospital_Management_System</t>
  </si>
  <si>
    <t>Inventory_Management</t>
  </si>
  <si>
    <t>Investment_Management</t>
  </si>
  <si>
    <t>Learning_Management_System</t>
  </si>
  <si>
    <t>Logistics_Platform</t>
  </si>
  <si>
    <t>Online_Examination</t>
  </si>
  <si>
    <t>Online_Shopping_Platform</t>
  </si>
  <si>
    <t>Patient_Records_System</t>
  </si>
  <si>
    <t>Payment_Gateway</t>
  </si>
  <si>
    <t>Student_Information_System</t>
  </si>
  <si>
    <t>Telemedicine_Platform</t>
  </si>
  <si>
    <t>Traffic_Control_System</t>
  </si>
  <si>
    <t>vague terms: able to view</t>
  </si>
  <si>
    <t>vague terms: enable validate</t>
  </si>
  <si>
    <t>vague terms: users to generate</t>
  </si>
  <si>
    <t>vague terms: have 99% uptime</t>
  </si>
  <si>
    <t>vague terms: gracefully</t>
  </si>
  <si>
    <t>vague terms: users to update</t>
  </si>
  <si>
    <t>vague terms: enable process of orders</t>
  </si>
  <si>
    <t>vague terms: enable generate</t>
  </si>
  <si>
    <t>vague terms: users to process</t>
  </si>
  <si>
    <t>vague terms: enable create</t>
  </si>
  <si>
    <t>vague terms: not exceed</t>
  </si>
  <si>
    <t>vague terms:  execute within</t>
  </si>
  <si>
    <t>vague terms: require AES-256</t>
  </si>
  <si>
    <t>vague terms: require RBAC</t>
  </si>
  <si>
    <t>vague terms: sensitive data using RBAC</t>
  </si>
  <si>
    <t>vague terms: provide help</t>
  </si>
  <si>
    <t>vague terms: be clear and actionable</t>
  </si>
  <si>
    <t>vague terms: intuitive and user-friendly</t>
  </si>
</sst>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0"/>
      <color rgb="FF000000"/>
      <name val="Arial"/>
      <scheme val="minor"/>
    </font>
    <font>
      <sz val="11"/>
      <color theme="1"/>
      <name val="Arial"/>
      <family val="2"/>
      <scheme val="minor"/>
    </font>
    <font>
      <b/>
      <sz val="10"/>
      <color theme="1"/>
      <name val="Arial"/>
      <scheme val="minor"/>
    </font>
    <font>
      <sz val="10"/>
      <color theme="1"/>
      <name val="Arial"/>
      <scheme val="minor"/>
    </font>
    <font>
      <sz val="11"/>
      <color theme="1"/>
      <name val="Calibri"/>
    </font>
    <font>
      <b/>
      <sz val="10"/>
      <color theme="1"/>
      <name val="Arial"/>
    </font>
    <font>
      <b/>
      <sz val="11"/>
      <color rgb="FF000000"/>
      <name val="Calibri"/>
    </font>
    <font>
      <sz val="10"/>
      <color theme="1"/>
      <name val="Arial"/>
    </font>
    <font>
      <sz val="11"/>
      <color rgb="FF000000"/>
      <name val="Calibri"/>
    </font>
    <font>
      <b/>
      <sz val="12"/>
      <color theme="1"/>
      <name val="Arial"/>
      <scheme val="minor"/>
    </font>
    <font>
      <b/>
      <sz val="15"/>
      <color rgb="FF000000"/>
      <name val="Calibri"/>
    </font>
    <font>
      <b/>
      <sz val="15"/>
      <color theme="1"/>
      <name val="Arial"/>
      <scheme val="minor"/>
    </font>
    <font>
      <b/>
      <sz val="12"/>
      <color rgb="FF000000"/>
      <name val="Calibri"/>
    </font>
    <font>
      <b/>
      <sz val="14"/>
      <color rgb="FF000000"/>
      <name val="Calibri"/>
    </font>
    <font>
      <b/>
      <sz val="14"/>
      <color theme="1"/>
      <name val="Arial"/>
      <scheme val="minor"/>
    </font>
    <font>
      <sz val="13"/>
      <color theme="1"/>
      <name val="Arial"/>
      <scheme val="minor"/>
    </font>
    <font>
      <b/>
      <sz val="15"/>
      <color theme="1"/>
      <name val="Arial"/>
    </font>
    <font>
      <b/>
      <sz val="14"/>
      <color theme="1"/>
      <name val="Arial"/>
    </font>
    <font>
      <b/>
      <sz val="11"/>
      <color theme="1"/>
      <name val="Arial"/>
      <family val="2"/>
      <scheme val="minor"/>
    </font>
    <font>
      <b/>
      <sz val="12"/>
      <color theme="1"/>
      <name val="Arial"/>
      <family val="2"/>
      <scheme val="minor"/>
    </font>
    <font>
      <sz val="12"/>
      <color rgb="FF000000"/>
      <name val="Arial"/>
      <family val="2"/>
      <scheme val="minor"/>
    </font>
    <font>
      <b/>
      <sz val="11"/>
      <color theme="1"/>
      <name val="Calibri"/>
      <family val="2"/>
    </font>
    <font>
      <sz val="11"/>
      <color theme="1"/>
      <name val="Calibri"/>
      <family val="2"/>
    </font>
    <font>
      <sz val="11"/>
      <color rgb="FF000000"/>
      <name val="Arial"/>
      <family val="2"/>
      <scheme val="minor"/>
    </font>
    <font>
      <b/>
      <sz val="11"/>
      <color rgb="FF000000"/>
      <name val="Calibri"/>
      <family val="2"/>
    </font>
    <font>
      <sz val="11"/>
      <color rgb="FF000000"/>
      <name val="Calibri"/>
      <family val="2"/>
    </font>
    <font>
      <sz val="12"/>
      <color theme="1"/>
      <name val="Arial"/>
      <family val="2"/>
    </font>
    <font>
      <b/>
      <sz val="12"/>
      <color theme="1"/>
      <name val="Arial"/>
      <family val="2"/>
    </font>
    <font>
      <b/>
      <sz val="16"/>
      <color rgb="FF000000"/>
      <name val="Arial"/>
      <family val="2"/>
      <scheme val="minor"/>
    </font>
  </fonts>
  <fills count="2">
    <fill>
      <patternFill patternType="none"/>
    </fill>
    <fill>
      <patternFill patternType="gray125"/>
    </fill>
  </fills>
  <borders count="7">
    <border>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indexed="65"/>
      </left>
      <right/>
      <top style="thin">
        <color indexed="8"/>
      </top>
      <bottom/>
      <diagonal/>
    </border>
    <border>
      <left style="thin">
        <color indexed="8"/>
      </left>
      <right/>
      <top style="thin">
        <color indexed="8"/>
      </top>
      <bottom style="thin">
        <color indexed="8"/>
      </bottom>
      <diagonal/>
    </border>
    <border>
      <left style="thin">
        <color indexed="65"/>
      </left>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55">
    <xf numFmtId="0" fontId="0" fillId="0" borderId="0" xfId="0" applyFont="1" applyAlignment="1"/>
    <xf numFmtId="0" fontId="2" fillId="0" borderId="0" xfId="0" applyFont="1" applyAlignment="1"/>
    <xf numFmtId="0" fontId="2" fillId="0" borderId="0" xfId="0" applyFont="1"/>
    <xf numFmtId="0" fontId="3" fillId="0" borderId="0" xfId="0" applyFont="1" applyAlignment="1"/>
    <xf numFmtId="0" fontId="4" fillId="0" borderId="0" xfId="0" applyFont="1" applyAlignment="1"/>
    <xf numFmtId="0" fontId="5" fillId="0" borderId="0" xfId="0" applyFont="1" applyAlignment="1"/>
    <xf numFmtId="0" fontId="6" fillId="0" borderId="0" xfId="0" applyFont="1" applyAlignment="1"/>
    <xf numFmtId="0" fontId="7" fillId="0" borderId="0" xfId="0" applyFont="1" applyAlignment="1"/>
    <xf numFmtId="0" fontId="8" fillId="0" borderId="0" xfId="0" applyFont="1" applyAlignment="1"/>
    <xf numFmtId="0" fontId="5" fillId="0" borderId="0" xfId="0" applyFont="1" applyAlignment="1"/>
    <xf numFmtId="0" fontId="3" fillId="0" borderId="0" xfId="0" applyFont="1"/>
    <xf numFmtId="0" fontId="2" fillId="0" borderId="0" xfId="0" applyFont="1"/>
    <xf numFmtId="0" fontId="9" fillId="0" borderId="0" xfId="0" applyFont="1" applyAlignment="1"/>
    <xf numFmtId="0" fontId="9" fillId="0" borderId="0" xfId="0" applyFont="1"/>
    <xf numFmtId="0" fontId="10" fillId="0" borderId="0" xfId="0" applyFont="1" applyAlignment="1"/>
    <xf numFmtId="0" fontId="11" fillId="0" borderId="0" xfId="0" applyFont="1"/>
    <xf numFmtId="0" fontId="8" fillId="0" borderId="0" xfId="0" applyFont="1" applyAlignment="1"/>
    <xf numFmtId="0" fontId="11" fillId="0" borderId="0" xfId="0" applyFont="1" applyAlignment="1"/>
    <xf numFmtId="0" fontId="12" fillId="0" borderId="0" xfId="0" applyFont="1" applyAlignment="1"/>
    <xf numFmtId="0" fontId="13" fillId="0" borderId="0" xfId="0" applyFont="1" applyAlignment="1"/>
    <xf numFmtId="0" fontId="14" fillId="0" borderId="0" xfId="0" applyFont="1"/>
    <xf numFmtId="0" fontId="8" fillId="0" borderId="0" xfId="0" applyFont="1" applyAlignment="1"/>
    <xf numFmtId="0" fontId="8" fillId="0" borderId="0" xfId="0" applyFont="1" applyAlignment="1"/>
    <xf numFmtId="0" fontId="7" fillId="0" borderId="0" xfId="0" applyFont="1" applyAlignment="1"/>
    <xf numFmtId="0" fontId="7" fillId="0" borderId="0" xfId="0" applyFont="1" applyAlignment="1"/>
    <xf numFmtId="0" fontId="15" fillId="0" borderId="0" xfId="0" applyFont="1"/>
    <xf numFmtId="0" fontId="16" fillId="0" borderId="0" xfId="0" applyFont="1" applyAlignment="1">
      <alignment horizontal="right"/>
    </xf>
    <xf numFmtId="0" fontId="17" fillId="0" borderId="0" xfId="0" applyFont="1" applyAlignment="1"/>
    <xf numFmtId="0" fontId="17" fillId="0" borderId="0" xfId="0" applyFont="1" applyAlignment="1"/>
    <xf numFmtId="0" fontId="8" fillId="0" borderId="0" xfId="0" applyFont="1" applyAlignment="1"/>
    <xf numFmtId="0" fontId="0" fillId="0" borderId="1" xfId="0" pivotButton="1" applyFont="1" applyBorder="1" applyAlignment="1"/>
    <xf numFmtId="0" fontId="0" fillId="0" borderId="2" xfId="0" applyFont="1" applyBorder="1" applyAlignment="1"/>
    <xf numFmtId="0" fontId="0" fillId="0" borderId="1" xfId="0" applyFont="1" applyBorder="1" applyAlignment="1"/>
    <xf numFmtId="0" fontId="0" fillId="0" borderId="3" xfId="0" applyFont="1" applyBorder="1" applyAlignment="1"/>
    <xf numFmtId="0" fontId="0" fillId="0" borderId="2" xfId="0" applyNumberFormat="1" applyFont="1" applyBorder="1" applyAlignment="1"/>
    <xf numFmtId="0" fontId="0" fillId="0" borderId="4" xfId="0" applyFont="1" applyBorder="1" applyAlignment="1"/>
    <xf numFmtId="0" fontId="0" fillId="0" borderId="5" xfId="0" applyFont="1" applyBorder="1" applyAlignment="1"/>
    <xf numFmtId="0" fontId="0" fillId="0" borderId="6" xfId="0" applyNumberFormat="1" applyFont="1" applyBorder="1" applyAlignment="1"/>
    <xf numFmtId="0" fontId="19" fillId="0" borderId="0" xfId="0" applyFont="1" applyAlignment="1"/>
    <xf numFmtId="0" fontId="20" fillId="0" borderId="0" xfId="0" applyFont="1" applyAlignment="1"/>
    <xf numFmtId="0" fontId="18" fillId="0" borderId="0" xfId="0" applyFont="1" applyAlignment="1"/>
    <xf numFmtId="0" fontId="21" fillId="0" borderId="0" xfId="0" applyFont="1" applyAlignment="1"/>
    <xf numFmtId="0" fontId="22" fillId="0" borderId="0" xfId="0" applyFont="1" applyAlignment="1"/>
    <xf numFmtId="0" fontId="23" fillId="0" borderId="0" xfId="0" applyFont="1" applyAlignment="1"/>
    <xf numFmtId="0" fontId="18" fillId="0" borderId="0" xfId="0" applyFont="1"/>
    <xf numFmtId="0" fontId="24" fillId="0" borderId="0" xfId="0" applyFont="1" applyAlignment="1"/>
    <xf numFmtId="0" fontId="25" fillId="0" borderId="0" xfId="0" applyFont="1" applyAlignment="1"/>
    <xf numFmtId="0" fontId="1" fillId="0" borderId="0" xfId="0" applyFont="1"/>
    <xf numFmtId="0" fontId="26" fillId="0" borderId="0" xfId="0" applyFont="1" applyAlignment="1"/>
    <xf numFmtId="0" fontId="27" fillId="0" borderId="0" xfId="0" applyFont="1" applyAlignment="1"/>
    <xf numFmtId="0" fontId="27" fillId="0" borderId="0" xfId="0" applyFont="1" applyAlignment="1">
      <alignment horizontal="right"/>
    </xf>
    <xf numFmtId="0" fontId="26" fillId="0" borderId="0" xfId="0" applyFont="1" applyAlignment="1">
      <alignment horizontal="right"/>
    </xf>
    <xf numFmtId="0" fontId="28" fillId="0" borderId="0" xfId="0" applyFont="1" applyAlignment="1"/>
    <xf numFmtId="0" fontId="8" fillId="0" borderId="0" xfId="0" applyFont="1" applyAlignment="1"/>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MANDY" refreshedDate="46292.742886689812" refreshedVersion="4" recordCount="1145">
  <cacheSource type="worksheet">
    <worksheetSource ref="A1:F1146" sheet="Inconsistency_dataset"/>
  </cacheSource>
  <cacheFields count="6">
    <cacheField name="Req_id" numFmtId="0">
      <sharedItems count="1145">
        <s v="CORN-017"/>
        <s v="CORN-036"/>
        <s v="CORN-046"/>
        <s v="CORN-048"/>
        <s v="CORN-063"/>
        <s v="CORN-067"/>
        <s v="CORN-070"/>
        <s v="CORN-080"/>
        <s v="CORN-083"/>
        <s v="CORN-091"/>
        <s v="CORN-092"/>
        <s v="CORN-108"/>
        <s v="CORN-117"/>
        <s v="CORN-130"/>
        <s v="CORN-157"/>
        <s v="CORN-163"/>
        <s v="CORN-170"/>
        <s v="CORN-171"/>
        <s v="CORN-215"/>
        <s v="CORN-230"/>
        <s v="CORN-234"/>
        <s v="CORN-245"/>
        <s v="CORN-250"/>
        <s v="CORN-257"/>
        <s v="CORN-262"/>
        <s v="CORN-275"/>
        <s v="CORN-289"/>
        <s v="CORN-300"/>
        <s v="CORN-313"/>
        <s v="CORN-322"/>
        <s v="CORN-327"/>
        <s v="CORN-338"/>
        <s v="CORN-341"/>
        <s v="CORN-395"/>
        <s v="CORN-403"/>
        <s v="CORN-416"/>
        <s v="CORN-450"/>
        <s v="CORN-452"/>
        <s v="CORN-484"/>
        <s v="CORN-499"/>
        <s v="CORN-544"/>
        <s v="CORN-553"/>
        <s v="CORN-556"/>
        <s v="CORN-569"/>
        <s v="CORN-575"/>
        <s v="CORN-607"/>
        <s v="CORN-619"/>
        <s v="CORN-638"/>
        <s v="CORN-640"/>
        <s v="CORN-647"/>
        <s v="CORN-680"/>
        <s v="CORN-711"/>
        <s v="CORN-713"/>
        <s v="CORN-714"/>
        <s v="CORN-731"/>
        <s v="CORN-735"/>
        <s v="CORN-743"/>
        <s v="CORN-765"/>
        <s v="CORN-810"/>
        <s v="CORN-818"/>
        <s v="CORN-890"/>
        <s v="CORN-927"/>
        <s v="CORN-930"/>
        <s v="CORN-940"/>
        <s v="CORN-946"/>
        <s v="CORN-966"/>
        <s v="CORN-976"/>
        <s v="CORN-992"/>
        <s v="CORN-1025"/>
        <s v="CORN-1049"/>
        <s v="CORN-1057"/>
        <s v="CORN-1089"/>
        <s v="CORN-1091"/>
        <s v="CORN-1092"/>
        <s v="CORN-1095"/>
        <s v="CORN-1096"/>
        <s v="CORN-1097"/>
        <s v="CORN-1101"/>
        <s v="CORN-1108"/>
        <s v="CORN-1116"/>
        <s v="CORN-1119"/>
        <s v="CORN-1129"/>
        <s v="CORN-1134"/>
        <s v="CORN-1135"/>
        <s v="CORN-1143"/>
        <s v="CORN-006"/>
        <s v="CORN-012"/>
        <s v="CORN-072"/>
        <s v="CORN-110"/>
        <s v="CORN-121"/>
        <s v="CORN-177"/>
        <s v="CORN-204"/>
        <s v="CORN-207"/>
        <s v="CORN-213"/>
        <s v="CORN-237"/>
        <s v="CORN-246"/>
        <s v="CORN-260"/>
        <s v="CORN-273"/>
        <s v="CORN-288"/>
        <s v="CORN-302"/>
        <s v="CORN-310"/>
        <s v="CORN-323"/>
        <s v="CORN-335"/>
        <s v="CORN-350"/>
        <s v="CORN-361"/>
        <s v="CORN-363"/>
        <s v="CORN-375"/>
        <s v="CORN-393"/>
        <s v="CORN-410"/>
        <s v="CORN-429"/>
        <s v="CORN-457"/>
        <s v="CORN-465"/>
        <s v="CORN-471"/>
        <s v="CORN-480"/>
        <s v="CORN-492"/>
        <s v="CORN-509"/>
        <s v="CORN-519"/>
        <s v="CORN-520"/>
        <s v="CORN-528"/>
        <s v="CORN-533"/>
        <s v="CORN-543"/>
        <s v="CORN-620"/>
        <s v="CORN-624"/>
        <s v="CORN-661"/>
        <s v="CORN-667"/>
        <s v="CORN-685"/>
        <s v="CORN-701"/>
        <s v="CORN-709"/>
        <s v="CORN-730"/>
        <s v="CORN-751"/>
        <s v="CORN-767"/>
        <s v="CORN-769"/>
        <s v="CORN-778"/>
        <s v="CORN-786"/>
        <s v="CORN-787"/>
        <s v="CORN-789"/>
        <s v="CORN-801"/>
        <s v="CORN-802"/>
        <s v="CORN-815"/>
        <s v="CORN-834"/>
        <s v="CORN-835"/>
        <s v="CORN-847"/>
        <s v="CORN-872"/>
        <s v="CORN-877"/>
        <s v="CORN-891"/>
        <s v="CORN-893"/>
        <s v="CORN-913"/>
        <s v="CORN-921"/>
        <s v="CORN-922"/>
        <s v="CORN-949"/>
        <s v="CORN-971"/>
        <s v="CORN-980"/>
        <s v="CORN-997"/>
        <s v="CORN-1058"/>
        <s v="CORN-1060"/>
        <s v="CORN-1068"/>
        <s v="CORN-1087"/>
        <s v="CORN-1110"/>
        <s v="CORN-009"/>
        <s v="CORN-027"/>
        <s v="CORN-041"/>
        <s v="CORN-044"/>
        <s v="CORN-055"/>
        <s v="CORN-075"/>
        <s v="CORN-079"/>
        <s v="CORN-114"/>
        <s v="CORN-129"/>
        <s v="CORN-136"/>
        <s v="CORN-154"/>
        <s v="CORN-156"/>
        <s v="CORN-158"/>
        <s v="CORN-167"/>
        <s v="CORN-191"/>
        <s v="CORN-211"/>
        <s v="CORN-218"/>
        <s v="CORN-227"/>
        <s v="CORN-258"/>
        <s v="CORN-270"/>
        <s v="CORN-294"/>
        <s v="CORN-301"/>
        <s v="CORN-314"/>
        <s v="CORN-340"/>
        <s v="CORN-356"/>
        <s v="CORN-388"/>
        <s v="CORN-411"/>
        <s v="CORN-421"/>
        <s v="CORN-432"/>
        <s v="CORN-449"/>
        <s v="CORN-454"/>
        <s v="CORN-462"/>
        <s v="CORN-463"/>
        <s v="CORN-475"/>
        <s v="CORN-477"/>
        <s v="CORN-478"/>
        <s v="CORN-506"/>
        <s v="CORN-511"/>
        <s v="CORN-558"/>
        <s v="CORN-564"/>
        <s v="CORN-570"/>
        <s v="CORN-572"/>
        <s v="CORN-582"/>
        <s v="CORN-589"/>
        <s v="CORN-601"/>
        <s v="CORN-604"/>
        <s v="CORN-606"/>
        <s v="CORN-631"/>
        <s v="CORN-653"/>
        <s v="CORN-689"/>
        <s v="CORN-696"/>
        <s v="CORN-708"/>
        <s v="CORN-744"/>
        <s v="CORN-781"/>
        <s v="CORN-803"/>
        <s v="CORN-821"/>
        <s v="CORN-823"/>
        <s v="CORN-826"/>
        <s v="CORN-837"/>
        <s v="CORN-842"/>
        <s v="CORN-844"/>
        <s v="CORN-855"/>
        <s v="CORN-856"/>
        <s v="CORN-867"/>
        <s v="CORN-909"/>
        <s v="CORN-912"/>
        <s v="CORN-926"/>
        <s v="CORN-943"/>
        <s v="CORN-944"/>
        <s v="CORN-1017"/>
        <s v="CORN-1051"/>
        <s v="CORN-1074"/>
        <s v="CORN-1081"/>
        <s v="CORN-1083"/>
        <s v="CORN-1084"/>
        <s v="CORN-1141"/>
        <s v="CORN-1145"/>
        <s v="CORN-005"/>
        <s v="CORN-018"/>
        <s v="CORN-028"/>
        <s v="CORN-039"/>
        <s v="CORN-051"/>
        <s v="CORN-087"/>
        <s v="CORN-099"/>
        <s v="CORN-115"/>
        <s v="CORN-127"/>
        <s v="CORN-140"/>
        <s v="CORN-153"/>
        <s v="CORN-183"/>
        <s v="CORN-188"/>
        <s v="CORN-199"/>
        <s v="CORN-210"/>
        <s v="CORN-217"/>
        <s v="CORN-238"/>
        <s v="CORN-251"/>
        <s v="CORN-254"/>
        <s v="CORN-282"/>
        <s v="CORN-317"/>
        <s v="CORN-329"/>
        <s v="CORN-330"/>
        <s v="CORN-351"/>
        <s v="CORN-352"/>
        <s v="CORN-362"/>
        <s v="CORN-389"/>
        <s v="CORN-390"/>
        <s v="CORN-397"/>
        <s v="CORN-399"/>
        <s v="CORN-414"/>
        <s v="CORN-423"/>
        <s v="CORN-425"/>
        <s v="CORN-441"/>
        <s v="CORN-459"/>
        <s v="CORN-487"/>
        <s v="CORN-497"/>
        <s v="CORN-534"/>
        <s v="CORN-555"/>
        <s v="CORN-587"/>
        <s v="CORN-595"/>
        <s v="CORN-626"/>
        <s v="CORN-652"/>
        <s v="CORN-656"/>
        <s v="CORN-671"/>
        <s v="CORN-676"/>
        <s v="CORN-686"/>
        <s v="CORN-688"/>
        <s v="CORN-692"/>
        <s v="CORN-703"/>
        <s v="CORN-720"/>
        <s v="CORN-748"/>
        <s v="CORN-749"/>
        <s v="CORN-761"/>
        <s v="CORN-768"/>
        <s v="CORN-770"/>
        <s v="CORN-794"/>
        <s v="CORN-811"/>
        <s v="CORN-824"/>
        <s v="CORN-840"/>
        <s v="CORN-841"/>
        <s v="CORN-860"/>
        <s v="CORN-876"/>
        <s v="CORN-880"/>
        <s v="CORN-885"/>
        <s v="CORN-887"/>
        <s v="CORN-894"/>
        <s v="CORN-896"/>
        <s v="CORN-934"/>
        <s v="CORN-935"/>
        <s v="CORN-948"/>
        <s v="CORN-990"/>
        <s v="CORN-1009"/>
        <s v="CORN-1016"/>
        <s v="CORN-1037"/>
        <s v="CORN-1044"/>
        <s v="CORN-1050"/>
        <s v="CORN-1102"/>
        <s v="CORN-1114"/>
        <s v="CORN-025"/>
        <s v="CORN-029"/>
        <s v="CORN-030"/>
        <s v="CORN-037"/>
        <s v="CORN-040"/>
        <s v="CORN-049"/>
        <s v="CORN-053"/>
        <s v="CORN-078"/>
        <s v="CORN-097"/>
        <s v="CORN-103"/>
        <s v="CORN-119"/>
        <s v="CORN-126"/>
        <s v="CORN-133"/>
        <s v="CORN-200"/>
        <s v="CORN-242"/>
        <s v="CORN-248"/>
        <s v="CORN-291"/>
        <s v="CORN-296"/>
        <s v="CORN-299"/>
        <s v="CORN-305"/>
        <s v="CORN-312"/>
        <s v="CORN-316"/>
        <s v="CORN-318"/>
        <s v="CORN-331"/>
        <s v="CORN-348"/>
        <s v="CORN-357"/>
        <s v="CORN-365"/>
        <s v="CORN-372"/>
        <s v="CORN-379"/>
        <s v="CORN-400"/>
        <s v="CORN-430"/>
        <s v="CORN-439"/>
        <s v="CORN-444"/>
        <s v="CORN-458"/>
        <s v="CORN-461"/>
        <s v="CORN-486"/>
        <s v="CORN-494"/>
        <s v="CORN-502"/>
        <s v="CORN-513"/>
        <s v="CORN-522"/>
        <s v="CORN-536"/>
        <s v="CORN-537"/>
        <s v="CORN-615"/>
        <s v="CORN-622"/>
        <s v="CORN-633"/>
        <s v="CORN-634"/>
        <s v="CORN-657"/>
        <s v="CORN-663"/>
        <s v="CORN-682"/>
        <s v="CORN-706"/>
        <s v="CORN-752"/>
        <s v="CORN-775"/>
        <s v="CORN-784"/>
        <s v="CORN-792"/>
        <s v="CORN-798"/>
        <s v="CORN-805"/>
        <s v="CORN-822"/>
        <s v="CORN-839"/>
        <s v="CORN-849"/>
        <s v="CORN-868"/>
        <s v="CORN-870"/>
        <s v="CORN-889"/>
        <s v="CORN-892"/>
        <s v="CORN-906"/>
        <s v="CORN-914"/>
        <s v="CORN-928"/>
        <s v="CORN-937"/>
        <s v="CORN-951"/>
        <s v="CORN-959"/>
        <s v="CORN-975"/>
        <s v="CORN-994"/>
        <s v="CORN-1003"/>
        <s v="CORN-1007"/>
        <s v="CORN-1010"/>
        <s v="CORN-1076"/>
        <s v="CORN-1078"/>
        <s v="CORN-1082"/>
        <s v="CORN-1088"/>
        <s v="CORN-1090"/>
        <s v="CORN-1118"/>
        <s v="CORN-1128"/>
        <s v="CORN-1137"/>
        <s v="CORN-1140"/>
        <s v="CORN-026"/>
        <s v="CORN-033"/>
        <s v="CORN-054"/>
        <s v="CORN-062"/>
        <s v="CORN-069"/>
        <s v="CORN-089"/>
        <s v="CORN-090"/>
        <s v="CORN-093"/>
        <s v="CORN-102"/>
        <s v="CORN-113"/>
        <s v="CORN-128"/>
        <s v="CORN-137"/>
        <s v="CORN-138"/>
        <s v="CORN-144"/>
        <s v="CORN-168"/>
        <s v="CORN-206"/>
        <s v="CORN-212"/>
        <s v="CORN-214"/>
        <s v="CORN-220"/>
        <s v="CORN-239"/>
        <s v="CORN-263"/>
        <s v="CORN-281"/>
        <s v="CORN-283"/>
        <s v="CORN-284"/>
        <s v="CORN-285"/>
        <s v="CORN-303"/>
        <s v="CORN-324"/>
        <s v="CORN-326"/>
        <s v="CORN-368"/>
        <s v="CORN-391"/>
        <s v="CORN-405"/>
        <s v="CORN-406"/>
        <s v="CORN-436"/>
        <s v="CORN-440"/>
        <s v="CORN-443"/>
        <s v="CORN-451"/>
        <s v="CORN-456"/>
        <s v="CORN-470"/>
        <s v="CORN-473"/>
        <s v="CORN-496"/>
        <s v="CORN-512"/>
        <s v="CORN-535"/>
        <s v="CORN-550"/>
        <s v="CORN-559"/>
        <s v="CORN-580"/>
        <s v="CORN-585"/>
        <s v="CORN-588"/>
        <s v="CORN-591"/>
        <s v="CORN-611"/>
        <s v="CORN-613"/>
        <s v="CORN-629"/>
        <s v="CORN-655"/>
        <s v="CORN-679"/>
        <s v="CORN-705"/>
        <s v="CORN-716"/>
        <s v="CORN-739"/>
        <s v="CORN-741"/>
        <s v="CORN-755"/>
        <s v="CORN-756"/>
        <s v="CORN-809"/>
        <s v="CORN-836"/>
        <s v="CORN-843"/>
        <s v="CORN-862"/>
        <s v="CORN-898"/>
        <s v="CORN-900"/>
        <s v="CORN-902"/>
        <s v="CORN-920"/>
        <s v="CORN-931"/>
        <s v="CORN-939"/>
        <s v="CORN-941"/>
        <s v="CORN-952"/>
        <s v="CORN-953"/>
        <s v="CORN-965"/>
        <s v="CORN-1020"/>
        <s v="CORN-1022"/>
        <s v="CORN-1027"/>
        <s v="CORN-1035"/>
        <s v="CORN-1054"/>
        <s v="CORN-1069"/>
        <s v="CORN-1070"/>
        <s v="CORN-1077"/>
        <s v="CORN-1104"/>
        <s v="CORN-1112"/>
        <s v="CORN-1113"/>
        <s v="CORN-1133"/>
        <s v="CORN-004"/>
        <s v="CORN-008"/>
        <s v="CORN-014"/>
        <s v="CORN-016"/>
        <s v="CORN-038"/>
        <s v="CORN-042"/>
        <s v="CORN-057"/>
        <s v="CORN-064"/>
        <s v="CORN-101"/>
        <s v="CORN-120"/>
        <s v="CORN-131"/>
        <s v="CORN-135"/>
        <s v="CORN-147"/>
        <s v="CORN-155"/>
        <s v="CORN-174"/>
        <s v="CORN-176"/>
        <s v="CORN-180"/>
        <s v="CORN-181"/>
        <s v="CORN-219"/>
        <s v="CORN-235"/>
        <s v="CORN-269"/>
        <s v="CORN-297"/>
        <s v="CORN-311"/>
        <s v="CORN-328"/>
        <s v="CORN-346"/>
        <s v="CORN-347"/>
        <s v="CORN-355"/>
        <s v="CORN-370"/>
        <s v="CORN-371"/>
        <s v="CORN-374"/>
        <s v="CORN-394"/>
        <s v="CORN-402"/>
        <s v="CORN-412"/>
        <s v="CORN-419"/>
        <s v="CORN-460"/>
        <s v="CORN-489"/>
        <s v="CORN-491"/>
        <s v="CORN-500"/>
        <s v="CORN-510"/>
        <s v="CORN-539"/>
        <s v="CORN-546"/>
        <s v="CORN-573"/>
        <s v="CORN-586"/>
        <s v="CORN-609"/>
        <s v="CORN-623"/>
        <s v="CORN-632"/>
        <s v="CORN-639"/>
        <s v="CORN-651"/>
        <s v="CORN-654"/>
        <s v="CORN-658"/>
        <s v="CORN-665"/>
        <s v="CORN-699"/>
        <s v="CORN-750"/>
        <s v="CORN-754"/>
        <s v="CORN-777"/>
        <s v="CORN-785"/>
        <s v="CORN-806"/>
        <s v="CORN-813"/>
        <s v="CORN-814"/>
        <s v="CORN-827"/>
        <s v="CORN-831"/>
        <s v="CORN-851"/>
        <s v="CORN-861"/>
        <s v="CORN-866"/>
        <s v="CORN-882"/>
        <s v="CORN-884"/>
        <s v="CORN-901"/>
        <s v="CORN-916"/>
        <s v="CORN-929"/>
        <s v="CORN-956"/>
        <s v="CORN-961"/>
        <s v="CORN-972"/>
        <s v="CORN-1011"/>
        <s v="CORN-1031"/>
        <s v="CORN-1052"/>
        <s v="CORN-1055"/>
        <s v="CORN-1066"/>
        <s v="CORN-1080"/>
        <s v="CORN-1100"/>
        <s v="CORN-1109"/>
        <s v="CORN-1121"/>
        <s v="CORN-1124"/>
        <s v="CORN-007"/>
        <s v="CORN-035"/>
        <s v="CORN-096"/>
        <s v="CORN-104"/>
        <s v="CORN-107"/>
        <s v="CORN-169"/>
        <s v="CORN-175"/>
        <s v="CORN-184"/>
        <s v="CORN-193"/>
        <s v="CORN-198"/>
        <s v="CORN-222"/>
        <s v="CORN-232"/>
        <s v="CORN-233"/>
        <s v="CORN-243"/>
        <s v="CORN-249"/>
        <s v="CORN-267"/>
        <s v="CORN-272"/>
        <s v="CORN-278"/>
        <s v="CORN-295"/>
        <s v="CORN-298"/>
        <s v="CORN-354"/>
        <s v="CORN-373"/>
        <s v="CORN-382"/>
        <s v="CORN-385"/>
        <s v="CORN-446"/>
        <s v="CORN-474"/>
        <s v="CORN-485"/>
        <s v="CORN-508"/>
        <s v="CORN-527"/>
        <s v="CORN-538"/>
        <s v="CORN-547"/>
        <s v="CORN-557"/>
        <s v="CORN-563"/>
        <s v="CORN-574"/>
        <s v="CORN-618"/>
        <s v="CORN-628"/>
        <s v="CORN-660"/>
        <s v="CORN-672"/>
        <s v="CORN-673"/>
        <s v="CORN-707"/>
        <s v="CORN-721"/>
        <s v="CORN-746"/>
        <s v="CORN-795"/>
        <s v="CORN-796"/>
        <s v="CORN-833"/>
        <s v="CORN-864"/>
        <s v="CORN-879"/>
        <s v="CORN-904"/>
        <s v="CORN-918"/>
        <s v="CORN-964"/>
        <s v="CORN-969"/>
        <s v="CORN-978"/>
        <s v="CORN-983"/>
        <s v="CORN-995"/>
        <s v="CORN-1005"/>
        <s v="CORN-1013"/>
        <s v="CORN-1040"/>
        <s v="CORN-1045"/>
        <s v="CORN-1048"/>
        <s v="CORN-1056"/>
        <s v="CORN-1067"/>
        <s v="CORN-1085"/>
        <s v="CORN-1093"/>
        <s v="CORN-1132"/>
        <s v="CORN-020"/>
        <s v="CORN-045"/>
        <s v="CORN-074"/>
        <s v="CORN-081"/>
        <s v="CORN-086"/>
        <s v="CORN-106"/>
        <s v="CORN-122"/>
        <s v="CORN-141"/>
        <s v="CORN-146"/>
        <s v="CORN-172"/>
        <s v="CORN-173"/>
        <s v="CORN-179"/>
        <s v="CORN-190"/>
        <s v="CORN-223"/>
        <s v="CORN-240"/>
        <s v="CORN-264"/>
        <s v="CORN-265"/>
        <s v="CORN-293"/>
        <s v="CORN-339"/>
        <s v="CORN-344"/>
        <s v="CORN-353"/>
        <s v="CORN-376"/>
        <s v="CORN-377"/>
        <s v="CORN-381"/>
        <s v="CORN-387"/>
        <s v="CORN-396"/>
        <s v="CORN-398"/>
        <s v="CORN-401"/>
        <s v="CORN-413"/>
        <s v="CORN-428"/>
        <s v="CORN-455"/>
        <s v="CORN-466"/>
        <s v="CORN-503"/>
        <s v="CORN-507"/>
        <s v="CORN-514"/>
        <s v="CORN-521"/>
        <s v="CORN-524"/>
        <s v="CORN-541"/>
        <s v="CORN-579"/>
        <s v="CORN-593"/>
        <s v="CORN-594"/>
        <s v="CORN-596"/>
        <s v="CORN-599"/>
        <s v="CORN-603"/>
        <s v="CORN-608"/>
        <s v="CORN-610"/>
        <s v="CORN-635"/>
        <s v="CORN-637"/>
        <s v="CORN-662"/>
        <s v="CORN-664"/>
        <s v="CORN-677"/>
        <s v="CORN-704"/>
        <s v="CORN-710"/>
        <s v="CORN-734"/>
        <s v="CORN-736"/>
        <s v="CORN-737"/>
        <s v="CORN-753"/>
        <s v="CORN-762"/>
        <s v="CORN-816"/>
        <s v="CORN-832"/>
        <s v="CORN-838"/>
        <s v="CORN-848"/>
        <s v="CORN-850"/>
        <s v="CORN-857"/>
        <s v="CORN-932"/>
        <s v="CORN-936"/>
        <s v="CORN-938"/>
        <s v="CORN-955"/>
        <s v="CORN-979"/>
        <s v="CORN-986"/>
        <s v="CORN-989"/>
        <s v="CORN-1012"/>
        <s v="CORN-1015"/>
        <s v="CORN-1024"/>
        <s v="CORN-1028"/>
        <s v="CORN-1036"/>
        <s v="CORN-1041"/>
        <s v="CORN-1047"/>
        <s v="CORN-1072"/>
        <s v="CORN-1103"/>
        <s v="CORN-1125"/>
        <s v="CORN-001"/>
        <s v="CORN-043"/>
        <s v="CORN-060"/>
        <s v="CORN-065"/>
        <s v="CORN-116"/>
        <s v="CORN-125"/>
        <s v="CORN-132"/>
        <s v="CORN-143"/>
        <s v="CORN-145"/>
        <s v="CORN-152"/>
        <s v="CORN-164"/>
        <s v="CORN-178"/>
        <s v="CORN-185"/>
        <s v="CORN-221"/>
        <s v="CORN-247"/>
        <s v="CORN-271"/>
        <s v="CORN-287"/>
        <s v="CORN-304"/>
        <s v="CORN-345"/>
        <s v="CORN-407"/>
        <s v="CORN-408"/>
        <s v="CORN-418"/>
        <s v="CORN-437"/>
        <s v="CORN-438"/>
        <s v="CORN-472"/>
        <s v="CORN-476"/>
        <s v="CORN-488"/>
        <s v="CORN-493"/>
        <s v="CORN-516"/>
        <s v="CORN-532"/>
        <s v="CORN-540"/>
        <s v="CORN-551"/>
        <s v="CORN-552"/>
        <s v="CORN-597"/>
        <s v="CORN-612"/>
        <s v="CORN-636"/>
        <s v="CORN-666"/>
        <s v="CORN-675"/>
        <s v="CORN-695"/>
        <s v="CORN-723"/>
        <s v="CORN-733"/>
        <s v="CORN-740"/>
        <s v="CORN-763"/>
        <s v="CORN-776"/>
        <s v="CORN-790"/>
        <s v="CORN-799"/>
        <s v="CORN-812"/>
        <s v="CORN-825"/>
        <s v="CORN-852"/>
        <s v="CORN-854"/>
        <s v="CORN-858"/>
        <s v="CORN-874"/>
        <s v="CORN-881"/>
        <s v="CORN-899"/>
        <s v="CORN-903"/>
        <s v="CORN-954"/>
        <s v="CORN-960"/>
        <s v="CORN-977"/>
        <s v="CORN-984"/>
        <s v="CORN-996"/>
        <s v="CORN-1000"/>
        <s v="CORN-1008"/>
        <s v="CORN-1026"/>
        <s v="CORN-1053"/>
        <s v="CORN-1061"/>
        <s v="CORN-1063"/>
        <s v="CORN-1073"/>
        <s v="CORN-1086"/>
        <s v="CORN-1105"/>
        <s v="CORN-1144"/>
        <s v="CORN-021"/>
        <s v="CORN-031"/>
        <s v="CORN-032"/>
        <s v="CORN-052"/>
        <s v="CORN-094"/>
        <s v="CORN-109"/>
        <s v="CORN-123"/>
        <s v="CORN-134"/>
        <s v="CORN-148"/>
        <s v="CORN-159"/>
        <s v="CORN-165"/>
        <s v="CORN-182"/>
        <s v="CORN-189"/>
        <s v="CORN-195"/>
        <s v="CORN-208"/>
        <s v="CORN-226"/>
        <s v="CORN-231"/>
        <s v="CORN-236"/>
        <s v="CORN-252"/>
        <s v="CORN-253"/>
        <s v="CORN-255"/>
        <s v="CORN-280"/>
        <s v="CORN-307"/>
        <s v="CORN-332"/>
        <s v="CORN-380"/>
        <s v="CORN-404"/>
        <s v="CORN-409"/>
        <s v="CORN-431"/>
        <s v="CORN-434"/>
        <s v="CORN-498"/>
        <s v="CORN-542"/>
        <s v="CORN-565"/>
        <s v="CORN-566"/>
        <s v="CORN-568"/>
        <s v="CORN-571"/>
        <s v="CORN-584"/>
        <s v="CORN-590"/>
        <s v="CORN-621"/>
        <s v="CORN-642"/>
        <s v="CORN-648"/>
        <s v="CORN-668"/>
        <s v="CORN-669"/>
        <s v="CORN-674"/>
        <s v="CORN-694"/>
        <s v="CORN-700"/>
        <s v="CORN-715"/>
        <s v="CORN-724"/>
        <s v="CORN-728"/>
        <s v="CORN-747"/>
        <s v="CORN-771"/>
        <s v="CORN-791"/>
        <s v="CORN-800"/>
        <s v="CORN-807"/>
        <s v="CORN-808"/>
        <s v="CORN-819"/>
        <s v="CORN-828"/>
        <s v="CORN-886"/>
        <s v="CORN-888"/>
        <s v="CORN-895"/>
        <s v="CORN-917"/>
        <s v="CORN-919"/>
        <s v="CORN-945"/>
        <s v="CORN-998"/>
        <s v="CORN-999"/>
        <s v="CORN-1029"/>
        <s v="CORN-1032"/>
        <s v="CORN-1039"/>
        <s v="CORN-1099"/>
        <s v="CORN-1122"/>
        <s v="CORN-1130"/>
        <s v="CORN-1136"/>
        <s v="CORN-011"/>
        <s v="CORN-015"/>
        <s v="CORN-019"/>
        <s v="CORN-047"/>
        <s v="CORN-056"/>
        <s v="CORN-073"/>
        <s v="CORN-077"/>
        <s v="CORN-082"/>
        <s v="CORN-112"/>
        <s v="CORN-151"/>
        <s v="CORN-192"/>
        <s v="CORN-197"/>
        <s v="CORN-205"/>
        <s v="CORN-229"/>
        <s v="CORN-244"/>
        <s v="CORN-290"/>
        <s v="CORN-308"/>
        <s v="CORN-333"/>
        <s v="CORN-342"/>
        <s v="CORN-364"/>
        <s v="CORN-366"/>
        <s v="CORN-369"/>
        <s v="CORN-383"/>
        <s v="CORN-384"/>
        <s v="CORN-392"/>
        <s v="CORN-424"/>
        <s v="CORN-433"/>
        <s v="CORN-435"/>
        <s v="CORN-447"/>
        <s v="CORN-467"/>
        <s v="CORN-468"/>
        <s v="CORN-490"/>
        <s v="CORN-505"/>
        <s v="CORN-515"/>
        <s v="CORN-529"/>
        <s v="CORN-545"/>
        <s v="CORN-554"/>
        <s v="CORN-567"/>
        <s v="CORN-592"/>
        <s v="CORN-598"/>
        <s v="CORN-600"/>
        <s v="CORN-605"/>
        <s v="CORN-643"/>
        <s v="CORN-644"/>
        <s v="CORN-649"/>
        <s v="CORN-691"/>
        <s v="CORN-719"/>
        <s v="CORN-738"/>
        <s v="CORN-758"/>
        <s v="CORN-766"/>
        <s v="CORN-782"/>
        <s v="CORN-793"/>
        <s v="CORN-830"/>
        <s v="CORN-845"/>
        <s v="CORN-878"/>
        <s v="CORN-925"/>
        <s v="CORN-933"/>
        <s v="CORN-957"/>
        <s v="CORN-958"/>
        <s v="CORN-981"/>
        <s v="CORN-993"/>
        <s v="CORN-1001"/>
        <s v="CORN-1006"/>
        <s v="CORN-1014"/>
        <s v="CORN-1059"/>
        <s v="CORN-1062"/>
        <s v="CORN-1075"/>
        <s v="CORN-1094"/>
        <s v="CORN-1098"/>
        <s v="CORN-1117"/>
        <s v="CORN-1127"/>
        <s v="CORN-002"/>
        <s v="CORN-024"/>
        <s v="CORN-034"/>
        <s v="CORN-058"/>
        <s v="CORN-068"/>
        <s v="CORN-071"/>
        <s v="CORN-095"/>
        <s v="CORN-111"/>
        <s v="CORN-118"/>
        <s v="CORN-142"/>
        <s v="CORN-161"/>
        <s v="CORN-166"/>
        <s v="CORN-186"/>
        <s v="CORN-203"/>
        <s v="CORN-224"/>
        <s v="CORN-241"/>
        <s v="CORN-256"/>
        <s v="CORN-266"/>
        <s v="CORN-286"/>
        <s v="CORN-292"/>
        <s v="CORN-306"/>
        <s v="CORN-309"/>
        <s v="CORN-315"/>
        <s v="CORN-336"/>
        <s v="CORN-337"/>
        <s v="CORN-349"/>
        <s v="CORN-367"/>
        <s v="CORN-415"/>
        <s v="CORN-481"/>
        <s v="CORN-504"/>
        <s v="CORN-517"/>
        <s v="CORN-523"/>
        <s v="CORN-526"/>
        <s v="CORN-548"/>
        <s v="CORN-562"/>
        <s v="CORN-576"/>
        <s v="CORN-583"/>
        <s v="CORN-627"/>
        <s v="CORN-670"/>
        <s v="CORN-681"/>
        <s v="CORN-687"/>
        <s v="CORN-725"/>
        <s v="CORN-729"/>
        <s v="CORN-732"/>
        <s v="CORN-742"/>
        <s v="CORN-759"/>
        <s v="CORN-764"/>
        <s v="CORN-774"/>
        <s v="CORN-779"/>
        <s v="CORN-783"/>
        <s v="CORN-797"/>
        <s v="CORN-804"/>
        <s v="CORN-817"/>
        <s v="CORN-820"/>
        <s v="CORN-853"/>
        <s v="CORN-863"/>
        <s v="CORN-869"/>
        <s v="CORN-871"/>
        <s v="CORN-908"/>
        <s v="CORN-923"/>
        <s v="CORN-942"/>
        <s v="CORN-962"/>
        <s v="CORN-987"/>
        <s v="CORN-1004"/>
        <s v="CORN-1019"/>
        <s v="CORN-1021"/>
        <s v="CORN-1042"/>
        <s v="CORN-1065"/>
        <s v="CORN-1071"/>
        <s v="CORN-1111"/>
        <s v="CORN-1126"/>
        <s v="CORN-1131"/>
        <s v="CORN-1138"/>
        <s v="CORN-1139"/>
        <s v="CORN-022"/>
        <s v="CORN-050"/>
        <s v="CORN-076"/>
        <s v="CORN-098"/>
        <s v="CORN-100"/>
        <s v="CORN-105"/>
        <s v="CORN-149"/>
        <s v="CORN-160"/>
        <s v="CORN-162"/>
        <s v="CORN-194"/>
        <s v="CORN-196"/>
        <s v="CORN-201"/>
        <s v="CORN-202"/>
        <s v="CORN-216"/>
        <s v="CORN-259"/>
        <s v="CORN-261"/>
        <s v="CORN-274"/>
        <s v="CORN-279"/>
        <s v="CORN-320"/>
        <s v="CORN-343"/>
        <s v="CORN-359"/>
        <s v="CORN-360"/>
        <s v="CORN-386"/>
        <s v="CORN-417"/>
        <s v="CORN-420"/>
        <s v="CORN-426"/>
        <s v="CORN-427"/>
        <s v="CORN-442"/>
        <s v="CORN-453"/>
        <s v="CORN-479"/>
        <s v="CORN-482"/>
        <s v="CORN-495"/>
        <s v="CORN-518"/>
        <s v="CORN-560"/>
        <s v="CORN-578"/>
        <s v="CORN-581"/>
        <s v="CORN-617"/>
        <s v="CORN-625"/>
        <s v="CORN-630"/>
        <s v="CORN-641"/>
        <s v="CORN-645"/>
        <s v="CORN-659"/>
        <s v="CORN-678"/>
        <s v="CORN-683"/>
        <s v="CORN-684"/>
        <s v="CORN-697"/>
        <s v="CORN-698"/>
        <s v="CORN-702"/>
        <s v="CORN-718"/>
        <s v="CORN-722"/>
        <s v="CORN-772"/>
        <s v="CORN-773"/>
        <s v="CORN-780"/>
        <s v="CORN-788"/>
        <s v="CORN-865"/>
        <s v="CORN-873"/>
        <s v="CORN-883"/>
        <s v="CORN-897"/>
        <s v="CORN-905"/>
        <s v="CORN-910"/>
        <s v="CORN-915"/>
        <s v="CORN-963"/>
        <s v="CORN-968"/>
        <s v="CORN-970"/>
        <s v="CORN-973"/>
        <s v="CORN-985"/>
        <s v="CORN-1033"/>
        <s v="CORN-1034"/>
        <s v="CORN-1038"/>
        <s v="CORN-1043"/>
        <s v="CORN-1046"/>
        <s v="CORN-1107"/>
        <s v="CORN-1120"/>
        <s v="CORN-1142"/>
        <s v="CORN-003"/>
        <s v="CORN-010"/>
        <s v="CORN-013"/>
        <s v="CORN-023"/>
        <s v="CORN-059"/>
        <s v="CORN-061"/>
        <s v="CORN-066"/>
        <s v="CORN-084"/>
        <s v="CORN-085"/>
        <s v="CORN-088"/>
        <s v="CORN-124"/>
        <s v="CORN-139"/>
        <s v="CORN-150"/>
        <s v="CORN-187"/>
        <s v="CORN-209"/>
        <s v="CORN-225"/>
        <s v="CORN-228"/>
        <s v="CORN-268"/>
        <s v="CORN-276"/>
        <s v="CORN-277"/>
        <s v="CORN-319"/>
        <s v="CORN-321"/>
        <s v="CORN-325"/>
        <s v="CORN-334"/>
        <s v="CORN-358"/>
        <s v="CORN-378"/>
        <s v="CORN-422"/>
        <s v="CORN-445"/>
        <s v="CORN-448"/>
        <s v="CORN-464"/>
        <s v="CORN-469"/>
        <s v="CORN-483"/>
        <s v="CORN-501"/>
        <s v="CORN-525"/>
        <s v="CORN-530"/>
        <s v="CORN-531"/>
        <s v="CORN-549"/>
        <s v="CORN-561"/>
        <s v="CORN-577"/>
        <s v="CORN-602"/>
        <s v="CORN-614"/>
        <s v="CORN-616"/>
        <s v="CORN-646"/>
        <s v="CORN-650"/>
        <s v="CORN-690"/>
        <s v="CORN-693"/>
        <s v="CORN-712"/>
        <s v="CORN-717"/>
        <s v="CORN-726"/>
        <s v="CORN-727"/>
        <s v="CORN-745"/>
        <s v="CORN-757"/>
        <s v="CORN-760"/>
        <s v="CORN-829"/>
        <s v="CORN-846"/>
        <s v="CORN-859"/>
        <s v="CORN-875"/>
        <s v="CORN-907"/>
        <s v="CORN-911"/>
        <s v="CORN-924"/>
        <s v="CORN-947"/>
        <s v="CORN-950"/>
        <s v="CORN-967"/>
        <s v="CORN-974"/>
        <s v="CORN-982"/>
        <s v="CORN-988"/>
        <s v="CORN-991"/>
        <s v="CORN-1002"/>
        <s v="CORN-1018"/>
        <s v="CORN-1023"/>
        <s v="CORN-1030"/>
        <s v="CORN-1064"/>
        <s v="CORN-1079"/>
        <s v="CORN-1106"/>
        <s v="CORN-1115"/>
        <s v="CORN-1123"/>
      </sharedItems>
    </cacheField>
    <cacheField name="Requirement_text" numFmtId="0">
      <sharedItems count="354">
        <s v="Users shall be able to update profiles"/>
        <s v="The system shall enable generate of transactions"/>
        <s v="The system shall provide functionality to update profiles"/>
        <s v="Users shall be able to delete orders"/>
        <s v="The system shall provide functionality to validate payments"/>
        <s v="The system shall provide functionality to validate data"/>
        <s v="The system shall allow users to delete reports"/>
        <s v="The system shall allow users to validate transactions"/>
        <s v="The system shall enable manage of accounts"/>
        <s v="The system shall allow users to delete accounts"/>
        <s v="The system shall provide functionality to delete profiles"/>
        <s v="The application shall support manage payments"/>
        <s v="The system shall provide functionality to create records"/>
        <s v="Users shall be able to validate orders"/>
        <s v="The application shall support validate accounts"/>
        <s v="The system shall allow users to update transactions"/>
        <s v="Users shall be able to manage orders"/>
        <s v="The system shall provide functionality to process orders"/>
        <s v="The application shall support validate reports"/>
        <s v="Users shall be able to generate profiles"/>
        <s v="The application shall support process accounts"/>
        <s v="Users shall be able to manage reports"/>
        <s v="The system shall allow users to process profiles"/>
        <s v="The system shall enable delete of accounts"/>
        <s v="Users shall be able to view transactions"/>
        <s v="Users shall be able to view payments"/>
        <s v="Users shall be able to update payments"/>
        <s v="The system shall provide functionality to process reports"/>
        <s v="The system shall provide functionality to view data"/>
        <s v="Users shall be able to view records"/>
        <s v="The system shall provide functionality to view payments"/>
        <s v="Users shall be able to update data"/>
        <s v="The application shall support update data"/>
        <s v="The system shall provide functionality to create profiles"/>
        <s v="The system shall provide functionality to generate records"/>
        <s v="Users shall be able to create records"/>
        <s v="Users shall be able to process transactions"/>
        <s v="The system shall provide functionality to validate transactions"/>
        <s v="The system shall enable process of records"/>
        <s v="The application shall support view orders"/>
        <s v="The system shall enable view of profiles"/>
        <s v="The system shall allow users to manage records"/>
        <s v="The system shall enable create of profiles"/>
        <s v="The system shall provide functionality to update payments"/>
        <s v="Users shall be able to generate payments"/>
        <s v="Page load time shall not exceed 30 seconds"/>
        <s v="The system shall respond to user requests within 10 seconds"/>
        <s v="The system shall support up to 1000 concurrent users"/>
        <s v="Database queries shall execute within 10 milliseconds"/>
        <s v="Access control shall be implemented using OAuth 2.0"/>
        <s v="Error messages shall be clear and actionable"/>
        <s v="The system shall support multiple languages"/>
        <s v="The user interface shall be intuitive and user-friendly"/>
        <s v="The system shall provide help documentation"/>
        <s v="The system shall handle errors gracefully"/>
        <s v="The system shall have 95% uptime availability"/>
        <s v="The system shall recover from failures within 60 minutes"/>
        <s v="The system shall provide diagnostic tools"/>
        <s v="The code shall be well-documented and modular"/>
        <s v="The system shall support easy configuration updates"/>
        <s v="The system shall run on multiple operating systems"/>
        <s v="Mobile compatibility shall be maintained"/>
        <s v="Environmental constraints shall be considered"/>
        <s v="The system shall support audit trails"/>
        <s v="The system shall provide functionality to validate orders"/>
        <s v="The system shall provide functionality to delete payments"/>
        <s v="The system shall allow users to create orders"/>
        <s v="Users shall be able to manage payments"/>
        <s v="The application shall support view reports"/>
        <s v="The application shall support generate accounts"/>
        <s v="The system shall enable manage of reports"/>
        <s v="The system shall allow users to manage data"/>
        <s v="Users shall be able to generate records"/>
        <s v="The system shall enable create of records"/>
        <s v="The system shall provide functionality to update accounts"/>
        <s v="The system shall enable delete of data"/>
        <s v="The system shall allow users to manage orders"/>
        <s v="The application shall support process data"/>
        <s v="Users shall be able to manage profiles"/>
        <s v="The application shall support update orders"/>
        <s v="The system shall allow users to validate orders"/>
        <s v="The system shall enable update of data"/>
        <s v="The system shall enable manage of transactions"/>
        <s v="The system shall enable create of orders"/>
        <s v="The system shall enable process of accounts"/>
        <s v="The system shall enable view of payments"/>
        <s v="The system shall enable manage of profiles"/>
        <s v="Users shall be able to view accounts"/>
        <s v="The system shall enable manage of payments"/>
        <s v="The system shall enable update of records"/>
        <s v="The system shall allow users to delete data"/>
        <s v="The application shall support validate records"/>
        <s v="The application shall support delete orders"/>
        <s v="The system shall enable validate of transactions"/>
        <s v="The system shall enable validate of payments"/>
        <s v="The system shall allow users to delete profiles"/>
        <s v="The application shall support create accounts"/>
        <s v="The system shall provide functionality to validate accounts"/>
        <s v="The system shall provide functionality to delete reports"/>
        <s v="The system shall provide functionality to manage reports"/>
        <s v="The application shall support create profiles"/>
        <s v="The application shall support delete data"/>
        <s v="Users shall be able to create reports"/>
        <s v="The system shall enable process of reports"/>
        <s v="Database queries shall execute within 2 milliseconds"/>
        <s v="Page load time shall not exceed 2 seconds"/>
        <s v="Page load time shall not exceed 5 seconds"/>
        <s v="The system shall respond to user requests within 2 seconds"/>
        <s v="Page load time shall not exceed 10 seconds"/>
        <s v="Database queries shall execute within 30 milliseconds"/>
        <s v="Database queries shall execute within 5 milliseconds"/>
        <s v="The system shall support up to 5000 concurrent users"/>
        <s v="The system shall log all security events"/>
        <s v="The system shall encrypt all sensitive data using RBAC"/>
        <s v="Access control shall be implemented using RSA"/>
        <s v="User authentication shall require OAuth 2.0"/>
        <s v="User authentication shall require RSA"/>
        <s v="The system shall encrypt all sensitive data using OAuth 2.0"/>
        <s v="The system shall encrypt all sensitive data using RSA"/>
        <s v="The system shall have 99.9% uptime availability"/>
        <s v="Users shall be able to validate reports"/>
        <s v="The application shall support manage accounts"/>
        <s v="Users shall be able to generate orders"/>
        <s v="The application shall support create payments"/>
        <s v="The system shall enable validate of records"/>
        <s v="Users shall be able to generate data"/>
        <s v="The system shall provide functionality to delete data"/>
        <s v="The application shall support process orders"/>
        <s v="The system shall enable update of accounts"/>
        <s v="The application shall support validate data"/>
        <s v="Users shall be able to view orders"/>
        <s v="The application shall support delete transactions"/>
        <s v="The system shall provide functionality to create reports"/>
        <s v="The system shall provide functionality to view reports"/>
        <s v="Users shall be able to validate records"/>
        <s v="The application shall support validate profiles"/>
        <s v="The system shall provide functionality to create orders"/>
        <s v="The system shall enable process of data"/>
        <s v="The application shall support view records"/>
        <s v="The system shall allow users to view transactions"/>
        <s v="The system shall allow users to generate records"/>
        <s v="The system shall enable update of payments"/>
        <s v="The application shall support validate transactions"/>
        <s v="The system shall provide functionality to validate reports"/>
        <s v="Users shall be able to validate payments"/>
        <s v="Users shall be able to delete records"/>
        <s v="The application shall support view payments"/>
        <s v="Users shall be able to manage accounts"/>
        <s v="The system shall provide functionality to process accounts"/>
        <s v="The system shall allow users to update records"/>
        <s v="The system shall allow users to update orders"/>
        <s v="The application shall support process transactions"/>
        <s v="The system shall enable process of payments"/>
        <s v="The system shall allow users to process data"/>
        <s v="The system shall allow users to generate reports"/>
        <s v="The system shall support up to 100 concurrent users"/>
        <s v="Access control shall be implemented using SSL/TLS"/>
        <s v="Access control shall be implemented using AES-256"/>
        <s v="User authentication shall require JWT"/>
        <s v="User authentication shall require RBAC"/>
        <s v="Database schema changes shall be version controlled"/>
        <s v="The system shall allow users to delete records"/>
        <s v="The system shall provide functionality to generate data"/>
        <s v="The application shall support view data"/>
        <s v="The system shall enable create of reports"/>
        <s v="The system shall allow users to generate accounts"/>
        <s v="The application shall support validate payments"/>
        <s v="Users shall be able to validate transactions"/>
        <s v="The system shall provide functionality to create transactions"/>
        <s v="The system shall allow users to process accounts"/>
        <s v="The system shall allow users to create reports"/>
        <s v="The system shall allow users to manage accounts"/>
        <s v="The system shall enable generate of records"/>
        <s v="The system shall enable generate of data"/>
        <s v="The application shall support validate orders"/>
        <s v="The system shall provide functionality to manage records"/>
        <s v="The system shall allow users to manage profiles"/>
        <s v="Users shall be able to delete reports"/>
        <s v="The system shall provide functionality to generate reports"/>
        <s v="Users shall be able to delete transactions"/>
        <s v="Users shall be able to update reports"/>
        <s v="The system shall enable process of orders"/>
        <s v="The system shall allow users to validate records"/>
        <s v="The system shall enable create of accounts"/>
        <s v="The system shall allow users to delete orders"/>
        <s v="The system shall allow users to validate data"/>
        <s v="Users shall be able to process records"/>
        <s v="The system shall provide functionality to delete accounts"/>
        <s v="The system shall allow users to validate accounts"/>
        <s v="The system shall provide functionality to generate orders"/>
        <s v="The application shall support process payments"/>
        <s v="The system shall support up to 500 concurrent users"/>
        <s v="The system shall support up to 10000 concurrent users"/>
        <s v="The system shall respond to user requests within 60 seconds"/>
        <s v="The system shall encrypt all sensitive data using AES-256"/>
        <s v="User authentication shall require AES-256"/>
        <s v="The system shall encrypt all sensitive data using SSL/TLS"/>
        <s v="Data backup shall occur every 2 hours"/>
        <s v="Users shall be able to update transactions"/>
        <s v="Users shall be able to delete profiles"/>
        <s v="The application shall support manage orders"/>
        <s v="Users shall be able to generate reports"/>
        <s v="Users shall be able to manage records"/>
        <s v="The system shall enable create of payments"/>
        <s v="The system shall provide functionality to manage payments"/>
        <s v="The application shall support delete accounts"/>
        <s v="The system shall enable generate of payments"/>
        <s v="Users shall be able to create payments"/>
        <s v="The system shall enable generate of orders"/>
        <s v="The system shall enable create of data"/>
        <s v="The system shall enable validate of orders"/>
        <s v="The system shall provide functionality to manage profiles"/>
        <s v="The system shall enable delete of transactions"/>
        <s v="The system shall enable delete of reports"/>
        <s v="The application shall support update accounts"/>
        <s v="The system shall allow users to view accounts"/>
        <s v="The application shall support manage records"/>
        <s v="Users shall be able to delete accounts"/>
        <s v="The system shall allow users to update reports"/>
        <s v="The system shall allow users to process reports"/>
        <s v="The system shall enable manage of data"/>
        <s v="Users shall be able to process reports"/>
        <s v="The system shall enable update of profiles"/>
        <s v="The system shall allow users to view orders"/>
        <s v="The system shall allow users to process transactions"/>
        <s v="The system shall enable delete of orders"/>
        <s v="Access control shall be implemented using JWT"/>
        <s v="The system shall have 99% uptime availability"/>
        <s v="The system shall support different database platforms"/>
        <s v="The system shall provide functionality to update reports"/>
        <s v="The application shall support process reports"/>
        <s v="Users shall be able to process profiles"/>
        <s v="The system shall enable view of accounts"/>
        <s v="The system shall allow users to manage payments"/>
        <s v="The system shall provide functionality to process data"/>
        <s v="The application shall support update reports"/>
        <s v="The system shall allow users to manage transactions"/>
        <s v="The system shall allow users to generate payments"/>
        <s v="The system shall provide functionality to create accounts"/>
        <s v="The application shall support generate records"/>
        <s v="The system shall allow users to view reports"/>
        <s v="The system shall allow users to view profiles"/>
        <s v="The system shall provide functionality to view accounts"/>
        <s v="The system shall provide functionality to manage accounts"/>
        <s v="The system shall enable generate of accounts"/>
        <s v="The application shall support delete profiles"/>
        <s v="The system shall provide functionality to update transactions"/>
        <s v="The application shall support manage profiles"/>
        <s v="Users shall be able to process orders"/>
        <s v="The system shall enable validate of accounts"/>
        <s v="Page load time shall not exceed 60 seconds"/>
        <s v="User authentication shall require SSL/TLS"/>
        <s v="Data backup shall occur every 5 hours"/>
        <s v="Data backup shall occur every 10 hours"/>
        <s v="The application shall be browser-independent"/>
        <s v="The system shall comply with industry standards"/>
        <s v="The system shall enable update of orders"/>
        <s v="Users shall be able to process payments"/>
        <s v="The system shall provide functionality to view transactions"/>
        <s v="Users shall be able to create profiles"/>
        <s v="The system shall allow users to update data"/>
        <s v="The system shall allow users to delete payments"/>
        <s v="Users shall be able to create transactions"/>
        <s v="The system shall provide functionality to manage transactions"/>
        <s v="The system shall provide functionality to manage orders"/>
        <s v="The system shall allow users to validate reports"/>
        <s v="The system shall allow users to view data"/>
        <s v="The system shall provide functionality to validate records"/>
        <s v="The system shall provide functionality to update orders"/>
        <s v="The system shall allow users to create records"/>
        <s v="Users shall be able to validate profiles"/>
        <s v="The system shall enable validate of data"/>
        <s v="The application shall support update profiles"/>
        <s v="The system shall allow users to view records"/>
        <s v="The system shall provide functionality to validate profiles"/>
        <s v="The system shall respond to user requests within 5 seconds"/>
        <s v="Access control shall be implemented using RBAC"/>
        <s v="Data backup shall occur every 60 hours"/>
        <s v="The application shall support delete reports"/>
        <s v="Users shall be able to process accounts"/>
        <s v="The application shall support create transactions"/>
        <s v="Users shall be able to update orders"/>
        <s v="The application shall support manage data"/>
        <s v="Users shall be able to delete payments"/>
        <s v="The application shall support create records"/>
        <s v="The system shall provide functionality to delete orders"/>
        <s v="The system shall enable manage of orders"/>
        <s v="Users shall be able to create data"/>
        <s v="The system shall enable generate of profiles"/>
        <s v="The system shall allow users to create accounts"/>
        <s v="The application shall support delete records"/>
        <s v="The system shall recover from failures within 30 minutes"/>
        <s v="The application shall support delete payments"/>
        <s v="The system shall allow users to manage reports"/>
        <s v="The system shall enable process of transactions"/>
        <s v="The system shall enable generate of reports"/>
        <s v="Users shall be able to delete data"/>
        <s v="The system shall provide functionality to create data"/>
        <s v="Users shall be able to validate data"/>
        <s v="The system shall provide functionality to view records"/>
        <s v="The system shall allow users to process records"/>
        <s v="Users shall be able to generate transactions"/>
        <s v="Users shall be able to view profiles"/>
        <s v="The system shall provide functionality to generate payments"/>
        <s v="The system shall allow users to create payments"/>
        <s v="The application shall support generate orders"/>
        <s v="The system shall respond to user requests within 30 seconds"/>
        <s v="The system shall recover from failures within 5 minutes"/>
        <s v="The system shall recover from failures within 2 minutes"/>
        <s v="Data backup shall occur every 30 hours"/>
        <s v="The system shall provide functionality to process transactions"/>
        <s v="The system shall enable update of reports"/>
        <s v="The system shall provide functionality to process payments"/>
        <s v="The system shall allow users to process orders"/>
        <s v="The application shall support generate data"/>
        <s v="The application shall support update transactions"/>
        <s v="The application shall support process records"/>
        <s v="The system shall recover from failures within 10 minutes"/>
        <s v="The application shall support manage transactions"/>
        <s v="The system shall provide functionality to process profiles"/>
        <s v="Users shall be able to update records"/>
        <s v="The application shall support generate reports"/>
        <s v="The system shall allow users to validate profiles"/>
        <s v="Users shall be able to process data"/>
        <s v="The system shall provide functionality to generate accounts"/>
        <s v="The application shall support create data"/>
        <s v="Database queries shall execute within 60 milliseconds"/>
        <s v="Users shall be able to create orders"/>
        <s v="The application shall support generate payments"/>
        <s v="The system shall enable delete of records"/>
        <s v="Users shall be able to generate accounts"/>
        <s v="The system shall enable view of orders"/>
        <s v="The system shall provide functionality to delete records"/>
        <s v="The system shall enable view of data"/>
        <s v="The application shall support update payments"/>
        <s v="The system shall enable manage of records"/>
        <s v="The system shall provide functionality to view orders"/>
        <s v="The system shall enable delete of profiles"/>
        <s v="The application shall support create reports"/>
        <s v="The system shall allow users to process payments"/>
        <s v="The application shall support view profiles"/>
        <s v="The system shall enable delete of payments"/>
        <s v="The system shall enable update of transactions"/>
        <s v="The system shall encrypt all sensitive data using JWT"/>
        <s v="Legal and regulatory requirements shall be met"/>
        <s v="The system shall enable view of records"/>
        <s v="The system shall provide functionality to update data"/>
        <s v="Users shall be able to create accounts"/>
        <s v="The system shall enable validate of profiles"/>
        <s v="The system shall enable create of transactions"/>
        <s v="The application shall support generate transactions"/>
        <s v="The system shall provide functionality to update records"/>
        <s v="Users shall be able to view reports"/>
        <s v="The system shall allow users to update accounts"/>
      </sharedItems>
    </cacheField>
    <cacheField name="Project" numFmtId="0">
      <sharedItems/>
    </cacheField>
    <cacheField name="Group_id (Project_Name)" numFmtId="0">
      <sharedItems count="15">
        <s v="Banking_Portal"/>
        <s v="Credit_Processing_System"/>
        <s v="Fleet_Management_System"/>
        <s v="Hospital_Management_System"/>
        <s v="Inventory_Management"/>
        <s v="Investment_Management"/>
        <s v="Learning_Management_System"/>
        <s v="Logistics_Platform"/>
        <s v="Online_Examination"/>
        <s v="Online_Shopping_Platform"/>
        <s v="Patient_Records_System"/>
        <s v="Payment_Gateway"/>
        <s v="Student_Information_System"/>
        <s v="Telemedicine_Platform"/>
        <s v="Traffic_Control_System"/>
      </sharedItems>
    </cacheField>
    <cacheField name="Inconsistency" numFmtId="0">
      <sharedItems/>
    </cacheField>
    <cacheField name="Inconsistency_explana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45">
  <r>
    <x v="0"/>
    <x v="0"/>
    <s v="Banking Portal"/>
    <x v="0"/>
    <s v="Yes"/>
    <s v="multiple time constraints: 10milliseconds, 10seconds, 30seconds, 60minutes"/>
  </r>
  <r>
    <x v="1"/>
    <x v="1"/>
    <s v="Banking Portal"/>
    <x v="0"/>
    <s v="Yes"/>
    <m/>
  </r>
  <r>
    <x v="2"/>
    <x v="2"/>
    <s v="Banking Portal"/>
    <x v="0"/>
    <s v="Yes"/>
    <m/>
  </r>
  <r>
    <x v="3"/>
    <x v="3"/>
    <s v="Banking Portal"/>
    <x v="0"/>
    <s v="Yes"/>
    <m/>
  </r>
  <r>
    <x v="4"/>
    <x v="4"/>
    <s v="Banking Portal"/>
    <x v="0"/>
    <s v="Yes"/>
    <m/>
  </r>
  <r>
    <x v="5"/>
    <x v="5"/>
    <s v="Banking Portal"/>
    <x v="0"/>
    <s v="Yes"/>
    <m/>
  </r>
  <r>
    <x v="6"/>
    <x v="6"/>
    <s v="Banking Portal"/>
    <x v="0"/>
    <s v="Yes"/>
    <m/>
  </r>
  <r>
    <x v="7"/>
    <x v="7"/>
    <s v="Banking Portal"/>
    <x v="0"/>
    <s v="Yes"/>
    <m/>
  </r>
  <r>
    <x v="8"/>
    <x v="8"/>
    <s v="Banking Portal"/>
    <x v="0"/>
    <s v="Yes"/>
    <m/>
  </r>
  <r>
    <x v="9"/>
    <x v="9"/>
    <s v="Banking Portal"/>
    <x v="0"/>
    <s v="Yes"/>
    <m/>
  </r>
  <r>
    <x v="10"/>
    <x v="10"/>
    <s v="Banking Portal"/>
    <x v="0"/>
    <s v="Yes"/>
    <m/>
  </r>
  <r>
    <x v="11"/>
    <x v="11"/>
    <s v="Banking Portal"/>
    <x v="0"/>
    <s v="Yes"/>
    <m/>
  </r>
  <r>
    <x v="12"/>
    <x v="1"/>
    <s v="Banking Portal"/>
    <x v="0"/>
    <s v="Yes"/>
    <m/>
  </r>
  <r>
    <x v="13"/>
    <x v="12"/>
    <s v="Banking Portal"/>
    <x v="0"/>
    <s v="Yes"/>
    <m/>
  </r>
  <r>
    <x v="14"/>
    <x v="13"/>
    <s v="Banking Portal"/>
    <x v="0"/>
    <s v="Yes"/>
    <m/>
  </r>
  <r>
    <x v="15"/>
    <x v="8"/>
    <s v="Banking Portal"/>
    <x v="0"/>
    <s v="Yes"/>
    <m/>
  </r>
  <r>
    <x v="16"/>
    <x v="14"/>
    <s v="Banking Portal"/>
    <x v="0"/>
    <s v="Yes"/>
    <m/>
  </r>
  <r>
    <x v="17"/>
    <x v="15"/>
    <s v="Banking Portal"/>
    <x v="0"/>
    <s v="Yes"/>
    <m/>
  </r>
  <r>
    <x v="18"/>
    <x v="16"/>
    <s v="Banking Portal"/>
    <x v="0"/>
    <s v="Yes"/>
    <m/>
  </r>
  <r>
    <x v="19"/>
    <x v="17"/>
    <s v="Banking Portal"/>
    <x v="0"/>
    <s v="Yes"/>
    <m/>
  </r>
  <r>
    <x v="20"/>
    <x v="18"/>
    <s v="Banking Portal"/>
    <x v="0"/>
    <s v="Yes"/>
    <m/>
  </r>
  <r>
    <x v="21"/>
    <x v="19"/>
    <s v="Banking Portal"/>
    <x v="0"/>
    <s v="Yes"/>
    <m/>
  </r>
  <r>
    <x v="22"/>
    <x v="20"/>
    <s v="Banking Portal"/>
    <x v="0"/>
    <s v="Yes"/>
    <m/>
  </r>
  <r>
    <x v="23"/>
    <x v="21"/>
    <s v="Banking Portal"/>
    <x v="0"/>
    <s v="Yes"/>
    <m/>
  </r>
  <r>
    <x v="24"/>
    <x v="22"/>
    <s v="Banking Portal"/>
    <x v="0"/>
    <s v="Yes"/>
    <m/>
  </r>
  <r>
    <x v="25"/>
    <x v="23"/>
    <s v="Banking Portal"/>
    <x v="0"/>
    <s v="Yes"/>
    <m/>
  </r>
  <r>
    <x v="26"/>
    <x v="24"/>
    <s v="Banking Portal"/>
    <x v="0"/>
    <s v="Yes"/>
    <m/>
  </r>
  <r>
    <x v="27"/>
    <x v="25"/>
    <s v="Banking Portal"/>
    <x v="0"/>
    <s v="Yes"/>
    <m/>
  </r>
  <r>
    <x v="28"/>
    <x v="19"/>
    <s v="Banking Portal"/>
    <x v="0"/>
    <s v="Yes"/>
    <m/>
  </r>
  <r>
    <x v="29"/>
    <x v="20"/>
    <s v="Banking Portal"/>
    <x v="0"/>
    <s v="Yes"/>
    <m/>
  </r>
  <r>
    <x v="30"/>
    <x v="26"/>
    <s v="Banking Portal"/>
    <x v="0"/>
    <s v="Yes"/>
    <m/>
  </r>
  <r>
    <x v="31"/>
    <x v="27"/>
    <s v="Banking Portal"/>
    <x v="0"/>
    <s v="Yes"/>
    <m/>
  </r>
  <r>
    <x v="32"/>
    <x v="28"/>
    <s v="Banking Portal"/>
    <x v="0"/>
    <s v="Yes"/>
    <m/>
  </r>
  <r>
    <x v="33"/>
    <x v="29"/>
    <s v="Banking Portal"/>
    <x v="0"/>
    <s v="Yes"/>
    <m/>
  </r>
  <r>
    <x v="34"/>
    <x v="30"/>
    <s v="Banking Portal"/>
    <x v="0"/>
    <s v="Yes"/>
    <m/>
  </r>
  <r>
    <x v="35"/>
    <x v="31"/>
    <s v="Banking Portal"/>
    <x v="0"/>
    <s v="Yes"/>
    <m/>
  </r>
  <r>
    <x v="36"/>
    <x v="21"/>
    <s v="Banking Portal"/>
    <x v="0"/>
    <s v="Yes"/>
    <m/>
  </r>
  <r>
    <x v="37"/>
    <x v="32"/>
    <s v="Banking Portal"/>
    <x v="0"/>
    <s v="Yes"/>
    <m/>
  </r>
  <r>
    <x v="38"/>
    <x v="20"/>
    <s v="Banking Portal"/>
    <x v="0"/>
    <s v="Yes"/>
    <m/>
  </r>
  <r>
    <x v="39"/>
    <x v="18"/>
    <s v="Banking Portal"/>
    <x v="0"/>
    <s v="Yes"/>
    <m/>
  </r>
  <r>
    <x v="40"/>
    <x v="33"/>
    <s v="Banking Portal"/>
    <x v="0"/>
    <s v="Yes"/>
    <m/>
  </r>
  <r>
    <x v="41"/>
    <x v="34"/>
    <s v="Banking Portal"/>
    <x v="0"/>
    <s v="Yes"/>
    <m/>
  </r>
  <r>
    <x v="42"/>
    <x v="35"/>
    <s v="Banking Portal"/>
    <x v="0"/>
    <s v="Yes"/>
    <m/>
  </r>
  <r>
    <x v="43"/>
    <x v="36"/>
    <s v="Banking Portal"/>
    <x v="0"/>
    <s v="Yes"/>
    <m/>
  </r>
  <r>
    <x v="44"/>
    <x v="37"/>
    <s v="Banking Portal"/>
    <x v="0"/>
    <s v="Yes"/>
    <m/>
  </r>
  <r>
    <x v="45"/>
    <x v="38"/>
    <s v="Banking Portal"/>
    <x v="0"/>
    <s v="Yes"/>
    <m/>
  </r>
  <r>
    <x v="46"/>
    <x v="39"/>
    <s v="Banking Portal"/>
    <x v="0"/>
    <s v="Yes"/>
    <m/>
  </r>
  <r>
    <x v="47"/>
    <x v="40"/>
    <s v="Banking Portal"/>
    <x v="0"/>
    <s v="Yes"/>
    <m/>
  </r>
  <r>
    <x v="48"/>
    <x v="41"/>
    <s v="Banking Portal"/>
    <x v="0"/>
    <s v="Yes"/>
    <m/>
  </r>
  <r>
    <x v="49"/>
    <x v="42"/>
    <s v="Banking Portal"/>
    <x v="0"/>
    <s v="Yes"/>
    <m/>
  </r>
  <r>
    <x v="50"/>
    <x v="16"/>
    <s v="Banking Portal"/>
    <x v="0"/>
    <s v="Yes"/>
    <m/>
  </r>
  <r>
    <x v="51"/>
    <x v="43"/>
    <s v="Banking Portal"/>
    <x v="0"/>
    <s v="Yes"/>
    <m/>
  </r>
  <r>
    <x v="52"/>
    <x v="44"/>
    <s v="Banking Portal"/>
    <x v="0"/>
    <s v="Yes"/>
    <m/>
  </r>
  <r>
    <x v="53"/>
    <x v="31"/>
    <s v="Banking Portal"/>
    <x v="0"/>
    <s v="Yes"/>
    <m/>
  </r>
  <r>
    <x v="54"/>
    <x v="45"/>
    <s v="Banking Portal"/>
    <x v="0"/>
    <s v="Yes"/>
    <m/>
  </r>
  <r>
    <x v="55"/>
    <x v="46"/>
    <s v="Banking Portal"/>
    <x v="0"/>
    <s v="Yes"/>
    <m/>
  </r>
  <r>
    <x v="56"/>
    <x v="45"/>
    <s v="Banking Portal"/>
    <x v="0"/>
    <s v="Yes"/>
    <m/>
  </r>
  <r>
    <x v="57"/>
    <x v="47"/>
    <s v="Banking Portal"/>
    <x v="0"/>
    <s v="Yes"/>
    <m/>
  </r>
  <r>
    <x v="58"/>
    <x v="48"/>
    <s v="Banking Portal"/>
    <x v="0"/>
    <s v="Yes"/>
    <m/>
  </r>
  <r>
    <x v="59"/>
    <x v="45"/>
    <s v="Banking Portal"/>
    <x v="0"/>
    <s v="Yes"/>
    <m/>
  </r>
  <r>
    <x v="60"/>
    <x v="49"/>
    <s v="Banking Portal"/>
    <x v="0"/>
    <s v="Yes"/>
    <m/>
  </r>
  <r>
    <x v="61"/>
    <x v="50"/>
    <s v="Banking Portal"/>
    <x v="0"/>
    <s v="Yes"/>
    <m/>
  </r>
  <r>
    <x v="62"/>
    <x v="51"/>
    <s v="Banking Portal"/>
    <x v="0"/>
    <s v="Yes"/>
    <m/>
  </r>
  <r>
    <x v="63"/>
    <x v="50"/>
    <s v="Banking Portal"/>
    <x v="0"/>
    <s v="Yes"/>
    <m/>
  </r>
  <r>
    <x v="64"/>
    <x v="52"/>
    <s v="Banking Portal"/>
    <x v="0"/>
    <s v="Yes"/>
    <m/>
  </r>
  <r>
    <x v="65"/>
    <x v="50"/>
    <s v="Banking Portal"/>
    <x v="0"/>
    <s v="Yes"/>
    <m/>
  </r>
  <r>
    <x v="66"/>
    <x v="53"/>
    <s v="Banking Portal"/>
    <x v="0"/>
    <s v="Yes"/>
    <m/>
  </r>
  <r>
    <x v="67"/>
    <x v="51"/>
    <s v="Banking Portal"/>
    <x v="0"/>
    <s v="Yes"/>
    <m/>
  </r>
  <r>
    <x v="68"/>
    <x v="54"/>
    <s v="Banking Portal"/>
    <x v="0"/>
    <s v="Yes"/>
    <m/>
  </r>
  <r>
    <x v="69"/>
    <x v="55"/>
    <s v="Banking Portal"/>
    <x v="0"/>
    <s v="Yes"/>
    <m/>
  </r>
  <r>
    <x v="70"/>
    <x v="56"/>
    <s v="Banking Portal"/>
    <x v="0"/>
    <s v="Yes"/>
    <m/>
  </r>
  <r>
    <x v="71"/>
    <x v="57"/>
    <s v="Banking Portal"/>
    <x v="0"/>
    <s v="Yes"/>
    <m/>
  </r>
  <r>
    <x v="72"/>
    <x v="57"/>
    <s v="Banking Portal"/>
    <x v="0"/>
    <s v="Yes"/>
    <m/>
  </r>
  <r>
    <x v="73"/>
    <x v="58"/>
    <s v="Banking Portal"/>
    <x v="0"/>
    <s v="Yes"/>
    <m/>
  </r>
  <r>
    <x v="74"/>
    <x v="59"/>
    <s v="Banking Portal"/>
    <x v="0"/>
    <s v="Yes"/>
    <m/>
  </r>
  <r>
    <x v="75"/>
    <x v="59"/>
    <s v="Banking Portal"/>
    <x v="0"/>
    <s v="Yes"/>
    <m/>
  </r>
  <r>
    <x v="76"/>
    <x v="58"/>
    <s v="Banking Portal"/>
    <x v="0"/>
    <s v="Yes"/>
    <m/>
  </r>
  <r>
    <x v="77"/>
    <x v="58"/>
    <s v="Banking Portal"/>
    <x v="0"/>
    <s v="Yes"/>
    <m/>
  </r>
  <r>
    <x v="78"/>
    <x v="60"/>
    <s v="Banking Portal"/>
    <x v="0"/>
    <s v="Yes"/>
    <m/>
  </r>
  <r>
    <x v="79"/>
    <x v="61"/>
    <s v="Banking Portal"/>
    <x v="0"/>
    <s v="Yes"/>
    <m/>
  </r>
  <r>
    <x v="80"/>
    <x v="60"/>
    <s v="Banking Portal"/>
    <x v="0"/>
    <s v="Yes"/>
    <m/>
  </r>
  <r>
    <x v="81"/>
    <x v="62"/>
    <s v="Banking Portal"/>
    <x v="0"/>
    <s v="Yes"/>
    <m/>
  </r>
  <r>
    <x v="82"/>
    <x v="63"/>
    <s v="Banking Portal"/>
    <x v="0"/>
    <s v="Yes"/>
    <m/>
  </r>
  <r>
    <x v="83"/>
    <x v="62"/>
    <s v="Banking Portal"/>
    <x v="0"/>
    <s v="Yes"/>
    <m/>
  </r>
  <r>
    <x v="84"/>
    <x v="62"/>
    <s v="Banking Portal"/>
    <x v="0"/>
    <s v="Yes"/>
    <m/>
  </r>
  <r>
    <x v="85"/>
    <x v="64"/>
    <s v="Credit Processing System"/>
    <x v="1"/>
    <s v="Yes"/>
    <s v="contains both 'shall' and 'shall not'; multiple time constraints: 10seconds, 2milliseconds, 2seconds, 30milliseconds, 5milliseconds, 5seconds"/>
  </r>
  <r>
    <x v="86"/>
    <x v="65"/>
    <s v="Credit Processing System"/>
    <x v="1"/>
    <s v="Yes"/>
    <m/>
  </r>
  <r>
    <x v="87"/>
    <x v="66"/>
    <s v="Credit Processing System"/>
    <x v="1"/>
    <s v="Yes"/>
    <m/>
  </r>
  <r>
    <x v="88"/>
    <x v="67"/>
    <s v="Credit Processing System"/>
    <x v="1"/>
    <s v="Yes"/>
    <m/>
  </r>
  <r>
    <x v="89"/>
    <x v="68"/>
    <s v="Credit Processing System"/>
    <x v="1"/>
    <s v="Yes"/>
    <m/>
  </r>
  <r>
    <x v="90"/>
    <x v="69"/>
    <s v="Credit Processing System"/>
    <x v="1"/>
    <s v="Yes"/>
    <m/>
  </r>
  <r>
    <x v="91"/>
    <x v="70"/>
    <s v="Credit Processing System"/>
    <x v="1"/>
    <s v="Yes"/>
    <m/>
  </r>
  <r>
    <x v="92"/>
    <x v="71"/>
    <s v="Credit Processing System"/>
    <x v="1"/>
    <s v="Yes"/>
    <m/>
  </r>
  <r>
    <x v="93"/>
    <x v="72"/>
    <s v="Credit Processing System"/>
    <x v="1"/>
    <s v="Yes"/>
    <m/>
  </r>
  <r>
    <x v="94"/>
    <x v="73"/>
    <s v="Credit Processing System"/>
    <x v="1"/>
    <s v="Yes"/>
    <m/>
  </r>
  <r>
    <x v="95"/>
    <x v="74"/>
    <s v="Credit Processing System"/>
    <x v="1"/>
    <s v="Yes"/>
    <m/>
  </r>
  <r>
    <x v="96"/>
    <x v="75"/>
    <s v="Credit Processing System"/>
    <x v="1"/>
    <s v="Yes"/>
    <m/>
  </r>
  <r>
    <x v="97"/>
    <x v="76"/>
    <s v="Credit Processing System"/>
    <x v="1"/>
    <s v="Yes"/>
    <m/>
  </r>
  <r>
    <x v="98"/>
    <x v="77"/>
    <s v="Credit Processing System"/>
    <x v="1"/>
    <s v="Yes"/>
    <m/>
  </r>
  <r>
    <x v="99"/>
    <x v="78"/>
    <s v="Credit Processing System"/>
    <x v="1"/>
    <s v="Yes"/>
    <m/>
  </r>
  <r>
    <x v="100"/>
    <x v="79"/>
    <s v="Credit Processing System"/>
    <x v="1"/>
    <s v="Yes"/>
    <m/>
  </r>
  <r>
    <x v="101"/>
    <x v="80"/>
    <s v="Credit Processing System"/>
    <x v="1"/>
    <s v="Yes"/>
    <m/>
  </r>
  <r>
    <x v="102"/>
    <x v="81"/>
    <s v="Credit Processing System"/>
    <x v="1"/>
    <s v="Yes"/>
    <m/>
  </r>
  <r>
    <x v="103"/>
    <x v="82"/>
    <s v="Credit Processing System"/>
    <x v="1"/>
    <s v="Yes"/>
    <m/>
  </r>
  <r>
    <x v="104"/>
    <x v="0"/>
    <s v="Credit Processing System"/>
    <x v="1"/>
    <s v="Yes"/>
    <m/>
  </r>
  <r>
    <x v="105"/>
    <x v="83"/>
    <s v="Credit Processing System"/>
    <x v="1"/>
    <s v="Yes"/>
    <m/>
  </r>
  <r>
    <x v="106"/>
    <x v="84"/>
    <s v="Credit Processing System"/>
    <x v="1"/>
    <s v="Yes"/>
    <m/>
  </r>
  <r>
    <x v="107"/>
    <x v="85"/>
    <s v="Credit Processing System"/>
    <x v="1"/>
    <s v="Yes"/>
    <m/>
  </r>
  <r>
    <x v="108"/>
    <x v="86"/>
    <s v="Credit Processing System"/>
    <x v="1"/>
    <s v="Yes"/>
    <m/>
  </r>
  <r>
    <x v="109"/>
    <x v="87"/>
    <s v="Credit Processing System"/>
    <x v="1"/>
    <s v="Yes"/>
    <m/>
  </r>
  <r>
    <x v="110"/>
    <x v="88"/>
    <s v="Credit Processing System"/>
    <x v="1"/>
    <s v="Yes"/>
    <m/>
  </r>
  <r>
    <x v="111"/>
    <x v="89"/>
    <s v="Credit Processing System"/>
    <x v="1"/>
    <s v="Yes"/>
    <m/>
  </r>
  <r>
    <x v="112"/>
    <x v="90"/>
    <s v="Credit Processing System"/>
    <x v="1"/>
    <s v="Yes"/>
    <m/>
  </r>
  <r>
    <x v="113"/>
    <x v="91"/>
    <s v="Credit Processing System"/>
    <x v="1"/>
    <s v="Yes"/>
    <m/>
  </r>
  <r>
    <x v="114"/>
    <x v="79"/>
    <s v="Credit Processing System"/>
    <x v="1"/>
    <s v="Yes"/>
    <m/>
  </r>
  <r>
    <x v="115"/>
    <x v="92"/>
    <s v="Credit Processing System"/>
    <x v="1"/>
    <s v="Yes"/>
    <m/>
  </r>
  <r>
    <x v="116"/>
    <x v="93"/>
    <s v="Credit Processing System"/>
    <x v="1"/>
    <s v="Yes"/>
    <m/>
  </r>
  <r>
    <x v="117"/>
    <x v="94"/>
    <s v="Credit Processing System"/>
    <x v="1"/>
    <s v="Yes"/>
    <m/>
  </r>
  <r>
    <x v="118"/>
    <x v="95"/>
    <s v="Credit Processing System"/>
    <x v="1"/>
    <s v="Yes"/>
    <m/>
  </r>
  <r>
    <x v="119"/>
    <x v="96"/>
    <s v="Credit Processing System"/>
    <x v="1"/>
    <s v="Yes"/>
    <m/>
  </r>
  <r>
    <x v="120"/>
    <x v="97"/>
    <s v="Credit Processing System"/>
    <x v="1"/>
    <s v="Yes"/>
    <m/>
  </r>
  <r>
    <x v="121"/>
    <x v="98"/>
    <s v="Credit Processing System"/>
    <x v="1"/>
    <s v="Yes"/>
    <m/>
  </r>
  <r>
    <x v="122"/>
    <x v="99"/>
    <s v="Credit Processing System"/>
    <x v="1"/>
    <s v="Yes"/>
    <m/>
  </r>
  <r>
    <x v="123"/>
    <x v="100"/>
    <s v="Credit Processing System"/>
    <x v="1"/>
    <s v="Yes"/>
    <m/>
  </r>
  <r>
    <x v="124"/>
    <x v="101"/>
    <s v="Credit Processing System"/>
    <x v="1"/>
    <s v="Yes"/>
    <m/>
  </r>
  <r>
    <x v="125"/>
    <x v="95"/>
    <s v="Credit Processing System"/>
    <x v="1"/>
    <s v="Yes"/>
    <m/>
  </r>
  <r>
    <x v="126"/>
    <x v="102"/>
    <s v="Credit Processing System"/>
    <x v="1"/>
    <s v="Yes"/>
    <m/>
  </r>
  <r>
    <x v="127"/>
    <x v="103"/>
    <s v="Credit Processing System"/>
    <x v="1"/>
    <s v="Yes"/>
    <m/>
  </r>
  <r>
    <x v="128"/>
    <x v="104"/>
    <s v="Credit Processing System"/>
    <x v="1"/>
    <s v="Yes"/>
    <m/>
  </r>
  <r>
    <x v="129"/>
    <x v="105"/>
    <s v="Credit Processing System"/>
    <x v="1"/>
    <s v="Yes"/>
    <m/>
  </r>
  <r>
    <x v="130"/>
    <x v="106"/>
    <s v="Credit Processing System"/>
    <x v="1"/>
    <s v="Yes"/>
    <m/>
  </r>
  <r>
    <x v="131"/>
    <x v="107"/>
    <s v="Credit Processing System"/>
    <x v="1"/>
    <s v="Yes"/>
    <m/>
  </r>
  <r>
    <x v="132"/>
    <x v="108"/>
    <s v="Credit Processing System"/>
    <x v="1"/>
    <s v="Yes"/>
    <m/>
  </r>
  <r>
    <x v="133"/>
    <x v="109"/>
    <s v="Credit Processing System"/>
    <x v="1"/>
    <s v="Yes"/>
    <m/>
  </r>
  <r>
    <x v="134"/>
    <x v="110"/>
    <s v="Credit Processing System"/>
    <x v="1"/>
    <s v="Yes"/>
    <m/>
  </r>
  <r>
    <x v="135"/>
    <x v="109"/>
    <s v="Credit Processing System"/>
    <x v="1"/>
    <s v="Yes"/>
    <m/>
  </r>
  <r>
    <x v="136"/>
    <x v="111"/>
    <s v="Credit Processing System"/>
    <x v="1"/>
    <s v="Yes"/>
    <m/>
  </r>
  <r>
    <x v="137"/>
    <x v="107"/>
    <s v="Credit Processing System"/>
    <x v="1"/>
    <s v="Yes"/>
    <m/>
  </r>
  <r>
    <x v="138"/>
    <x v="104"/>
    <s v="Credit Processing System"/>
    <x v="1"/>
    <s v="Yes"/>
    <m/>
  </r>
  <r>
    <x v="139"/>
    <x v="112"/>
    <s v="Credit Processing System"/>
    <x v="1"/>
    <s v="Yes"/>
    <m/>
  </r>
  <r>
    <x v="140"/>
    <x v="113"/>
    <s v="Credit Processing System"/>
    <x v="1"/>
    <s v="Yes"/>
    <m/>
  </r>
  <r>
    <x v="141"/>
    <x v="114"/>
    <s v="Credit Processing System"/>
    <x v="1"/>
    <s v="Yes"/>
    <m/>
  </r>
  <r>
    <x v="142"/>
    <x v="115"/>
    <s v="Credit Processing System"/>
    <x v="1"/>
    <s v="Yes"/>
    <m/>
  </r>
  <r>
    <x v="143"/>
    <x v="116"/>
    <s v="Credit Processing System"/>
    <x v="1"/>
    <s v="Yes"/>
    <m/>
  </r>
  <r>
    <x v="144"/>
    <x v="117"/>
    <s v="Credit Processing System"/>
    <x v="1"/>
    <s v="Yes"/>
    <m/>
  </r>
  <r>
    <x v="145"/>
    <x v="118"/>
    <s v="Credit Processing System"/>
    <x v="1"/>
    <s v="Yes"/>
    <m/>
  </r>
  <r>
    <x v="146"/>
    <x v="50"/>
    <s v="Credit Processing System"/>
    <x v="1"/>
    <s v="Yes"/>
    <m/>
  </r>
  <r>
    <x v="147"/>
    <x v="50"/>
    <s v="Credit Processing System"/>
    <x v="1"/>
    <s v="Yes"/>
    <m/>
  </r>
  <r>
    <x v="148"/>
    <x v="53"/>
    <s v="Credit Processing System"/>
    <x v="1"/>
    <s v="Yes"/>
    <m/>
  </r>
  <r>
    <x v="149"/>
    <x v="50"/>
    <s v="Credit Processing System"/>
    <x v="1"/>
    <s v="Yes"/>
    <m/>
  </r>
  <r>
    <x v="150"/>
    <x v="52"/>
    <s v="Credit Processing System"/>
    <x v="1"/>
    <s v="Yes"/>
    <m/>
  </r>
  <r>
    <x v="151"/>
    <x v="52"/>
    <s v="Credit Processing System"/>
    <x v="1"/>
    <s v="Yes"/>
    <m/>
  </r>
  <r>
    <x v="152"/>
    <x v="50"/>
    <s v="Credit Processing System"/>
    <x v="1"/>
    <s v="Yes"/>
    <m/>
  </r>
  <r>
    <x v="153"/>
    <x v="54"/>
    <s v="Credit Processing System"/>
    <x v="1"/>
    <s v="Yes"/>
    <m/>
  </r>
  <r>
    <x v="154"/>
    <x v="119"/>
    <s v="Credit Processing System"/>
    <x v="1"/>
    <s v="Yes"/>
    <m/>
  </r>
  <r>
    <x v="155"/>
    <x v="59"/>
    <s v="Credit Processing System"/>
    <x v="1"/>
    <s v="Yes"/>
    <m/>
  </r>
  <r>
    <x v="156"/>
    <x v="59"/>
    <s v="Credit Processing System"/>
    <x v="1"/>
    <s v="Yes"/>
    <m/>
  </r>
  <r>
    <x v="157"/>
    <x v="60"/>
    <s v="Credit Processing System"/>
    <x v="1"/>
    <s v="Yes"/>
    <m/>
  </r>
  <r>
    <x v="158"/>
    <x v="120"/>
    <s v="Fleet Management System"/>
    <x v="2"/>
    <s v="Yes"/>
    <s v="contains both 'shall' and 'shall not';; multiple time constraints: 10seconds, 30seconds"/>
  </r>
  <r>
    <x v="159"/>
    <x v="121"/>
    <s v="Fleet Management System"/>
    <x v="2"/>
    <s v="Yes"/>
    <m/>
  </r>
  <r>
    <x v="160"/>
    <x v="122"/>
    <s v="Fleet Management System"/>
    <x v="2"/>
    <s v="Yes"/>
    <m/>
  </r>
  <r>
    <x v="161"/>
    <x v="74"/>
    <s v="Fleet Management System"/>
    <x v="2"/>
    <s v="Yes"/>
    <m/>
  </r>
  <r>
    <x v="162"/>
    <x v="123"/>
    <s v="Fleet Management System"/>
    <x v="2"/>
    <s v="Yes"/>
    <m/>
  </r>
  <r>
    <x v="163"/>
    <x v="12"/>
    <s v="Fleet Management System"/>
    <x v="2"/>
    <s v="Yes"/>
    <m/>
  </r>
  <r>
    <x v="164"/>
    <x v="124"/>
    <s v="Fleet Management System"/>
    <x v="2"/>
    <s v="Yes"/>
    <m/>
  </r>
  <r>
    <x v="165"/>
    <x v="125"/>
    <s v="Fleet Management System"/>
    <x v="2"/>
    <s v="Yes"/>
    <m/>
  </r>
  <r>
    <x v="166"/>
    <x v="126"/>
    <s v="Fleet Management System"/>
    <x v="2"/>
    <s v="Yes"/>
    <m/>
  </r>
  <r>
    <x v="167"/>
    <x v="127"/>
    <s v="Fleet Management System"/>
    <x v="2"/>
    <s v="Yes"/>
    <m/>
  </r>
  <r>
    <x v="168"/>
    <x v="128"/>
    <s v="Fleet Management System"/>
    <x v="2"/>
    <s v="Yes"/>
    <m/>
  </r>
  <r>
    <x v="169"/>
    <x v="15"/>
    <s v="Fleet Management System"/>
    <x v="2"/>
    <s v="Yes"/>
    <m/>
  </r>
  <r>
    <x v="170"/>
    <x v="129"/>
    <s v="Fleet Management System"/>
    <x v="2"/>
    <s v="Yes"/>
    <m/>
  </r>
  <r>
    <x v="171"/>
    <x v="130"/>
    <s v="Fleet Management System"/>
    <x v="2"/>
    <s v="Yes"/>
    <m/>
  </r>
  <r>
    <x v="172"/>
    <x v="35"/>
    <s v="Fleet Management System"/>
    <x v="2"/>
    <s v="Yes"/>
    <m/>
  </r>
  <r>
    <x v="173"/>
    <x v="131"/>
    <s v="Fleet Management System"/>
    <x v="2"/>
    <s v="Yes"/>
    <m/>
  </r>
  <r>
    <x v="174"/>
    <x v="132"/>
    <s v="Fleet Management System"/>
    <x v="2"/>
    <s v="Yes"/>
    <m/>
  </r>
  <r>
    <x v="175"/>
    <x v="133"/>
    <s v="Fleet Management System"/>
    <x v="2"/>
    <s v="Yes"/>
    <m/>
  </r>
  <r>
    <x v="176"/>
    <x v="134"/>
    <s v="Fleet Management System"/>
    <x v="2"/>
    <s v="Yes"/>
    <m/>
  </r>
  <r>
    <x v="177"/>
    <x v="70"/>
    <s v="Fleet Management System"/>
    <x v="2"/>
    <s v="Yes"/>
    <m/>
  </r>
  <r>
    <x v="178"/>
    <x v="135"/>
    <s v="Fleet Management System"/>
    <x v="2"/>
    <s v="Yes"/>
    <m/>
  </r>
  <r>
    <x v="179"/>
    <x v="136"/>
    <s v="Fleet Management System"/>
    <x v="2"/>
    <s v="Yes"/>
    <m/>
  </r>
  <r>
    <x v="180"/>
    <x v="72"/>
    <s v="Fleet Management System"/>
    <x v="2"/>
    <s v="Yes"/>
    <m/>
  </r>
  <r>
    <x v="181"/>
    <x v="137"/>
    <s v="Fleet Management System"/>
    <x v="2"/>
    <s v="Yes"/>
    <m/>
  </r>
  <r>
    <x v="182"/>
    <x v="138"/>
    <s v="Fleet Management System"/>
    <x v="2"/>
    <s v="Yes"/>
    <m/>
  </r>
  <r>
    <x v="183"/>
    <x v="139"/>
    <s v="Fleet Management System"/>
    <x v="2"/>
    <s v="Yes"/>
    <m/>
  </r>
  <r>
    <x v="184"/>
    <x v="133"/>
    <s v="Fleet Management System"/>
    <x v="2"/>
    <s v="Yes"/>
    <m/>
  </r>
  <r>
    <x v="185"/>
    <x v="100"/>
    <s v="Fleet Management System"/>
    <x v="2"/>
    <s v="Yes"/>
    <m/>
  </r>
  <r>
    <x v="186"/>
    <x v="140"/>
    <s v="Fleet Management System"/>
    <x v="2"/>
    <s v="Yes"/>
    <m/>
  </r>
  <r>
    <x v="187"/>
    <x v="141"/>
    <s v="Fleet Management System"/>
    <x v="2"/>
    <s v="Yes"/>
    <m/>
  </r>
  <r>
    <x v="188"/>
    <x v="142"/>
    <s v="Fleet Management System"/>
    <x v="2"/>
    <s v="Yes"/>
    <m/>
  </r>
  <r>
    <x v="189"/>
    <x v="143"/>
    <s v="Fleet Management System"/>
    <x v="2"/>
    <s v="Yes"/>
    <m/>
  </r>
  <r>
    <x v="190"/>
    <x v="11"/>
    <s v="Fleet Management System"/>
    <x v="2"/>
    <s v="Yes"/>
    <m/>
  </r>
  <r>
    <x v="191"/>
    <x v="144"/>
    <s v="Fleet Management System"/>
    <x v="2"/>
    <s v="Yes"/>
    <m/>
  </r>
  <r>
    <x v="192"/>
    <x v="120"/>
    <s v="Fleet Management System"/>
    <x v="2"/>
    <s v="Yes"/>
    <m/>
  </r>
  <r>
    <x v="193"/>
    <x v="145"/>
    <s v="Fleet Management System"/>
    <x v="2"/>
    <s v="Yes"/>
    <m/>
  </r>
  <r>
    <x v="194"/>
    <x v="146"/>
    <s v="Fleet Management System"/>
    <x v="2"/>
    <s v="Yes"/>
    <m/>
  </r>
  <r>
    <x v="195"/>
    <x v="25"/>
    <s v="Fleet Management System"/>
    <x v="2"/>
    <s v="Yes"/>
    <m/>
  </r>
  <r>
    <x v="196"/>
    <x v="147"/>
    <s v="Fleet Management System"/>
    <x v="2"/>
    <s v="Yes"/>
    <m/>
  </r>
  <r>
    <x v="197"/>
    <x v="102"/>
    <s v="Fleet Management System"/>
    <x v="2"/>
    <s v="Yes"/>
    <m/>
  </r>
  <r>
    <x v="198"/>
    <x v="15"/>
    <s v="Fleet Management System"/>
    <x v="2"/>
    <s v="Yes"/>
    <m/>
  </r>
  <r>
    <x v="199"/>
    <x v="148"/>
    <s v="Fleet Management System"/>
    <x v="2"/>
    <s v="Yes"/>
    <m/>
  </r>
  <r>
    <x v="200"/>
    <x v="149"/>
    <s v="Fleet Management System"/>
    <x v="2"/>
    <s v="Yes"/>
    <m/>
  </r>
  <r>
    <x v="201"/>
    <x v="79"/>
    <s v="Fleet Management System"/>
    <x v="2"/>
    <s v="Yes"/>
    <m/>
  </r>
  <r>
    <x v="202"/>
    <x v="150"/>
    <s v="Fleet Management System"/>
    <x v="2"/>
    <s v="Yes"/>
    <m/>
  </r>
  <r>
    <x v="203"/>
    <x v="2"/>
    <s v="Fleet Management System"/>
    <x v="2"/>
    <s v="Yes"/>
    <m/>
  </r>
  <r>
    <x v="204"/>
    <x v="136"/>
    <s v="Fleet Management System"/>
    <x v="2"/>
    <s v="Yes"/>
    <m/>
  </r>
  <r>
    <x v="205"/>
    <x v="151"/>
    <s v="Fleet Management System"/>
    <x v="2"/>
    <s v="Yes"/>
    <m/>
  </r>
  <r>
    <x v="206"/>
    <x v="150"/>
    <s v="Fleet Management System"/>
    <x v="2"/>
    <s v="Yes"/>
    <m/>
  </r>
  <r>
    <x v="207"/>
    <x v="152"/>
    <s v="Fleet Management System"/>
    <x v="2"/>
    <s v="Yes"/>
    <m/>
  </r>
  <r>
    <x v="208"/>
    <x v="153"/>
    <s v="Fleet Management System"/>
    <x v="2"/>
    <s v="Yes"/>
    <m/>
  </r>
  <r>
    <x v="209"/>
    <x v="154"/>
    <s v="Fleet Management System"/>
    <x v="2"/>
    <s v="Yes"/>
    <m/>
  </r>
  <r>
    <x v="210"/>
    <x v="45"/>
    <s v="Fleet Management System"/>
    <x v="2"/>
    <s v="Yes"/>
    <m/>
  </r>
  <r>
    <x v="211"/>
    <x v="46"/>
    <s v="Fleet Management System"/>
    <x v="2"/>
    <s v="Yes"/>
    <m/>
  </r>
  <r>
    <x v="212"/>
    <x v="155"/>
    <s v="Fleet Management System"/>
    <x v="2"/>
    <s v="Yes"/>
    <m/>
  </r>
  <r>
    <x v="213"/>
    <x v="115"/>
    <s v="Fleet Management System"/>
    <x v="2"/>
    <s v="Yes"/>
    <m/>
  </r>
  <r>
    <x v="214"/>
    <x v="156"/>
    <s v="Fleet Management System"/>
    <x v="2"/>
    <s v="Yes"/>
    <m/>
  </r>
  <r>
    <x v="215"/>
    <x v="157"/>
    <s v="Fleet Management System"/>
    <x v="2"/>
    <s v="Yes"/>
    <m/>
  </r>
  <r>
    <x v="216"/>
    <x v="112"/>
    <s v="Fleet Management System"/>
    <x v="2"/>
    <s v="Yes"/>
    <m/>
  </r>
  <r>
    <x v="217"/>
    <x v="118"/>
    <s v="Fleet Management System"/>
    <x v="2"/>
    <s v="Yes"/>
    <m/>
  </r>
  <r>
    <x v="218"/>
    <x v="112"/>
    <s v="Fleet Management System"/>
    <x v="2"/>
    <s v="Yes"/>
    <m/>
  </r>
  <r>
    <x v="219"/>
    <x v="158"/>
    <s v="Fleet Management System"/>
    <x v="2"/>
    <s v="Yes"/>
    <m/>
  </r>
  <r>
    <x v="220"/>
    <x v="112"/>
    <s v="Fleet Management System"/>
    <x v="2"/>
    <s v="Yes"/>
    <m/>
  </r>
  <r>
    <x v="221"/>
    <x v="159"/>
    <s v="Fleet Management System"/>
    <x v="2"/>
    <s v="Yes"/>
    <m/>
  </r>
  <r>
    <x v="222"/>
    <x v="112"/>
    <s v="Fleet Management System"/>
    <x v="2"/>
    <s v="Yes"/>
    <m/>
  </r>
  <r>
    <x v="223"/>
    <x v="115"/>
    <s v="Fleet Management System"/>
    <x v="2"/>
    <s v="Yes"/>
    <m/>
  </r>
  <r>
    <x v="224"/>
    <x v="50"/>
    <s v="Fleet Management System"/>
    <x v="2"/>
    <s v="Yes"/>
    <m/>
  </r>
  <r>
    <x v="225"/>
    <x v="52"/>
    <s v="Fleet Management System"/>
    <x v="2"/>
    <s v="Yes"/>
    <m/>
  </r>
  <r>
    <x v="226"/>
    <x v="50"/>
    <s v="Fleet Management System"/>
    <x v="2"/>
    <s v="Yes"/>
    <m/>
  </r>
  <r>
    <x v="227"/>
    <x v="54"/>
    <s v="Fleet Management System"/>
    <x v="2"/>
    <s v="Yes"/>
    <m/>
  </r>
  <r>
    <x v="228"/>
    <x v="54"/>
    <s v="Fleet Management System"/>
    <x v="2"/>
    <s v="Yes"/>
    <m/>
  </r>
  <r>
    <x v="229"/>
    <x v="160"/>
    <s v="Fleet Management System"/>
    <x v="2"/>
    <s v="Yes"/>
    <m/>
  </r>
  <r>
    <x v="230"/>
    <x v="58"/>
    <s v="Fleet Management System"/>
    <x v="2"/>
    <s v="Yes"/>
    <m/>
  </r>
  <r>
    <x v="231"/>
    <x v="59"/>
    <s v="Fleet Management System"/>
    <x v="2"/>
    <s v="Yes"/>
    <m/>
  </r>
  <r>
    <x v="232"/>
    <x v="59"/>
    <s v="Fleet Management System"/>
    <x v="2"/>
    <s v="Yes"/>
    <m/>
  </r>
  <r>
    <x v="233"/>
    <x v="62"/>
    <s v="Fleet Management System"/>
    <x v="2"/>
    <s v="Yes"/>
    <m/>
  </r>
  <r>
    <x v="234"/>
    <x v="63"/>
    <s v="Fleet Management System"/>
    <x v="2"/>
    <s v="Yes"/>
    <m/>
  </r>
  <r>
    <x v="235"/>
    <x v="161"/>
    <s v="Hospital Management System"/>
    <x v="3"/>
    <s v="Yes"/>
    <s v="contains both 'shall' and 'shall not'; multiple time constraints: 10milliseconds, 10seconds, 2hours, 5seconds, 60minutes, 60seconds"/>
  </r>
  <r>
    <x v="236"/>
    <x v="162"/>
    <s v="Hospital Management System"/>
    <x v="3"/>
    <s v="Yes"/>
    <m/>
  </r>
  <r>
    <x v="237"/>
    <x v="163"/>
    <s v="Hospital Management System"/>
    <x v="3"/>
    <s v="Yes"/>
    <m/>
  </r>
  <r>
    <x v="238"/>
    <x v="164"/>
    <s v="Hospital Management System"/>
    <x v="3"/>
    <s v="Yes"/>
    <m/>
  </r>
  <r>
    <x v="239"/>
    <x v="71"/>
    <s v="Hospital Management System"/>
    <x v="3"/>
    <s v="Yes"/>
    <m/>
  </r>
  <r>
    <x v="240"/>
    <x v="165"/>
    <s v="Hospital Management System"/>
    <x v="3"/>
    <s v="Yes"/>
    <m/>
  </r>
  <r>
    <x v="241"/>
    <x v="166"/>
    <s v="Hospital Management System"/>
    <x v="3"/>
    <s v="Yes"/>
    <m/>
  </r>
  <r>
    <x v="242"/>
    <x v="167"/>
    <s v="Hospital Management System"/>
    <x v="3"/>
    <s v="Yes"/>
    <m/>
  </r>
  <r>
    <x v="243"/>
    <x v="87"/>
    <s v="Hospital Management System"/>
    <x v="3"/>
    <s v="Yes"/>
    <m/>
  </r>
  <r>
    <x v="244"/>
    <x v="168"/>
    <s v="Hospital Management System"/>
    <x v="3"/>
    <s v="Yes"/>
    <m/>
  </r>
  <r>
    <x v="245"/>
    <x v="169"/>
    <s v="Hospital Management System"/>
    <x v="3"/>
    <s v="Yes"/>
    <m/>
  </r>
  <r>
    <x v="246"/>
    <x v="170"/>
    <s v="Hospital Management System"/>
    <x v="3"/>
    <s v="Yes"/>
    <m/>
  </r>
  <r>
    <x v="247"/>
    <x v="171"/>
    <s v="Hospital Management System"/>
    <x v="3"/>
    <s v="Yes"/>
    <m/>
  </r>
  <r>
    <x v="248"/>
    <x v="95"/>
    <s v="Hospital Management System"/>
    <x v="3"/>
    <s v="Yes"/>
    <m/>
  </r>
  <r>
    <x v="249"/>
    <x v="172"/>
    <s v="Hospital Management System"/>
    <x v="3"/>
    <s v="Yes"/>
    <m/>
  </r>
  <r>
    <x v="250"/>
    <x v="37"/>
    <s v="Hospital Management System"/>
    <x v="3"/>
    <s v="Yes"/>
    <m/>
  </r>
  <r>
    <x v="251"/>
    <x v="173"/>
    <s v="Hospital Management System"/>
    <x v="3"/>
    <s v="Yes"/>
    <m/>
  </r>
  <r>
    <x v="252"/>
    <x v="121"/>
    <s v="Hospital Management System"/>
    <x v="3"/>
    <s v="Yes"/>
    <m/>
  </r>
  <r>
    <x v="253"/>
    <x v="174"/>
    <s v="Hospital Management System"/>
    <x v="3"/>
    <s v="Yes"/>
    <m/>
  </r>
  <r>
    <x v="254"/>
    <x v="175"/>
    <s v="Hospital Management System"/>
    <x v="3"/>
    <s v="Yes"/>
    <m/>
  </r>
  <r>
    <x v="255"/>
    <x v="120"/>
    <s v="Hospital Management System"/>
    <x v="3"/>
    <s v="Yes"/>
    <m/>
  </r>
  <r>
    <x v="256"/>
    <x v="100"/>
    <s v="Hospital Management System"/>
    <x v="3"/>
    <s v="Yes"/>
    <m/>
  </r>
  <r>
    <x v="257"/>
    <x v="176"/>
    <s v="Hospital Management System"/>
    <x v="3"/>
    <s v="Yes"/>
    <m/>
  </r>
  <r>
    <x v="258"/>
    <x v="95"/>
    <s v="Hospital Management System"/>
    <x v="3"/>
    <s v="Yes"/>
    <m/>
  </r>
  <r>
    <x v="259"/>
    <x v="39"/>
    <s v="Hospital Management System"/>
    <x v="3"/>
    <s v="Yes"/>
    <m/>
  </r>
  <r>
    <x v="260"/>
    <x v="177"/>
    <s v="Hospital Management System"/>
    <x v="3"/>
    <s v="Yes"/>
    <m/>
  </r>
  <r>
    <x v="261"/>
    <x v="178"/>
    <s v="Hospital Management System"/>
    <x v="3"/>
    <s v="Yes"/>
    <m/>
  </r>
  <r>
    <x v="262"/>
    <x v="179"/>
    <s v="Hospital Management System"/>
    <x v="3"/>
    <s v="Yes"/>
    <m/>
  </r>
  <r>
    <x v="263"/>
    <x v="180"/>
    <s v="Hospital Management System"/>
    <x v="3"/>
    <s v="Yes"/>
    <m/>
  </r>
  <r>
    <x v="264"/>
    <x v="103"/>
    <s v="Hospital Management System"/>
    <x v="3"/>
    <s v="Yes"/>
    <m/>
  </r>
  <r>
    <x v="265"/>
    <x v="146"/>
    <s v="Hospital Management System"/>
    <x v="3"/>
    <s v="Yes"/>
    <m/>
  </r>
  <r>
    <x v="266"/>
    <x v="181"/>
    <s v="Hospital Management System"/>
    <x v="3"/>
    <s v="Yes"/>
    <m/>
  </r>
  <r>
    <x v="267"/>
    <x v="182"/>
    <s v="Hospital Management System"/>
    <x v="3"/>
    <s v="Yes"/>
    <m/>
  </r>
  <r>
    <x v="268"/>
    <x v="41"/>
    <s v="Hospital Management System"/>
    <x v="3"/>
    <s v="Yes"/>
    <m/>
  </r>
  <r>
    <x v="269"/>
    <x v="168"/>
    <s v="Hospital Management System"/>
    <x v="3"/>
    <s v="Yes"/>
    <m/>
  </r>
  <r>
    <x v="270"/>
    <x v="183"/>
    <s v="Hospital Management System"/>
    <x v="3"/>
    <s v="Yes"/>
    <m/>
  </r>
  <r>
    <x v="271"/>
    <x v="184"/>
    <s v="Hospital Management System"/>
    <x v="3"/>
    <s v="Yes"/>
    <m/>
  </r>
  <r>
    <x v="272"/>
    <x v="100"/>
    <s v="Hospital Management System"/>
    <x v="3"/>
    <s v="Yes"/>
    <m/>
  </r>
  <r>
    <x v="273"/>
    <x v="185"/>
    <s v="Hospital Management System"/>
    <x v="3"/>
    <s v="Yes"/>
    <m/>
  </r>
  <r>
    <x v="274"/>
    <x v="186"/>
    <s v="Hospital Management System"/>
    <x v="3"/>
    <s v="Yes"/>
    <m/>
  </r>
  <r>
    <x v="275"/>
    <x v="177"/>
    <s v="Hospital Management System"/>
    <x v="3"/>
    <s v="Yes"/>
    <m/>
  </r>
  <r>
    <x v="276"/>
    <x v="187"/>
    <s v="Hospital Management System"/>
    <x v="3"/>
    <s v="Yes"/>
    <m/>
  </r>
  <r>
    <x v="277"/>
    <x v="100"/>
    <s v="Hospital Management System"/>
    <x v="3"/>
    <s v="Yes"/>
    <m/>
  </r>
  <r>
    <x v="278"/>
    <x v="148"/>
    <s v="Hospital Management System"/>
    <x v="3"/>
    <s v="Yes"/>
    <m/>
  </r>
  <r>
    <x v="279"/>
    <x v="30"/>
    <s v="Hospital Management System"/>
    <x v="3"/>
    <s v="Yes"/>
    <m/>
  </r>
  <r>
    <x v="280"/>
    <x v="188"/>
    <s v="Hospital Management System"/>
    <x v="3"/>
    <s v="Yes"/>
    <m/>
  </r>
  <r>
    <x v="281"/>
    <x v="189"/>
    <s v="Hospital Management System"/>
    <x v="3"/>
    <s v="Yes"/>
    <m/>
  </r>
  <r>
    <x v="282"/>
    <x v="33"/>
    <s v="Hospital Management System"/>
    <x v="3"/>
    <s v="Yes"/>
    <m/>
  </r>
  <r>
    <x v="283"/>
    <x v="13"/>
    <s v="Hospital Management System"/>
    <x v="3"/>
    <s v="Yes"/>
    <m/>
  </r>
  <r>
    <x v="284"/>
    <x v="190"/>
    <s v="Hospital Management System"/>
    <x v="3"/>
    <s v="Yes"/>
    <m/>
  </r>
  <r>
    <x v="285"/>
    <x v="136"/>
    <s v="Hospital Management System"/>
    <x v="3"/>
    <s v="Yes"/>
    <m/>
  </r>
  <r>
    <x v="286"/>
    <x v="191"/>
    <s v="Hospital Management System"/>
    <x v="3"/>
    <s v="Yes"/>
    <m/>
  </r>
  <r>
    <x v="287"/>
    <x v="106"/>
    <s v="Hospital Management System"/>
    <x v="3"/>
    <s v="Yes"/>
    <m/>
  </r>
  <r>
    <x v="288"/>
    <x v="48"/>
    <s v="Hospital Management System"/>
    <x v="3"/>
    <s v="Yes"/>
    <m/>
  </r>
  <r>
    <x v="289"/>
    <x v="47"/>
    <s v="Hospital Management System"/>
    <x v="3"/>
    <s v="Yes"/>
    <m/>
  </r>
  <r>
    <x v="290"/>
    <x v="192"/>
    <s v="Hospital Management System"/>
    <x v="3"/>
    <s v="Yes"/>
    <m/>
  </r>
  <r>
    <x v="291"/>
    <x v="193"/>
    <s v="Hospital Management System"/>
    <x v="3"/>
    <s v="Yes"/>
    <m/>
  </r>
  <r>
    <x v="292"/>
    <x v="108"/>
    <s v="Hospital Management System"/>
    <x v="3"/>
    <s v="Yes"/>
    <m/>
  </r>
  <r>
    <x v="293"/>
    <x v="194"/>
    <s v="Hospital Management System"/>
    <x v="3"/>
    <s v="Yes"/>
    <m/>
  </r>
  <r>
    <x v="294"/>
    <x v="112"/>
    <s v="Hospital Management System"/>
    <x v="3"/>
    <s v="Yes"/>
    <m/>
  </r>
  <r>
    <x v="295"/>
    <x v="49"/>
    <s v="Hospital Management System"/>
    <x v="3"/>
    <s v="Yes"/>
    <m/>
  </r>
  <r>
    <x v="296"/>
    <x v="195"/>
    <s v="Hospital Management System"/>
    <x v="3"/>
    <s v="Yes"/>
    <m/>
  </r>
  <r>
    <x v="297"/>
    <x v="196"/>
    <s v="Hospital Management System"/>
    <x v="3"/>
    <s v="Yes"/>
    <m/>
  </r>
  <r>
    <x v="298"/>
    <x v="112"/>
    <s v="Hospital Management System"/>
    <x v="3"/>
    <s v="Yes"/>
    <m/>
  </r>
  <r>
    <x v="299"/>
    <x v="196"/>
    <s v="Hospital Management System"/>
    <x v="3"/>
    <s v="Yes"/>
    <m/>
  </r>
  <r>
    <x v="300"/>
    <x v="117"/>
    <s v="Hospital Management System"/>
    <x v="3"/>
    <s v="Yes"/>
    <m/>
  </r>
  <r>
    <x v="301"/>
    <x v="49"/>
    <s v="Hospital Management System"/>
    <x v="3"/>
    <s v="Yes"/>
    <m/>
  </r>
  <r>
    <x v="302"/>
    <x v="112"/>
    <s v="Hospital Management System"/>
    <x v="3"/>
    <s v="Yes"/>
    <m/>
  </r>
  <r>
    <x v="303"/>
    <x v="53"/>
    <s v="Hospital Management System"/>
    <x v="3"/>
    <s v="Yes"/>
    <m/>
  </r>
  <r>
    <x v="304"/>
    <x v="53"/>
    <s v="Hospital Management System"/>
    <x v="3"/>
    <s v="Yes"/>
    <m/>
  </r>
  <r>
    <x v="305"/>
    <x v="50"/>
    <s v="Hospital Management System"/>
    <x v="3"/>
    <s v="Yes"/>
    <m/>
  </r>
  <r>
    <x v="306"/>
    <x v="51"/>
    <s v="Hospital Management System"/>
    <x v="3"/>
    <s v="Yes"/>
    <m/>
  </r>
  <r>
    <x v="307"/>
    <x v="197"/>
    <s v="Hospital Management System"/>
    <x v="3"/>
    <s v="Yes"/>
    <m/>
  </r>
  <r>
    <x v="308"/>
    <x v="54"/>
    <s v="Hospital Management System"/>
    <x v="3"/>
    <s v="Yes"/>
    <m/>
  </r>
  <r>
    <x v="309"/>
    <x v="54"/>
    <s v="Hospital Management System"/>
    <x v="3"/>
    <s v="Yes"/>
    <m/>
  </r>
  <r>
    <x v="310"/>
    <x v="54"/>
    <s v="Hospital Management System"/>
    <x v="3"/>
    <s v="Yes"/>
    <m/>
  </r>
  <r>
    <x v="311"/>
    <x v="56"/>
    <s v="Hospital Management System"/>
    <x v="3"/>
    <s v="Yes"/>
    <m/>
  </r>
  <r>
    <x v="312"/>
    <x v="160"/>
    <s v="Hospital Management System"/>
    <x v="3"/>
    <s v="Yes"/>
    <m/>
  </r>
  <r>
    <x v="313"/>
    <x v="61"/>
    <s v="Hospital Management System"/>
    <x v="3"/>
    <s v="Yes"/>
    <m/>
  </r>
  <r>
    <x v="314"/>
    <x v="198"/>
    <s v="Inventory Management"/>
    <x v="4"/>
    <s v="Yes"/>
    <s v="contains both 'shall' and 'shall not'; multiple time constraints: 10seconds, 2seconds, 30milliseconds, 30seconds, 60seconds"/>
  </r>
  <r>
    <x v="315"/>
    <x v="184"/>
    <s v="Inventory Management"/>
    <x v="4"/>
    <s v="Yes"/>
    <m/>
  </r>
  <r>
    <x v="316"/>
    <x v="199"/>
    <s v="Inventory Management"/>
    <x v="4"/>
    <s v="Yes"/>
    <m/>
  </r>
  <r>
    <x v="317"/>
    <x v="200"/>
    <s v="Inventory Management"/>
    <x v="4"/>
    <s v="Yes"/>
    <m/>
  </r>
  <r>
    <x v="318"/>
    <x v="124"/>
    <s v="Inventory Management"/>
    <x v="4"/>
    <s v="Yes"/>
    <m/>
  </r>
  <r>
    <x v="319"/>
    <x v="201"/>
    <s v="Inventory Management"/>
    <x v="4"/>
    <s v="Yes"/>
    <m/>
  </r>
  <r>
    <x v="320"/>
    <x v="202"/>
    <s v="Inventory Management"/>
    <x v="4"/>
    <s v="Yes"/>
    <m/>
  </r>
  <r>
    <x v="321"/>
    <x v="203"/>
    <s v="Inventory Management"/>
    <x v="4"/>
    <s v="Yes"/>
    <m/>
  </r>
  <r>
    <x v="322"/>
    <x v="168"/>
    <s v="Inventory Management"/>
    <x v="4"/>
    <s v="Yes"/>
    <m/>
  </r>
  <r>
    <x v="323"/>
    <x v="175"/>
    <s v="Inventory Management"/>
    <x v="4"/>
    <s v="Yes"/>
    <m/>
  </r>
  <r>
    <x v="324"/>
    <x v="204"/>
    <s v="Inventory Management"/>
    <x v="4"/>
    <s v="Yes"/>
    <m/>
  </r>
  <r>
    <x v="325"/>
    <x v="205"/>
    <s v="Inventory Management"/>
    <x v="4"/>
    <s v="Yes"/>
    <m/>
  </r>
  <r>
    <x v="326"/>
    <x v="206"/>
    <s v="Inventory Management"/>
    <x v="4"/>
    <s v="Yes"/>
    <m/>
  </r>
  <r>
    <x v="327"/>
    <x v="34"/>
    <s v="Inventory Management"/>
    <x v="4"/>
    <s v="Yes"/>
    <m/>
  </r>
  <r>
    <x v="328"/>
    <x v="207"/>
    <s v="Inventory Management"/>
    <x v="4"/>
    <s v="Yes"/>
    <m/>
  </r>
  <r>
    <x v="329"/>
    <x v="208"/>
    <s v="Inventory Management"/>
    <x v="4"/>
    <s v="Yes"/>
    <m/>
  </r>
  <r>
    <x v="330"/>
    <x v="154"/>
    <s v="Inventory Management"/>
    <x v="4"/>
    <s v="Yes"/>
    <m/>
  </r>
  <r>
    <x v="331"/>
    <x v="209"/>
    <s v="Inventory Management"/>
    <x v="4"/>
    <s v="Yes"/>
    <m/>
  </r>
  <r>
    <x v="332"/>
    <x v="131"/>
    <s v="Inventory Management"/>
    <x v="4"/>
    <s v="Yes"/>
    <m/>
  </r>
  <r>
    <x v="333"/>
    <x v="210"/>
    <s v="Inventory Management"/>
    <x v="4"/>
    <s v="Yes"/>
    <m/>
  </r>
  <r>
    <x v="334"/>
    <x v="135"/>
    <s v="Inventory Management"/>
    <x v="4"/>
    <s v="Yes"/>
    <m/>
  </r>
  <r>
    <x v="335"/>
    <x v="211"/>
    <s v="Inventory Management"/>
    <x v="4"/>
    <s v="Yes"/>
    <m/>
  </r>
  <r>
    <x v="336"/>
    <x v="212"/>
    <s v="Inventory Management"/>
    <x v="4"/>
    <s v="Yes"/>
    <m/>
  </r>
  <r>
    <x v="337"/>
    <x v="200"/>
    <s v="Inventory Management"/>
    <x v="4"/>
    <s v="Yes"/>
    <m/>
  </r>
  <r>
    <x v="338"/>
    <x v="213"/>
    <s v="Inventory Management"/>
    <x v="4"/>
    <s v="Yes"/>
    <m/>
  </r>
  <r>
    <x v="339"/>
    <x v="133"/>
    <s v="Inventory Management"/>
    <x v="4"/>
    <s v="Yes"/>
    <m/>
  </r>
  <r>
    <x v="340"/>
    <x v="214"/>
    <s v="Inventory Management"/>
    <x v="4"/>
    <s v="Yes"/>
    <m/>
  </r>
  <r>
    <x v="341"/>
    <x v="11"/>
    <s v="Inventory Management"/>
    <x v="4"/>
    <s v="Yes"/>
    <m/>
  </r>
  <r>
    <x v="342"/>
    <x v="140"/>
    <s v="Inventory Management"/>
    <x v="4"/>
    <s v="Yes"/>
    <m/>
  </r>
  <r>
    <x v="343"/>
    <x v="215"/>
    <s v="Inventory Management"/>
    <x v="4"/>
    <s v="Yes"/>
    <m/>
  </r>
  <r>
    <x v="344"/>
    <x v="97"/>
    <s v="Inventory Management"/>
    <x v="4"/>
    <s v="Yes"/>
    <m/>
  </r>
  <r>
    <x v="345"/>
    <x v="216"/>
    <s v="Inventory Management"/>
    <x v="4"/>
    <s v="Yes"/>
    <m/>
  </r>
  <r>
    <x v="346"/>
    <x v="200"/>
    <s v="Inventory Management"/>
    <x v="4"/>
    <s v="Yes"/>
    <m/>
  </r>
  <r>
    <x v="347"/>
    <x v="0"/>
    <s v="Inventory Management"/>
    <x v="4"/>
    <s v="Yes"/>
    <m/>
  </r>
  <r>
    <x v="348"/>
    <x v="94"/>
    <s v="Inventory Management"/>
    <x v="4"/>
    <s v="Yes"/>
    <m/>
  </r>
  <r>
    <x v="349"/>
    <x v="101"/>
    <s v="Inventory Management"/>
    <x v="4"/>
    <s v="Yes"/>
    <m/>
  </r>
  <r>
    <x v="350"/>
    <x v="217"/>
    <s v="Inventory Management"/>
    <x v="4"/>
    <s v="Yes"/>
    <m/>
  </r>
  <r>
    <x v="351"/>
    <x v="218"/>
    <s v="Inventory Management"/>
    <x v="4"/>
    <s v="Yes"/>
    <m/>
  </r>
  <r>
    <x v="352"/>
    <x v="219"/>
    <s v="Inventory Management"/>
    <x v="4"/>
    <s v="Yes"/>
    <m/>
  </r>
  <r>
    <x v="353"/>
    <x v="205"/>
    <s v="Inventory Management"/>
    <x v="4"/>
    <s v="Yes"/>
    <m/>
  </r>
  <r>
    <x v="354"/>
    <x v="220"/>
    <s v="Inventory Management"/>
    <x v="4"/>
    <s v="Yes"/>
    <m/>
  </r>
  <r>
    <x v="355"/>
    <x v="190"/>
    <s v="Inventory Management"/>
    <x v="4"/>
    <s v="Yes"/>
    <m/>
  </r>
  <r>
    <x v="356"/>
    <x v="221"/>
    <s v="Inventory Management"/>
    <x v="4"/>
    <s v="Yes"/>
    <m/>
  </r>
  <r>
    <x v="357"/>
    <x v="222"/>
    <s v="Inventory Management"/>
    <x v="4"/>
    <s v="Yes"/>
    <m/>
  </r>
  <r>
    <x v="358"/>
    <x v="223"/>
    <s v="Inventory Management"/>
    <x v="4"/>
    <s v="Yes"/>
    <m/>
  </r>
  <r>
    <x v="359"/>
    <x v="224"/>
    <s v="Inventory Management"/>
    <x v="4"/>
    <s v="Yes"/>
    <m/>
  </r>
  <r>
    <x v="360"/>
    <x v="128"/>
    <s v="Inventory Management"/>
    <x v="4"/>
    <s v="Yes"/>
    <m/>
  </r>
  <r>
    <x v="361"/>
    <x v="225"/>
    <s v="Inventory Management"/>
    <x v="4"/>
    <s v="Yes"/>
    <m/>
  </r>
  <r>
    <x v="362"/>
    <x v="171"/>
    <s v="Inventory Management"/>
    <x v="4"/>
    <s v="Yes"/>
    <m/>
  </r>
  <r>
    <x v="363"/>
    <x v="173"/>
    <s v="Inventory Management"/>
    <x v="4"/>
    <s v="Yes"/>
    <m/>
  </r>
  <r>
    <x v="364"/>
    <x v="108"/>
    <s v="Inventory Management"/>
    <x v="4"/>
    <s v="Yes"/>
    <m/>
  </r>
  <r>
    <x v="365"/>
    <x v="45"/>
    <s v="Inventory Management"/>
    <x v="4"/>
    <s v="Yes"/>
    <m/>
  </r>
  <r>
    <x v="366"/>
    <x v="109"/>
    <s v="Inventory Management"/>
    <x v="4"/>
    <s v="Yes"/>
    <m/>
  </r>
  <r>
    <x v="367"/>
    <x v="46"/>
    <s v="Inventory Management"/>
    <x v="4"/>
    <s v="Yes"/>
    <m/>
  </r>
  <r>
    <x v="368"/>
    <x v="107"/>
    <s v="Inventory Management"/>
    <x v="4"/>
    <s v="Yes"/>
    <m/>
  </r>
  <r>
    <x v="369"/>
    <x v="193"/>
    <s v="Inventory Management"/>
    <x v="4"/>
    <s v="Yes"/>
    <m/>
  </r>
  <r>
    <x v="370"/>
    <x v="226"/>
    <s v="Inventory Management"/>
    <x v="4"/>
    <s v="Yes"/>
    <m/>
  </r>
  <r>
    <x v="371"/>
    <x v="156"/>
    <s v="Inventory Management"/>
    <x v="4"/>
    <s v="Yes"/>
    <m/>
  </r>
  <r>
    <x v="372"/>
    <x v="112"/>
    <s v="Inventory Management"/>
    <x v="4"/>
    <s v="Yes"/>
    <m/>
  </r>
  <r>
    <x v="373"/>
    <x v="112"/>
    <s v="Inventory Management"/>
    <x v="4"/>
    <s v="Yes"/>
    <m/>
  </r>
  <r>
    <x v="374"/>
    <x v="112"/>
    <s v="Inventory Management"/>
    <x v="4"/>
    <s v="Yes"/>
    <m/>
  </r>
  <r>
    <x v="375"/>
    <x v="114"/>
    <s v="Inventory Management"/>
    <x v="4"/>
    <s v="Yes"/>
    <m/>
  </r>
  <r>
    <x v="376"/>
    <x v="158"/>
    <s v="Inventory Management"/>
    <x v="4"/>
    <s v="Yes"/>
    <m/>
  </r>
  <r>
    <x v="377"/>
    <x v="195"/>
    <s v="Inventory Management"/>
    <x v="4"/>
    <s v="Yes"/>
    <m/>
  </r>
  <r>
    <x v="378"/>
    <x v="52"/>
    <s v="Inventory Management"/>
    <x v="4"/>
    <s v="Yes"/>
    <m/>
  </r>
  <r>
    <x v="379"/>
    <x v="52"/>
    <s v="Inventory Management"/>
    <x v="4"/>
    <s v="Yes"/>
    <m/>
  </r>
  <r>
    <x v="380"/>
    <x v="53"/>
    <s v="Inventory Management"/>
    <x v="4"/>
    <s v="Yes"/>
    <m/>
  </r>
  <r>
    <x v="381"/>
    <x v="51"/>
    <s v="Inventory Management"/>
    <x v="4"/>
    <s v="Yes"/>
    <m/>
  </r>
  <r>
    <x v="382"/>
    <x v="51"/>
    <s v="Inventory Management"/>
    <x v="4"/>
    <s v="Yes"/>
    <m/>
  </r>
  <r>
    <x v="383"/>
    <x v="51"/>
    <s v="Inventory Management"/>
    <x v="4"/>
    <s v="Yes"/>
    <m/>
  </r>
  <r>
    <x v="384"/>
    <x v="51"/>
    <s v="Inventory Management"/>
    <x v="4"/>
    <s v="Yes"/>
    <m/>
  </r>
  <r>
    <x v="385"/>
    <x v="54"/>
    <s v="Inventory Management"/>
    <x v="4"/>
    <s v="Yes"/>
    <m/>
  </r>
  <r>
    <x v="386"/>
    <x v="227"/>
    <s v="Inventory Management"/>
    <x v="4"/>
    <s v="Yes"/>
    <m/>
  </r>
  <r>
    <x v="387"/>
    <x v="227"/>
    <s v="Inventory Management"/>
    <x v="4"/>
    <s v="Yes"/>
    <m/>
  </r>
  <r>
    <x v="388"/>
    <x v="58"/>
    <s v="Inventory Management"/>
    <x v="4"/>
    <s v="Yes"/>
    <m/>
  </r>
  <r>
    <x v="389"/>
    <x v="58"/>
    <s v="Inventory Management"/>
    <x v="4"/>
    <s v="Yes"/>
    <m/>
  </r>
  <r>
    <x v="390"/>
    <x v="160"/>
    <s v="Inventory Management"/>
    <x v="4"/>
    <s v="Yes"/>
    <m/>
  </r>
  <r>
    <x v="391"/>
    <x v="58"/>
    <s v="Inventory Management"/>
    <x v="4"/>
    <s v="Yes"/>
    <m/>
  </r>
  <r>
    <x v="392"/>
    <x v="160"/>
    <s v="Inventory Management"/>
    <x v="4"/>
    <s v="Yes"/>
    <m/>
  </r>
  <r>
    <x v="393"/>
    <x v="228"/>
    <s v="Inventory Management"/>
    <x v="4"/>
    <s v="Yes"/>
    <m/>
  </r>
  <r>
    <x v="394"/>
    <x v="61"/>
    <s v="Inventory Management"/>
    <x v="4"/>
    <s v="Yes"/>
    <m/>
  </r>
  <r>
    <x v="395"/>
    <x v="63"/>
    <s v="Inventory Management"/>
    <x v="4"/>
    <s v="Yes"/>
    <m/>
  </r>
  <r>
    <x v="396"/>
    <x v="63"/>
    <s v="Inventory Management"/>
    <x v="4"/>
    <s v="Yes"/>
    <m/>
  </r>
  <r>
    <x v="397"/>
    <x v="134"/>
    <s v="Investment Management"/>
    <x v="5"/>
    <s v="Yes"/>
    <s v="Multiple time constraints: 10hours, 10seconds, 30milliseconds, 30seconds, 5hours, 5milliseconds"/>
  </r>
  <r>
    <x v="398"/>
    <x v="72"/>
    <s v="Investment Management"/>
    <x v="5"/>
    <s v="Yes"/>
    <m/>
  </r>
  <r>
    <x v="399"/>
    <x v="229"/>
    <s v="Investment Management"/>
    <x v="5"/>
    <s v="Yes"/>
    <m/>
  </r>
  <r>
    <x v="400"/>
    <x v="13"/>
    <s v="Investment Management"/>
    <x v="5"/>
    <s v="Yes"/>
    <m/>
  </r>
  <r>
    <x v="401"/>
    <x v="74"/>
    <s v="Investment Management"/>
    <x v="5"/>
    <s v="Yes"/>
    <m/>
  </r>
  <r>
    <x v="402"/>
    <x v="230"/>
    <s v="Investment Management"/>
    <x v="5"/>
    <s v="Yes"/>
    <m/>
  </r>
  <r>
    <x v="403"/>
    <x v="0"/>
    <s v="Investment Management"/>
    <x v="5"/>
    <s v="Yes"/>
    <m/>
  </r>
  <r>
    <x v="404"/>
    <x v="168"/>
    <s v="Investment Management"/>
    <x v="5"/>
    <s v="Yes"/>
    <m/>
  </r>
  <r>
    <x v="405"/>
    <x v="231"/>
    <s v="Investment Management"/>
    <x v="5"/>
    <s v="Yes"/>
    <m/>
  </r>
  <r>
    <x v="406"/>
    <x v="162"/>
    <s v="Investment Management"/>
    <x v="5"/>
    <s v="Yes"/>
    <m/>
  </r>
  <r>
    <x v="407"/>
    <x v="131"/>
    <s v="Investment Management"/>
    <x v="5"/>
    <s v="Yes"/>
    <m/>
  </r>
  <r>
    <x v="408"/>
    <x v="203"/>
    <s v="Investment Management"/>
    <x v="5"/>
    <s v="Yes"/>
    <m/>
  </r>
  <r>
    <x v="409"/>
    <x v="232"/>
    <s v="Investment Management"/>
    <x v="5"/>
    <s v="Yes"/>
    <m/>
  </r>
  <r>
    <x v="410"/>
    <x v="233"/>
    <s v="Investment Management"/>
    <x v="5"/>
    <s v="Yes"/>
    <m/>
  </r>
  <r>
    <x v="411"/>
    <x v="78"/>
    <s v="Investment Management"/>
    <x v="5"/>
    <s v="Yes"/>
    <m/>
  </r>
  <r>
    <x v="412"/>
    <x v="169"/>
    <s v="Investment Management"/>
    <x v="5"/>
    <s v="Yes"/>
    <m/>
  </r>
  <r>
    <x v="413"/>
    <x v="129"/>
    <s v="Investment Management"/>
    <x v="5"/>
    <s v="Yes"/>
    <m/>
  </r>
  <r>
    <x v="414"/>
    <x v="208"/>
    <s v="Investment Management"/>
    <x v="5"/>
    <s v="Yes"/>
    <m/>
  </r>
  <r>
    <x v="415"/>
    <x v="123"/>
    <s v="Investment Management"/>
    <x v="5"/>
    <s v="Yes"/>
    <m/>
  </r>
  <r>
    <x v="416"/>
    <x v="181"/>
    <s v="Investment Management"/>
    <x v="5"/>
    <s v="Yes"/>
    <m/>
  </r>
  <r>
    <x v="417"/>
    <x v="147"/>
    <s v="Investment Management"/>
    <x v="5"/>
    <s v="Yes"/>
    <m/>
  </r>
  <r>
    <x v="418"/>
    <x v="234"/>
    <s v="Investment Management"/>
    <x v="5"/>
    <s v="Yes"/>
    <m/>
  </r>
  <r>
    <x v="419"/>
    <x v="235"/>
    <s v="Investment Management"/>
    <x v="5"/>
    <s v="Yes"/>
    <m/>
  </r>
  <r>
    <x v="420"/>
    <x v="236"/>
    <s v="Investment Management"/>
    <x v="5"/>
    <s v="Yes"/>
    <m/>
  </r>
  <r>
    <x v="421"/>
    <x v="18"/>
    <s v="Investment Management"/>
    <x v="5"/>
    <s v="Yes"/>
    <m/>
  </r>
  <r>
    <x v="422"/>
    <x v="237"/>
    <s v="Investment Management"/>
    <x v="5"/>
    <s v="Yes"/>
    <m/>
  </r>
  <r>
    <x v="423"/>
    <x v="238"/>
    <s v="Investment Management"/>
    <x v="5"/>
    <s v="Yes"/>
    <m/>
  </r>
  <r>
    <x v="424"/>
    <x v="186"/>
    <s v="Investment Management"/>
    <x v="5"/>
    <s v="Yes"/>
    <m/>
  </r>
  <r>
    <x v="425"/>
    <x v="239"/>
    <s v="Investment Management"/>
    <x v="5"/>
    <s v="Yes"/>
    <m/>
  </r>
  <r>
    <x v="426"/>
    <x v="240"/>
    <s v="Investment Management"/>
    <x v="5"/>
    <s v="Yes"/>
    <m/>
  </r>
  <r>
    <x v="427"/>
    <x v="102"/>
    <s v="Investment Management"/>
    <x v="5"/>
    <s v="Yes"/>
    <m/>
  </r>
  <r>
    <x v="428"/>
    <x v="67"/>
    <s v="Investment Management"/>
    <x v="5"/>
    <s v="Yes"/>
    <m/>
  </r>
  <r>
    <x v="429"/>
    <x v="151"/>
    <s v="Investment Management"/>
    <x v="5"/>
    <s v="Yes"/>
    <m/>
  </r>
  <r>
    <x v="430"/>
    <x v="91"/>
    <s v="Investment Management"/>
    <x v="5"/>
    <s v="Yes"/>
    <m/>
  </r>
  <r>
    <x v="431"/>
    <x v="241"/>
    <s v="Investment Management"/>
    <x v="5"/>
    <s v="Yes"/>
    <m/>
  </r>
  <r>
    <x v="432"/>
    <x v="172"/>
    <s v="Investment Management"/>
    <x v="5"/>
    <s v="Yes"/>
    <m/>
  </r>
  <r>
    <x v="433"/>
    <x v="242"/>
    <s v="Investment Management"/>
    <x v="5"/>
    <s v="Yes"/>
    <m/>
  </r>
  <r>
    <x v="434"/>
    <x v="243"/>
    <s v="Investment Management"/>
    <x v="5"/>
    <s v="Yes"/>
    <m/>
  </r>
  <r>
    <x v="435"/>
    <x v="170"/>
    <s v="Investment Management"/>
    <x v="5"/>
    <s v="Yes"/>
    <m/>
  </r>
  <r>
    <x v="436"/>
    <x v="244"/>
    <s v="Investment Management"/>
    <x v="5"/>
    <s v="Yes"/>
    <m/>
  </r>
  <r>
    <x v="437"/>
    <x v="245"/>
    <s v="Investment Management"/>
    <x v="5"/>
    <s v="Yes"/>
    <m/>
  </r>
  <r>
    <x v="438"/>
    <x v="246"/>
    <s v="Investment Management"/>
    <x v="5"/>
    <s v="Yes"/>
    <m/>
  </r>
  <r>
    <x v="439"/>
    <x v="82"/>
    <s v="Investment Management"/>
    <x v="5"/>
    <s v="Yes"/>
    <m/>
  </r>
  <r>
    <x v="440"/>
    <x v="39"/>
    <s v="Investment Management"/>
    <x v="5"/>
    <s v="Yes"/>
    <m/>
  </r>
  <r>
    <x v="441"/>
    <x v="247"/>
    <s v="Investment Management"/>
    <x v="5"/>
    <s v="Yes"/>
    <m/>
  </r>
  <r>
    <x v="442"/>
    <x v="34"/>
    <s v="Investment Management"/>
    <x v="5"/>
    <s v="Yes"/>
    <m/>
  </r>
  <r>
    <x v="443"/>
    <x v="89"/>
    <s v="Investment Management"/>
    <x v="5"/>
    <s v="Yes"/>
    <m/>
  </r>
  <r>
    <x v="444"/>
    <x v="248"/>
    <s v="Investment Management"/>
    <x v="5"/>
    <s v="Yes"/>
    <m/>
  </r>
  <r>
    <x v="445"/>
    <x v="185"/>
    <s v="Investment Management"/>
    <x v="5"/>
    <s v="Yes"/>
    <m/>
  </r>
  <r>
    <x v="446"/>
    <x v="37"/>
    <s v="Investment Management"/>
    <x v="5"/>
    <s v="Yes"/>
    <m/>
  </r>
  <r>
    <x v="447"/>
    <x v="187"/>
    <s v="Investment Management"/>
    <x v="5"/>
    <s v="Yes"/>
    <m/>
  </r>
  <r>
    <x v="448"/>
    <x v="222"/>
    <s v="Investment Management"/>
    <x v="5"/>
    <s v="Yes"/>
    <m/>
  </r>
  <r>
    <x v="449"/>
    <x v="40"/>
    <s v="Investment Management"/>
    <x v="5"/>
    <s v="Yes"/>
    <m/>
  </r>
  <r>
    <x v="450"/>
    <x v="249"/>
    <s v="Investment Management"/>
    <x v="5"/>
    <s v="Yes"/>
    <m/>
  </r>
  <r>
    <x v="451"/>
    <x v="142"/>
    <s v="Investment Management"/>
    <x v="5"/>
    <s v="Yes"/>
    <m/>
  </r>
  <r>
    <x v="452"/>
    <x v="45"/>
    <s v="Investment Management"/>
    <x v="5"/>
    <s v="Yes"/>
    <m/>
  </r>
  <r>
    <x v="453"/>
    <x v="109"/>
    <s v="Investment Management"/>
    <x v="5"/>
    <s v="Yes"/>
    <m/>
  </r>
  <r>
    <x v="454"/>
    <x v="250"/>
    <s v="Investment Management"/>
    <x v="5"/>
    <s v="Yes"/>
    <m/>
  </r>
  <r>
    <x v="455"/>
    <x v="46"/>
    <s v="Investment Management"/>
    <x v="5"/>
    <s v="Yes"/>
    <m/>
  </r>
  <r>
    <x v="456"/>
    <x v="110"/>
    <s v="Investment Management"/>
    <x v="5"/>
    <s v="Yes"/>
    <m/>
  </r>
  <r>
    <x v="457"/>
    <x v="112"/>
    <s v="Investment Management"/>
    <x v="5"/>
    <s v="Yes"/>
    <m/>
  </r>
  <r>
    <x v="458"/>
    <x v="116"/>
    <s v="Investment Management"/>
    <x v="5"/>
    <s v="Yes"/>
    <m/>
  </r>
  <r>
    <x v="459"/>
    <x v="157"/>
    <s v="Investment Management"/>
    <x v="5"/>
    <s v="Yes"/>
    <m/>
  </r>
  <r>
    <x v="460"/>
    <x v="112"/>
    <s v="Investment Management"/>
    <x v="5"/>
    <s v="Yes"/>
    <m/>
  </r>
  <r>
    <x v="461"/>
    <x v="251"/>
    <s v="Investment Management"/>
    <x v="5"/>
    <s v="Yes"/>
    <m/>
  </r>
  <r>
    <x v="462"/>
    <x v="112"/>
    <s v="Investment Management"/>
    <x v="5"/>
    <s v="Yes"/>
    <m/>
  </r>
  <r>
    <x v="463"/>
    <x v="52"/>
    <s v="Investment Management"/>
    <x v="5"/>
    <s v="Yes"/>
    <m/>
  </r>
  <r>
    <x v="464"/>
    <x v="50"/>
    <s v="Investment Management"/>
    <x v="5"/>
    <s v="Yes"/>
    <m/>
  </r>
  <r>
    <x v="465"/>
    <x v="53"/>
    <s v="Investment Management"/>
    <x v="5"/>
    <s v="Yes"/>
    <m/>
  </r>
  <r>
    <x v="466"/>
    <x v="51"/>
    <s v="Investment Management"/>
    <x v="5"/>
    <s v="Yes"/>
    <m/>
  </r>
  <r>
    <x v="467"/>
    <x v="53"/>
    <s v="Investment Management"/>
    <x v="5"/>
    <s v="Yes"/>
    <m/>
  </r>
  <r>
    <x v="468"/>
    <x v="53"/>
    <s v="Investment Management"/>
    <x v="5"/>
    <s v="Yes"/>
    <m/>
  </r>
  <r>
    <x v="469"/>
    <x v="52"/>
    <s v="Investment Management"/>
    <x v="5"/>
    <s v="Yes"/>
    <m/>
  </r>
  <r>
    <x v="470"/>
    <x v="119"/>
    <s v="Investment Management"/>
    <x v="5"/>
    <s v="Yes"/>
    <m/>
  </r>
  <r>
    <x v="471"/>
    <x v="252"/>
    <s v="Investment Management"/>
    <x v="5"/>
    <s v="Yes"/>
    <m/>
  </r>
  <r>
    <x v="472"/>
    <x v="253"/>
    <s v="Investment Management"/>
    <x v="5"/>
    <s v="Yes"/>
    <m/>
  </r>
  <r>
    <x v="473"/>
    <x v="54"/>
    <s v="Investment Management"/>
    <x v="5"/>
    <s v="Yes"/>
    <m/>
  </r>
  <r>
    <x v="474"/>
    <x v="54"/>
    <s v="Investment Management"/>
    <x v="5"/>
    <s v="Yes"/>
    <m/>
  </r>
  <r>
    <x v="475"/>
    <x v="58"/>
    <s v="Investment Management"/>
    <x v="5"/>
    <s v="Yes"/>
    <m/>
  </r>
  <r>
    <x v="476"/>
    <x v="59"/>
    <s v="Investment Management"/>
    <x v="5"/>
    <s v="Yes"/>
    <m/>
  </r>
  <r>
    <x v="477"/>
    <x v="58"/>
    <s v="Investment Management"/>
    <x v="5"/>
    <s v="Yes"/>
    <m/>
  </r>
  <r>
    <x v="478"/>
    <x v="57"/>
    <s v="Investment Management"/>
    <x v="5"/>
    <s v="Yes"/>
    <m/>
  </r>
  <r>
    <x v="479"/>
    <x v="254"/>
    <s v="Investment Management"/>
    <x v="5"/>
    <s v="Yes"/>
    <m/>
  </r>
  <r>
    <x v="480"/>
    <x v="254"/>
    <s v="Investment Management"/>
    <x v="5"/>
    <s v="Yes"/>
    <m/>
  </r>
  <r>
    <x v="481"/>
    <x v="255"/>
    <s v="Investment Management"/>
    <x v="5"/>
    <s v="Yes"/>
    <m/>
  </r>
  <r>
    <x v="482"/>
    <x v="135"/>
    <s v="Learning Management System"/>
    <x v="6"/>
    <s v="Yes"/>
    <s v="contains both 'shall' and 'shall not''; multiple time constraints: 2hours, 2seconds, 5hours, 5milliseconds, 5seconds, 60hours"/>
  </r>
  <r>
    <x v="483"/>
    <x v="139"/>
    <s v="Learning Management System"/>
    <x v="6"/>
    <s v="Yes"/>
    <m/>
  </r>
  <r>
    <x v="484"/>
    <x v="173"/>
    <s v="Learning Management System"/>
    <x v="6"/>
    <s v="Yes"/>
    <m/>
  </r>
  <r>
    <x v="485"/>
    <x v="8"/>
    <s v="Learning Management System"/>
    <x v="6"/>
    <s v="Yes"/>
    <m/>
  </r>
  <r>
    <x v="486"/>
    <x v="30"/>
    <s v="Learning Management System"/>
    <x v="6"/>
    <s v="Yes"/>
    <m/>
  </r>
  <r>
    <x v="487"/>
    <x v="181"/>
    <s v="Learning Management System"/>
    <x v="6"/>
    <s v="Yes"/>
    <m/>
  </r>
  <r>
    <x v="488"/>
    <x v="101"/>
    <s v="Learning Management System"/>
    <x v="6"/>
    <s v="Yes"/>
    <m/>
  </r>
  <r>
    <x v="489"/>
    <x v="89"/>
    <s v="Learning Management System"/>
    <x v="6"/>
    <s v="Yes"/>
    <m/>
  </r>
  <r>
    <x v="490"/>
    <x v="256"/>
    <s v="Learning Management System"/>
    <x v="6"/>
    <s v="Yes"/>
    <m/>
  </r>
  <r>
    <x v="491"/>
    <x v="257"/>
    <s v="Learning Management System"/>
    <x v="6"/>
    <s v="Yes"/>
    <m/>
  </r>
  <r>
    <x v="492"/>
    <x v="179"/>
    <s v="Learning Management System"/>
    <x v="6"/>
    <s v="Yes"/>
    <m/>
  </r>
  <r>
    <x v="493"/>
    <x v="34"/>
    <s v="Learning Management System"/>
    <x v="6"/>
    <s v="Yes"/>
    <m/>
  </r>
  <r>
    <x v="494"/>
    <x v="141"/>
    <s v="Learning Management System"/>
    <x v="6"/>
    <s v="Yes"/>
    <m/>
  </r>
  <r>
    <x v="495"/>
    <x v="258"/>
    <s v="Learning Management System"/>
    <x v="6"/>
    <s v="Yes"/>
    <m/>
  </r>
  <r>
    <x v="496"/>
    <x v="212"/>
    <s v="Learning Management System"/>
    <x v="6"/>
    <s v="Yes"/>
    <m/>
  </r>
  <r>
    <x v="497"/>
    <x v="2"/>
    <s v="Learning Management System"/>
    <x v="6"/>
    <s v="Yes"/>
    <m/>
  </r>
  <r>
    <x v="498"/>
    <x v="100"/>
    <s v="Learning Management System"/>
    <x v="6"/>
    <s v="Yes"/>
    <m/>
  </r>
  <r>
    <x v="499"/>
    <x v="259"/>
    <s v="Learning Management System"/>
    <x v="6"/>
    <s v="Yes"/>
    <m/>
  </r>
  <r>
    <x v="500"/>
    <x v="203"/>
    <s v="Learning Management System"/>
    <x v="6"/>
    <s v="Yes"/>
    <m/>
  </r>
  <r>
    <x v="501"/>
    <x v="181"/>
    <s v="Learning Management System"/>
    <x v="6"/>
    <s v="Yes"/>
    <m/>
  </r>
  <r>
    <x v="502"/>
    <x v="99"/>
    <s v="Learning Management System"/>
    <x v="6"/>
    <s v="Yes"/>
    <m/>
  </r>
  <r>
    <x v="503"/>
    <x v="81"/>
    <s v="Learning Management System"/>
    <x v="6"/>
    <s v="Yes"/>
    <m/>
  </r>
  <r>
    <x v="504"/>
    <x v="260"/>
    <s v="Learning Management System"/>
    <x v="6"/>
    <s v="Yes"/>
    <m/>
  </r>
  <r>
    <x v="505"/>
    <x v="39"/>
    <s v="Learning Management System"/>
    <x v="6"/>
    <s v="Yes"/>
    <m/>
  </r>
  <r>
    <x v="506"/>
    <x v="261"/>
    <s v="Learning Management System"/>
    <x v="6"/>
    <s v="Yes"/>
    <m/>
  </r>
  <r>
    <x v="507"/>
    <x v="245"/>
    <s v="Learning Management System"/>
    <x v="6"/>
    <s v="Yes"/>
    <m/>
  </r>
  <r>
    <x v="508"/>
    <x v="262"/>
    <s v="Learning Management System"/>
    <x v="6"/>
    <s v="Yes"/>
    <m/>
  </r>
  <r>
    <x v="509"/>
    <x v="180"/>
    <s v="Learning Management System"/>
    <x v="6"/>
    <s v="Yes"/>
    <m/>
  </r>
  <r>
    <x v="510"/>
    <x v="263"/>
    <s v="Learning Management System"/>
    <x v="6"/>
    <s v="Yes"/>
    <m/>
  </r>
  <r>
    <x v="511"/>
    <x v="208"/>
    <s v="Learning Management System"/>
    <x v="6"/>
    <s v="Yes"/>
    <m/>
  </r>
  <r>
    <x v="512"/>
    <x v="264"/>
    <s v="Learning Management System"/>
    <x v="6"/>
    <s v="Yes"/>
    <m/>
  </r>
  <r>
    <x v="513"/>
    <x v="265"/>
    <s v="Learning Management System"/>
    <x v="6"/>
    <s v="Yes"/>
    <m/>
  </r>
  <r>
    <x v="514"/>
    <x v="266"/>
    <s v="Learning Management System"/>
    <x v="6"/>
    <s v="Yes"/>
    <m/>
  </r>
  <r>
    <x v="515"/>
    <x v="94"/>
    <s v="Learning Management System"/>
    <x v="6"/>
    <s v="Yes"/>
    <m/>
  </r>
  <r>
    <x v="516"/>
    <x v="267"/>
    <s v="Learning Management System"/>
    <x v="6"/>
    <s v="Yes"/>
    <m/>
  </r>
  <r>
    <x v="517"/>
    <x v="268"/>
    <s v="Learning Management System"/>
    <x v="6"/>
    <s v="Yes"/>
    <m/>
  </r>
  <r>
    <x v="518"/>
    <x v="15"/>
    <s v="Learning Management System"/>
    <x v="6"/>
    <s v="Yes"/>
    <m/>
  </r>
  <r>
    <x v="519"/>
    <x v="269"/>
    <s v="Learning Management System"/>
    <x v="6"/>
    <s v="Yes"/>
    <m/>
  </r>
  <r>
    <x v="520"/>
    <x v="269"/>
    <s v="Learning Management System"/>
    <x v="6"/>
    <s v="Yes"/>
    <m/>
  </r>
  <r>
    <x v="521"/>
    <x v="5"/>
    <s v="Learning Management System"/>
    <x v="6"/>
    <s v="Yes"/>
    <m/>
  </r>
  <r>
    <x v="522"/>
    <x v="243"/>
    <s v="Learning Management System"/>
    <x v="6"/>
    <s v="Yes"/>
    <m/>
  </r>
  <r>
    <x v="523"/>
    <x v="270"/>
    <s v="Learning Management System"/>
    <x v="6"/>
    <s v="Yes"/>
    <m/>
  </r>
  <r>
    <x v="524"/>
    <x v="8"/>
    <s v="Learning Management System"/>
    <x v="6"/>
    <s v="Yes"/>
    <m/>
  </r>
  <r>
    <x v="525"/>
    <x v="96"/>
    <s v="Learning Management System"/>
    <x v="6"/>
    <s v="Yes"/>
    <m/>
  </r>
  <r>
    <x v="526"/>
    <x v="15"/>
    <s v="Learning Management System"/>
    <x v="6"/>
    <s v="Yes"/>
    <m/>
  </r>
  <r>
    <x v="527"/>
    <x v="92"/>
    <s v="Learning Management System"/>
    <x v="6"/>
    <s v="Yes"/>
    <m/>
  </r>
  <r>
    <x v="528"/>
    <x v="66"/>
    <s v="Learning Management System"/>
    <x v="6"/>
    <s v="Yes"/>
    <m/>
  </r>
  <r>
    <x v="529"/>
    <x v="271"/>
    <s v="Learning Management System"/>
    <x v="6"/>
    <s v="Yes"/>
    <m/>
  </r>
  <r>
    <x v="530"/>
    <x v="272"/>
    <s v="Learning Management System"/>
    <x v="6"/>
    <s v="Yes"/>
    <m/>
  </r>
  <r>
    <x v="531"/>
    <x v="273"/>
    <s v="Learning Management System"/>
    <x v="6"/>
    <s v="Yes"/>
    <m/>
  </r>
  <r>
    <x v="532"/>
    <x v="29"/>
    <s v="Learning Management System"/>
    <x v="6"/>
    <s v="Yes"/>
    <m/>
  </r>
  <r>
    <x v="533"/>
    <x v="274"/>
    <s v="Learning Management System"/>
    <x v="6"/>
    <s v="Yes"/>
    <m/>
  </r>
  <r>
    <x v="534"/>
    <x v="192"/>
    <s v="Learning Management System"/>
    <x v="6"/>
    <s v="Yes"/>
    <m/>
  </r>
  <r>
    <x v="535"/>
    <x v="110"/>
    <s v="Learning Management System"/>
    <x v="6"/>
    <s v="Yes"/>
    <m/>
  </r>
  <r>
    <x v="536"/>
    <x v="275"/>
    <s v="Learning Management System"/>
    <x v="6"/>
    <s v="Yes"/>
    <m/>
  </r>
  <r>
    <x v="537"/>
    <x v="111"/>
    <s v="Learning Management System"/>
    <x v="6"/>
    <s v="Yes"/>
    <m/>
  </r>
  <r>
    <x v="538"/>
    <x v="155"/>
    <s v="Learning Management System"/>
    <x v="6"/>
    <s v="Yes"/>
    <m/>
  </r>
  <r>
    <x v="539"/>
    <x v="250"/>
    <s v="Learning Management System"/>
    <x v="6"/>
    <s v="Yes"/>
    <m/>
  </r>
  <r>
    <x v="540"/>
    <x v="105"/>
    <s v="Learning Management System"/>
    <x v="6"/>
    <s v="Yes"/>
    <m/>
  </r>
  <r>
    <x v="541"/>
    <x v="159"/>
    <s v="Learning Management System"/>
    <x v="6"/>
    <s v="Yes"/>
    <m/>
  </r>
  <r>
    <x v="542"/>
    <x v="159"/>
    <s v="Learning Management System"/>
    <x v="6"/>
    <s v="Yes"/>
    <m/>
  </r>
  <r>
    <x v="543"/>
    <x v="112"/>
    <s v="Learning Management System"/>
    <x v="6"/>
    <s v="Yes"/>
    <m/>
  </r>
  <r>
    <x v="544"/>
    <x v="159"/>
    <s v="Learning Management System"/>
    <x v="6"/>
    <s v="Yes"/>
    <m/>
  </r>
  <r>
    <x v="545"/>
    <x v="158"/>
    <s v="Learning Management System"/>
    <x v="6"/>
    <s v="Yes"/>
    <m/>
  </r>
  <r>
    <x v="546"/>
    <x v="115"/>
    <s v="Learning Management System"/>
    <x v="6"/>
    <s v="Yes"/>
    <m/>
  </r>
  <r>
    <x v="547"/>
    <x v="113"/>
    <s v="Learning Management System"/>
    <x v="6"/>
    <s v="Yes"/>
    <m/>
  </r>
  <r>
    <x v="548"/>
    <x v="276"/>
    <s v="Learning Management System"/>
    <x v="6"/>
    <s v="Yes"/>
    <m/>
  </r>
  <r>
    <x v="549"/>
    <x v="50"/>
    <s v="Learning Management System"/>
    <x v="6"/>
    <s v="Yes"/>
    <m/>
  </r>
  <r>
    <x v="550"/>
    <x v="52"/>
    <s v="Learning Management System"/>
    <x v="6"/>
    <s v="Yes"/>
    <m/>
  </r>
  <r>
    <x v="551"/>
    <x v="52"/>
    <s v="Learning Management System"/>
    <x v="6"/>
    <s v="Yes"/>
    <m/>
  </r>
  <r>
    <x v="552"/>
    <x v="52"/>
    <s v="Learning Management System"/>
    <x v="6"/>
    <s v="Yes"/>
    <m/>
  </r>
  <r>
    <x v="553"/>
    <x v="50"/>
    <s v="Learning Management System"/>
    <x v="6"/>
    <s v="Yes"/>
    <m/>
  </r>
  <r>
    <x v="554"/>
    <x v="252"/>
    <s v="Learning Management System"/>
    <x v="6"/>
    <s v="Yes"/>
    <m/>
  </r>
  <r>
    <x v="555"/>
    <x v="227"/>
    <s v="Learning Management System"/>
    <x v="6"/>
    <s v="Yes"/>
    <m/>
  </r>
  <r>
    <x v="556"/>
    <x v="197"/>
    <s v="Learning Management System"/>
    <x v="6"/>
    <s v="Yes"/>
    <m/>
  </r>
  <r>
    <x v="557"/>
    <x v="277"/>
    <s v="Learning Management System"/>
    <x v="6"/>
    <s v="Yes"/>
    <m/>
  </r>
  <r>
    <x v="558"/>
    <x v="58"/>
    <s v="Learning Management System"/>
    <x v="6"/>
    <s v="Yes"/>
    <m/>
  </r>
  <r>
    <x v="559"/>
    <x v="59"/>
    <s v="Learning Management System"/>
    <x v="6"/>
    <s v="Yes"/>
    <m/>
  </r>
  <r>
    <x v="560"/>
    <x v="59"/>
    <s v="Learning Management System"/>
    <x v="6"/>
    <s v="Yes"/>
    <m/>
  </r>
  <r>
    <x v="561"/>
    <x v="61"/>
    <s v="Learning Management System"/>
    <x v="6"/>
    <s v="Yes"/>
    <m/>
  </r>
  <r>
    <x v="562"/>
    <x v="228"/>
    <s v="Learning Management System"/>
    <x v="6"/>
    <s v="Yes"/>
    <m/>
  </r>
  <r>
    <x v="563"/>
    <x v="61"/>
    <s v="Learning Management System"/>
    <x v="6"/>
    <s v="Yes"/>
    <m/>
  </r>
  <r>
    <x v="564"/>
    <x v="278"/>
    <s v="Logistics Platform"/>
    <x v="7"/>
    <s v="Yes"/>
    <s v="contains both 'shall' and 'shall not'; multiple time constraints: 10seconds, 30minutes, 5seconds, 60minutes"/>
  </r>
  <r>
    <x v="565"/>
    <x v="279"/>
    <s v="Logistics Platform"/>
    <x v="7"/>
    <s v="Yes"/>
    <m/>
  </r>
  <r>
    <x v="566"/>
    <x v="256"/>
    <s v="Logistics Platform"/>
    <x v="7"/>
    <s v="Yes"/>
    <m/>
  </r>
  <r>
    <x v="567"/>
    <x v="280"/>
    <s v="Logistics Platform"/>
    <x v="7"/>
    <s v="Yes"/>
    <m/>
  </r>
  <r>
    <x v="568"/>
    <x v="121"/>
    <s v="Logistics Platform"/>
    <x v="7"/>
    <s v="Yes"/>
    <m/>
  </r>
  <r>
    <x v="569"/>
    <x v="23"/>
    <s v="Logistics Platform"/>
    <x v="7"/>
    <s v="Yes"/>
    <m/>
  </r>
  <r>
    <x v="570"/>
    <x v="64"/>
    <s v="Logistics Platform"/>
    <x v="7"/>
    <s v="Yes"/>
    <m/>
  </r>
  <r>
    <x v="571"/>
    <x v="274"/>
    <s v="Logistics Platform"/>
    <x v="7"/>
    <s v="Yes"/>
    <m/>
  </r>
  <r>
    <x v="572"/>
    <x v="281"/>
    <s v="Logistics Platform"/>
    <x v="7"/>
    <s v="Yes"/>
    <m/>
  </r>
  <r>
    <x v="573"/>
    <x v="282"/>
    <s v="Logistics Platform"/>
    <x v="7"/>
    <s v="Yes"/>
    <m/>
  </r>
  <r>
    <x v="574"/>
    <x v="283"/>
    <s v="Logistics Platform"/>
    <x v="7"/>
    <s v="Yes"/>
    <m/>
  </r>
  <r>
    <x v="575"/>
    <x v="284"/>
    <s v="Logistics Platform"/>
    <x v="7"/>
    <s v="Yes"/>
    <m/>
  </r>
  <r>
    <x v="576"/>
    <x v="141"/>
    <s v="Logistics Platform"/>
    <x v="7"/>
    <s v="Yes"/>
    <m/>
  </r>
  <r>
    <x v="577"/>
    <x v="247"/>
    <s v="Logistics Platform"/>
    <x v="7"/>
    <s v="Yes"/>
    <m/>
  </r>
  <r>
    <x v="578"/>
    <x v="172"/>
    <s v="Logistics Platform"/>
    <x v="7"/>
    <s v="Yes"/>
    <m/>
  </r>
  <r>
    <x v="579"/>
    <x v="230"/>
    <s v="Logistics Platform"/>
    <x v="7"/>
    <s v="Yes"/>
    <m/>
  </r>
  <r>
    <x v="580"/>
    <x v="97"/>
    <s v="Logistics Platform"/>
    <x v="7"/>
    <s v="Yes"/>
    <m/>
  </r>
  <r>
    <x v="581"/>
    <x v="184"/>
    <s v="Logistics Platform"/>
    <x v="7"/>
    <s v="Yes"/>
    <m/>
  </r>
  <r>
    <x v="582"/>
    <x v="23"/>
    <s v="Logistics Platform"/>
    <x v="7"/>
    <s v="Yes"/>
    <m/>
  </r>
  <r>
    <x v="583"/>
    <x v="25"/>
    <s v="Logistics Platform"/>
    <x v="7"/>
    <s v="Yes"/>
    <m/>
  </r>
  <r>
    <x v="584"/>
    <x v="285"/>
    <s v="Logistics Platform"/>
    <x v="7"/>
    <s v="Yes"/>
    <m/>
  </r>
  <r>
    <x v="585"/>
    <x v="161"/>
    <s v="Logistics Platform"/>
    <x v="7"/>
    <s v="Yes"/>
    <m/>
  </r>
  <r>
    <x v="586"/>
    <x v="174"/>
    <s v="Logistics Platform"/>
    <x v="7"/>
    <s v="Yes"/>
    <m/>
  </r>
  <r>
    <x v="587"/>
    <x v="33"/>
    <s v="Logistics Platform"/>
    <x v="7"/>
    <s v="Yes"/>
    <m/>
  </r>
  <r>
    <x v="588"/>
    <x v="286"/>
    <s v="Logistics Platform"/>
    <x v="7"/>
    <s v="Yes"/>
    <m/>
  </r>
  <r>
    <x v="589"/>
    <x v="26"/>
    <s v="Logistics Platform"/>
    <x v="7"/>
    <s v="Yes"/>
    <m/>
  </r>
  <r>
    <x v="590"/>
    <x v="15"/>
    <s v="Logistics Platform"/>
    <x v="7"/>
    <s v="Yes"/>
    <m/>
  </r>
  <r>
    <x v="591"/>
    <x v="35"/>
    <s v="Logistics Platform"/>
    <x v="7"/>
    <s v="Yes"/>
    <m/>
  </r>
  <r>
    <x v="592"/>
    <x v="287"/>
    <s v="Logistics Platform"/>
    <x v="7"/>
    <s v="Yes"/>
    <m/>
  </r>
  <r>
    <x v="593"/>
    <x v="270"/>
    <s v="Logistics Platform"/>
    <x v="7"/>
    <s v="Yes"/>
    <m/>
  </r>
  <r>
    <x v="594"/>
    <x v="81"/>
    <s v="Logistics Platform"/>
    <x v="7"/>
    <s v="Yes"/>
    <m/>
  </r>
  <r>
    <x v="595"/>
    <x v="288"/>
    <s v="Logistics Platform"/>
    <x v="7"/>
    <s v="Yes"/>
    <m/>
  </r>
  <r>
    <x v="596"/>
    <x v="289"/>
    <s v="Logistics Platform"/>
    <x v="7"/>
    <s v="Yes"/>
    <m/>
  </r>
  <r>
    <x v="597"/>
    <x v="236"/>
    <s v="Logistics Platform"/>
    <x v="7"/>
    <s v="Yes"/>
    <m/>
  </r>
  <r>
    <x v="598"/>
    <x v="237"/>
    <s v="Logistics Platform"/>
    <x v="7"/>
    <s v="Yes"/>
    <m/>
  </r>
  <r>
    <x v="599"/>
    <x v="185"/>
    <s v="Logistics Platform"/>
    <x v="7"/>
    <s v="Yes"/>
    <m/>
  </r>
  <r>
    <x v="600"/>
    <x v="248"/>
    <s v="Logistics Platform"/>
    <x v="7"/>
    <s v="Yes"/>
    <m/>
  </r>
  <r>
    <x v="601"/>
    <x v="92"/>
    <s v="Logistics Platform"/>
    <x v="7"/>
    <s v="Yes"/>
    <m/>
  </r>
  <r>
    <x v="602"/>
    <x v="290"/>
    <s v="Logistics Platform"/>
    <x v="7"/>
    <s v="Yes"/>
    <m/>
  </r>
  <r>
    <x v="603"/>
    <x v="185"/>
    <s v="Logistics Platform"/>
    <x v="7"/>
    <s v="Yes"/>
    <m/>
  </r>
  <r>
    <x v="604"/>
    <x v="123"/>
    <s v="Logistics Platform"/>
    <x v="7"/>
    <s v="Yes"/>
    <m/>
  </r>
  <r>
    <x v="605"/>
    <x v="106"/>
    <s v="Logistics Platform"/>
    <x v="7"/>
    <s v="Yes"/>
    <m/>
  </r>
  <r>
    <x v="606"/>
    <x v="46"/>
    <s v="Logistics Platform"/>
    <x v="7"/>
    <s v="Yes"/>
    <m/>
  </r>
  <r>
    <x v="607"/>
    <x v="191"/>
    <s v="Logistics Platform"/>
    <x v="7"/>
    <s v="Yes"/>
    <m/>
  </r>
  <r>
    <x v="608"/>
    <x v="116"/>
    <s v="Logistics Platform"/>
    <x v="7"/>
    <s v="Yes"/>
    <m/>
  </r>
  <r>
    <x v="609"/>
    <x v="118"/>
    <s v="Logistics Platform"/>
    <x v="7"/>
    <s v="Yes"/>
    <m/>
  </r>
  <r>
    <x v="610"/>
    <x v="196"/>
    <s v="Logistics Platform"/>
    <x v="7"/>
    <s v="Yes"/>
    <m/>
  </r>
  <r>
    <x v="611"/>
    <x v="112"/>
    <s v="Logistics Platform"/>
    <x v="7"/>
    <s v="Yes"/>
    <m/>
  </r>
  <r>
    <x v="612"/>
    <x v="52"/>
    <s v="Logistics Platform"/>
    <x v="7"/>
    <s v="Yes"/>
    <m/>
  </r>
  <r>
    <x v="613"/>
    <x v="52"/>
    <s v="Logistics Platform"/>
    <x v="7"/>
    <s v="Yes"/>
    <m/>
  </r>
  <r>
    <x v="614"/>
    <x v="53"/>
    <s v="Logistics Platform"/>
    <x v="7"/>
    <s v="Yes"/>
    <m/>
  </r>
  <r>
    <x v="615"/>
    <x v="51"/>
    <s v="Logistics Platform"/>
    <x v="7"/>
    <s v="Yes"/>
    <m/>
  </r>
  <r>
    <x v="616"/>
    <x v="52"/>
    <s v="Logistics Platform"/>
    <x v="7"/>
    <s v="Yes"/>
    <m/>
  </r>
  <r>
    <x v="617"/>
    <x v="50"/>
    <s v="Logistics Platform"/>
    <x v="7"/>
    <s v="Yes"/>
    <m/>
  </r>
  <r>
    <x v="618"/>
    <x v="56"/>
    <s v="Logistics Platform"/>
    <x v="7"/>
    <s v="Yes"/>
    <m/>
  </r>
  <r>
    <x v="619"/>
    <x v="54"/>
    <s v="Logistics Platform"/>
    <x v="7"/>
    <s v="Yes"/>
    <m/>
  </r>
  <r>
    <x v="620"/>
    <x v="56"/>
    <s v="Logistics Platform"/>
    <x v="7"/>
    <s v="Yes"/>
    <m/>
  </r>
  <r>
    <x v="621"/>
    <x v="291"/>
    <s v="Logistics Platform"/>
    <x v="7"/>
    <s v="Yes"/>
    <m/>
  </r>
  <r>
    <x v="622"/>
    <x v="54"/>
    <s v="Logistics Platform"/>
    <x v="7"/>
    <s v="Yes"/>
    <m/>
  </r>
  <r>
    <x v="623"/>
    <x v="119"/>
    <s v="Logistics Platform"/>
    <x v="7"/>
    <s v="Yes"/>
    <m/>
  </r>
  <r>
    <x v="624"/>
    <x v="59"/>
    <s v="Logistics Platform"/>
    <x v="7"/>
    <s v="Yes"/>
    <m/>
  </r>
  <r>
    <x v="625"/>
    <x v="57"/>
    <s v="Logistics Platform"/>
    <x v="7"/>
    <s v="Yes"/>
    <m/>
  </r>
  <r>
    <x v="626"/>
    <x v="57"/>
    <s v="Logistics Platform"/>
    <x v="7"/>
    <s v="Yes"/>
    <m/>
  </r>
  <r>
    <x v="627"/>
    <x v="255"/>
    <s v="Logistics Platform"/>
    <x v="7"/>
    <s v="Yes"/>
    <m/>
  </r>
  <r>
    <x v="628"/>
    <x v="0"/>
    <s v="Online Examination"/>
    <x v="8"/>
    <s v="Yes"/>
    <s v="multiple time constraints: 10seconds, 2minutes, 30hours, 30seconds, 5minutes, 60hours"/>
  </r>
  <r>
    <x v="629"/>
    <x v="130"/>
    <s v="Online Examination"/>
    <x v="8"/>
    <s v="Yes"/>
    <m/>
  </r>
  <r>
    <x v="630"/>
    <x v="217"/>
    <s v="Online Examination"/>
    <x v="8"/>
    <s v="Yes"/>
    <m/>
  </r>
  <r>
    <x v="631"/>
    <x v="292"/>
    <s v="Online Examination"/>
    <x v="8"/>
    <s v="Yes"/>
    <m/>
  </r>
  <r>
    <x v="632"/>
    <x v="264"/>
    <s v="Online Examination"/>
    <x v="8"/>
    <s v="Yes"/>
    <m/>
  </r>
  <r>
    <x v="633"/>
    <x v="75"/>
    <s v="Online Examination"/>
    <x v="8"/>
    <s v="Yes"/>
    <m/>
  </r>
  <r>
    <x v="634"/>
    <x v="178"/>
    <s v="Online Examination"/>
    <x v="8"/>
    <s v="Yes"/>
    <m/>
  </r>
  <r>
    <x v="635"/>
    <x v="293"/>
    <s v="Online Examination"/>
    <x v="8"/>
    <s v="Yes"/>
    <m/>
  </r>
  <r>
    <x v="636"/>
    <x v="294"/>
    <s v="Online Examination"/>
    <x v="8"/>
    <s v="Yes"/>
    <m/>
  </r>
  <r>
    <x v="637"/>
    <x v="125"/>
    <s v="Online Examination"/>
    <x v="8"/>
    <s v="Yes"/>
    <m/>
  </r>
  <r>
    <x v="638"/>
    <x v="188"/>
    <s v="Online Examination"/>
    <x v="8"/>
    <s v="Yes"/>
    <m/>
  </r>
  <r>
    <x v="639"/>
    <x v="126"/>
    <s v="Online Examination"/>
    <x v="8"/>
    <s v="Yes"/>
    <m/>
  </r>
  <r>
    <x v="640"/>
    <x v="224"/>
    <s v="Online Examination"/>
    <x v="8"/>
    <s v="Yes"/>
    <m/>
  </r>
  <r>
    <x v="641"/>
    <x v="283"/>
    <s v="Online Examination"/>
    <x v="8"/>
    <s v="Yes"/>
    <m/>
  </r>
  <r>
    <x v="642"/>
    <x v="260"/>
    <s v="Online Examination"/>
    <x v="8"/>
    <s v="Yes"/>
    <m/>
  </r>
  <r>
    <x v="643"/>
    <x v="204"/>
    <s v="Online Examination"/>
    <x v="8"/>
    <s v="Yes"/>
    <m/>
  </r>
  <r>
    <x v="644"/>
    <x v="88"/>
    <s v="Online Examination"/>
    <x v="8"/>
    <s v="Yes"/>
    <m/>
  </r>
  <r>
    <x v="645"/>
    <x v="220"/>
    <s v="Online Examination"/>
    <x v="8"/>
    <s v="Yes"/>
    <m/>
  </r>
  <r>
    <x v="646"/>
    <x v="295"/>
    <s v="Online Examination"/>
    <x v="8"/>
    <s v="Yes"/>
    <m/>
  </r>
  <r>
    <x v="647"/>
    <x v="78"/>
    <s v="Online Examination"/>
    <x v="8"/>
    <s v="Yes"/>
    <m/>
  </r>
  <r>
    <x v="648"/>
    <x v="74"/>
    <s v="Online Examination"/>
    <x v="8"/>
    <s v="Yes"/>
    <m/>
  </r>
  <r>
    <x v="649"/>
    <x v="121"/>
    <s v="Online Examination"/>
    <x v="8"/>
    <s v="Yes"/>
    <m/>
  </r>
  <r>
    <x v="650"/>
    <x v="296"/>
    <s v="Online Examination"/>
    <x v="8"/>
    <s v="Yes"/>
    <m/>
  </r>
  <r>
    <x v="651"/>
    <x v="270"/>
    <s v="Online Examination"/>
    <x v="8"/>
    <s v="Yes"/>
    <m/>
  </r>
  <r>
    <x v="652"/>
    <x v="140"/>
    <s v="Online Examination"/>
    <x v="8"/>
    <s v="Yes"/>
    <m/>
  </r>
  <r>
    <x v="653"/>
    <x v="102"/>
    <s v="Online Examination"/>
    <x v="8"/>
    <s v="Yes"/>
    <m/>
  </r>
  <r>
    <x v="654"/>
    <x v="297"/>
    <s v="Online Examination"/>
    <x v="8"/>
    <s v="Yes"/>
    <m/>
  </r>
  <r>
    <x v="655"/>
    <x v="298"/>
    <s v="Online Examination"/>
    <x v="8"/>
    <s v="Yes"/>
    <m/>
  </r>
  <r>
    <x v="656"/>
    <x v="299"/>
    <s v="Online Examination"/>
    <x v="8"/>
    <s v="Yes"/>
    <m/>
  </r>
  <r>
    <x v="657"/>
    <x v="300"/>
    <s v="Online Examination"/>
    <x v="8"/>
    <s v="Yes"/>
    <m/>
  </r>
  <r>
    <x v="658"/>
    <x v="236"/>
    <s v="Online Examination"/>
    <x v="8"/>
    <s v="Yes"/>
    <m/>
  </r>
  <r>
    <x v="659"/>
    <x v="66"/>
    <s v="Online Examination"/>
    <x v="8"/>
    <s v="Yes"/>
    <m/>
  </r>
  <r>
    <x v="660"/>
    <x v="301"/>
    <s v="Online Examination"/>
    <x v="8"/>
    <s v="Yes"/>
    <m/>
  </r>
  <r>
    <x v="661"/>
    <x v="278"/>
    <s v="Online Examination"/>
    <x v="8"/>
    <s v="Yes"/>
    <m/>
  </r>
  <r>
    <x v="662"/>
    <x v="270"/>
    <s v="Online Examination"/>
    <x v="8"/>
    <s v="Yes"/>
    <m/>
  </r>
  <r>
    <x v="663"/>
    <x v="5"/>
    <s v="Online Examination"/>
    <x v="8"/>
    <s v="Yes"/>
    <m/>
  </r>
  <r>
    <x v="664"/>
    <x v="76"/>
    <s v="Online Examination"/>
    <x v="8"/>
    <s v="Yes"/>
    <m/>
  </r>
  <r>
    <x v="665"/>
    <x v="302"/>
    <s v="Online Examination"/>
    <x v="8"/>
    <s v="Yes"/>
    <m/>
  </r>
  <r>
    <x v="666"/>
    <x v="152"/>
    <s v="Online Examination"/>
    <x v="8"/>
    <s v="Yes"/>
    <m/>
  </r>
  <r>
    <x v="667"/>
    <x v="199"/>
    <s v="Online Examination"/>
    <x v="8"/>
    <s v="Yes"/>
    <m/>
  </r>
  <r>
    <x v="668"/>
    <x v="303"/>
    <s v="Online Examination"/>
    <x v="8"/>
    <s v="Yes"/>
    <m/>
  </r>
  <r>
    <x v="669"/>
    <x v="166"/>
    <s v="Online Examination"/>
    <x v="8"/>
    <s v="Yes"/>
    <m/>
  </r>
  <r>
    <x v="670"/>
    <x v="15"/>
    <s v="Online Examination"/>
    <x v="8"/>
    <s v="Yes"/>
    <m/>
  </r>
  <r>
    <x v="671"/>
    <x v="189"/>
    <s v="Online Examination"/>
    <x v="8"/>
    <s v="Yes"/>
    <m/>
  </r>
  <r>
    <x v="672"/>
    <x v="135"/>
    <s v="Online Examination"/>
    <x v="8"/>
    <s v="Yes"/>
    <m/>
  </r>
  <r>
    <x v="673"/>
    <x v="267"/>
    <s v="Online Examination"/>
    <x v="8"/>
    <s v="Yes"/>
    <m/>
  </r>
  <r>
    <x v="674"/>
    <x v="134"/>
    <s v="Online Examination"/>
    <x v="8"/>
    <s v="Yes"/>
    <m/>
  </r>
  <r>
    <x v="675"/>
    <x v="39"/>
    <s v="Online Examination"/>
    <x v="8"/>
    <s v="Yes"/>
    <m/>
  </r>
  <r>
    <x v="676"/>
    <x v="304"/>
    <s v="Online Examination"/>
    <x v="8"/>
    <s v="Yes"/>
    <m/>
  </r>
  <r>
    <x v="677"/>
    <x v="305"/>
    <s v="Online Examination"/>
    <x v="8"/>
    <s v="Yes"/>
    <m/>
  </r>
  <r>
    <x v="678"/>
    <x v="122"/>
    <s v="Online Examination"/>
    <x v="8"/>
    <s v="Yes"/>
    <m/>
  </r>
  <r>
    <x v="679"/>
    <x v="82"/>
    <s v="Online Examination"/>
    <x v="8"/>
    <s v="Yes"/>
    <m/>
  </r>
  <r>
    <x v="680"/>
    <x v="246"/>
    <s v="Online Examination"/>
    <x v="8"/>
    <s v="Yes"/>
    <m/>
  </r>
  <r>
    <x v="681"/>
    <x v="193"/>
    <s v="Online Examination"/>
    <x v="8"/>
    <s v="Yes"/>
    <m/>
  </r>
  <r>
    <x v="682"/>
    <x v="306"/>
    <s v="Online Examination"/>
    <x v="8"/>
    <s v="Yes"/>
    <m/>
  </r>
  <r>
    <x v="683"/>
    <x v="306"/>
    <s v="Online Examination"/>
    <x v="8"/>
    <s v="Yes"/>
    <m/>
  </r>
  <r>
    <x v="684"/>
    <x v="46"/>
    <s v="Online Examination"/>
    <x v="8"/>
    <s v="Yes"/>
    <m/>
  </r>
  <r>
    <x v="685"/>
    <x v="306"/>
    <s v="Online Examination"/>
    <x v="8"/>
    <s v="Yes"/>
    <m/>
  </r>
  <r>
    <x v="686"/>
    <x v="47"/>
    <s v="Online Examination"/>
    <x v="8"/>
    <s v="Yes"/>
    <m/>
  </r>
  <r>
    <x v="687"/>
    <x v="156"/>
    <s v="Online Examination"/>
    <x v="8"/>
    <s v="Yes"/>
    <m/>
  </r>
  <r>
    <x v="688"/>
    <x v="112"/>
    <s v="Online Examination"/>
    <x v="8"/>
    <s v="Yes"/>
    <m/>
  </r>
  <r>
    <x v="689"/>
    <x v="112"/>
    <s v="Online Examination"/>
    <x v="8"/>
    <s v="Yes"/>
    <m/>
  </r>
  <r>
    <x v="690"/>
    <x v="251"/>
    <s v="Online Examination"/>
    <x v="8"/>
    <s v="Yes"/>
    <m/>
  </r>
  <r>
    <x v="691"/>
    <x v="112"/>
    <s v="Online Examination"/>
    <x v="8"/>
    <s v="Yes"/>
    <m/>
  </r>
  <r>
    <x v="692"/>
    <x v="52"/>
    <s v="Online Examination"/>
    <x v="8"/>
    <s v="Yes"/>
    <m/>
  </r>
  <r>
    <x v="693"/>
    <x v="52"/>
    <s v="Online Examination"/>
    <x v="8"/>
    <s v="Yes"/>
    <m/>
  </r>
  <r>
    <x v="694"/>
    <x v="53"/>
    <s v="Online Examination"/>
    <x v="8"/>
    <s v="Yes"/>
    <m/>
  </r>
  <r>
    <x v="695"/>
    <x v="53"/>
    <s v="Online Examination"/>
    <x v="8"/>
    <s v="Yes"/>
    <m/>
  </r>
  <r>
    <x v="696"/>
    <x v="51"/>
    <s v="Online Examination"/>
    <x v="8"/>
    <s v="Yes"/>
    <m/>
  </r>
  <r>
    <x v="697"/>
    <x v="52"/>
    <s v="Online Examination"/>
    <x v="8"/>
    <s v="Yes"/>
    <m/>
  </r>
  <r>
    <x v="698"/>
    <x v="50"/>
    <s v="Online Examination"/>
    <x v="8"/>
    <s v="Yes"/>
    <m/>
  </r>
  <r>
    <x v="699"/>
    <x v="54"/>
    <s v="Online Examination"/>
    <x v="8"/>
    <s v="Yes"/>
    <m/>
  </r>
  <r>
    <x v="700"/>
    <x v="56"/>
    <s v="Online Examination"/>
    <x v="8"/>
    <s v="Yes"/>
    <m/>
  </r>
  <r>
    <x v="701"/>
    <x v="307"/>
    <s v="Online Examination"/>
    <x v="8"/>
    <s v="Yes"/>
    <m/>
  </r>
  <r>
    <x v="702"/>
    <x v="277"/>
    <s v="Online Examination"/>
    <x v="8"/>
    <s v="Yes"/>
    <m/>
  </r>
  <r>
    <x v="703"/>
    <x v="54"/>
    <s v="Online Examination"/>
    <x v="8"/>
    <s v="Yes"/>
    <m/>
  </r>
  <r>
    <x v="704"/>
    <x v="308"/>
    <s v="Online Examination"/>
    <x v="8"/>
    <s v="Yes"/>
    <m/>
  </r>
  <r>
    <x v="705"/>
    <x v="309"/>
    <s v="Online Examination"/>
    <x v="8"/>
    <s v="Yes"/>
    <m/>
  </r>
  <r>
    <x v="706"/>
    <x v="59"/>
    <s v="Online Examination"/>
    <x v="8"/>
    <s v="Yes"/>
    <m/>
  </r>
  <r>
    <x v="707"/>
    <x v="58"/>
    <s v="Online Examination"/>
    <x v="8"/>
    <s v="Yes"/>
    <m/>
  </r>
  <r>
    <x v="708"/>
    <x v="60"/>
    <s v="Online Examination"/>
    <x v="8"/>
    <s v="Yes"/>
    <m/>
  </r>
  <r>
    <x v="709"/>
    <x v="11"/>
    <s v="Online Shopping Platform"/>
    <x v="9"/>
    <s v="Yes"/>
    <s v="contains both 'shall' and 'shall not'; multiple time constraints: 10milliseconds, 10minutes, 10seconds, 2seconds, 30seconds, 5hours"/>
  </r>
  <r>
    <x v="710"/>
    <x v="181"/>
    <s v="Online Shopping Platform"/>
    <x v="9"/>
    <s v="Yes"/>
    <m/>
  </r>
  <r>
    <x v="711"/>
    <x v="262"/>
    <s v="Online Shopping Platform"/>
    <x v="9"/>
    <s v="Yes"/>
    <m/>
  </r>
  <r>
    <x v="712"/>
    <x v="148"/>
    <s v="Online Shopping Platform"/>
    <x v="9"/>
    <s v="Yes"/>
    <m/>
  </r>
  <r>
    <x v="713"/>
    <x v="26"/>
    <s v="Online Shopping Platform"/>
    <x v="9"/>
    <s v="Yes"/>
    <m/>
  </r>
  <r>
    <x v="714"/>
    <x v="245"/>
    <s v="Online Shopping Platform"/>
    <x v="9"/>
    <s v="Yes"/>
    <m/>
  </r>
  <r>
    <x v="715"/>
    <x v="100"/>
    <s v="Online Shopping Platform"/>
    <x v="9"/>
    <s v="Yes"/>
    <m/>
  </r>
  <r>
    <x v="716"/>
    <x v="272"/>
    <s v="Online Shopping Platform"/>
    <x v="9"/>
    <s v="Yes"/>
    <m/>
  </r>
  <r>
    <x v="717"/>
    <x v="180"/>
    <s v="Online Shopping Platform"/>
    <x v="9"/>
    <s v="Yes"/>
    <m/>
  </r>
  <r>
    <x v="718"/>
    <x v="4"/>
    <s v="Online Shopping Platform"/>
    <x v="9"/>
    <s v="Yes"/>
    <m/>
  </r>
  <r>
    <x v="719"/>
    <x v="310"/>
    <s v="Online Shopping Platform"/>
    <x v="9"/>
    <s v="Yes"/>
    <m/>
  </r>
  <r>
    <x v="720"/>
    <x v="237"/>
    <s v="Online Shopping Platform"/>
    <x v="9"/>
    <s v="Yes"/>
    <m/>
  </r>
  <r>
    <x v="721"/>
    <x v="289"/>
    <s v="Online Shopping Platform"/>
    <x v="9"/>
    <s v="Yes"/>
    <m/>
  </r>
  <r>
    <x v="722"/>
    <x v="184"/>
    <s v="Online Shopping Platform"/>
    <x v="9"/>
    <s v="Yes"/>
    <m/>
  </r>
  <r>
    <x v="723"/>
    <x v="7"/>
    <s v="Online Shopping Platform"/>
    <x v="9"/>
    <s v="Yes"/>
    <m/>
  </r>
  <r>
    <x v="724"/>
    <x v="311"/>
    <s v="Online Shopping Platform"/>
    <x v="9"/>
    <s v="Yes"/>
    <m/>
  </r>
  <r>
    <x v="725"/>
    <x v="40"/>
    <s v="Online Shopping Platform"/>
    <x v="9"/>
    <s v="Yes"/>
    <m/>
  </r>
  <r>
    <x v="726"/>
    <x v="22"/>
    <s v="Online Shopping Platform"/>
    <x v="9"/>
    <s v="Yes"/>
    <m/>
  </r>
  <r>
    <x v="727"/>
    <x v="236"/>
    <s v="Online Shopping Platform"/>
    <x v="9"/>
    <s v="Yes"/>
    <m/>
  </r>
  <r>
    <x v="728"/>
    <x v="181"/>
    <s v="Online Shopping Platform"/>
    <x v="9"/>
    <s v="Yes"/>
    <m/>
  </r>
  <r>
    <x v="729"/>
    <x v="136"/>
    <s v="Online Shopping Platform"/>
    <x v="9"/>
    <s v="Yes"/>
    <m/>
  </r>
  <r>
    <x v="730"/>
    <x v="293"/>
    <s v="Online Shopping Platform"/>
    <x v="9"/>
    <s v="Yes"/>
    <m/>
  </r>
  <r>
    <x v="731"/>
    <x v="37"/>
    <s v="Online Shopping Platform"/>
    <x v="9"/>
    <s v="Yes"/>
    <m/>
  </r>
  <r>
    <x v="732"/>
    <x v="14"/>
    <s v="Online Shopping Platform"/>
    <x v="9"/>
    <s v="Yes"/>
    <m/>
  </r>
  <r>
    <x v="733"/>
    <x v="221"/>
    <s v="Online Shopping Platform"/>
    <x v="9"/>
    <s v="Yes"/>
    <m/>
  </r>
  <r>
    <x v="734"/>
    <x v="170"/>
    <s v="Online Shopping Platform"/>
    <x v="9"/>
    <s v="Yes"/>
    <m/>
  </r>
  <r>
    <x v="735"/>
    <x v="206"/>
    <s v="Online Shopping Platform"/>
    <x v="9"/>
    <s v="Yes"/>
    <m/>
  </r>
  <r>
    <x v="736"/>
    <x v="312"/>
    <s v="Online Shopping Platform"/>
    <x v="9"/>
    <s v="Yes"/>
    <m/>
  </r>
  <r>
    <x v="737"/>
    <x v="313"/>
    <s v="Online Shopping Platform"/>
    <x v="9"/>
    <s v="Yes"/>
    <m/>
  </r>
  <r>
    <x v="738"/>
    <x v="260"/>
    <s v="Online Shopping Platform"/>
    <x v="9"/>
    <s v="Yes"/>
    <m/>
  </r>
  <r>
    <x v="739"/>
    <x v="290"/>
    <s v="Online Shopping Platform"/>
    <x v="9"/>
    <s v="Yes"/>
    <m/>
  </r>
  <r>
    <x v="740"/>
    <x v="314"/>
    <s v="Online Shopping Platform"/>
    <x v="9"/>
    <s v="Yes"/>
    <m/>
  </r>
  <r>
    <x v="741"/>
    <x v="263"/>
    <s v="Online Shopping Platform"/>
    <x v="9"/>
    <s v="Yes"/>
    <m/>
  </r>
  <r>
    <x v="742"/>
    <x v="22"/>
    <s v="Online Shopping Platform"/>
    <x v="9"/>
    <s v="Yes"/>
    <m/>
  </r>
  <r>
    <x v="743"/>
    <x v="315"/>
    <s v="Online Shopping Platform"/>
    <x v="9"/>
    <s v="Yes"/>
    <m/>
  </r>
  <r>
    <x v="744"/>
    <x v="133"/>
    <s v="Online Shopping Platform"/>
    <x v="9"/>
    <s v="Yes"/>
    <m/>
  </r>
  <r>
    <x v="745"/>
    <x v="207"/>
    <s v="Online Shopping Platform"/>
    <x v="9"/>
    <s v="Yes"/>
    <m/>
  </r>
  <r>
    <x v="746"/>
    <x v="100"/>
    <s v="Online Shopping Platform"/>
    <x v="9"/>
    <s v="Yes"/>
    <m/>
  </r>
  <r>
    <x v="747"/>
    <x v="316"/>
    <s v="Online Shopping Platform"/>
    <x v="9"/>
    <s v="Yes"/>
    <m/>
  </r>
  <r>
    <x v="748"/>
    <x v="306"/>
    <s v="Online Shopping Platform"/>
    <x v="9"/>
    <s v="Yes"/>
    <m/>
  </r>
  <r>
    <x v="749"/>
    <x v="107"/>
    <s v="Online Shopping Platform"/>
    <x v="9"/>
    <s v="Yes"/>
    <m/>
  </r>
  <r>
    <x v="750"/>
    <x v="275"/>
    <s v="Online Shopping Platform"/>
    <x v="9"/>
    <s v="Yes"/>
    <m/>
  </r>
  <r>
    <x v="751"/>
    <x v="108"/>
    <s v="Online Shopping Platform"/>
    <x v="9"/>
    <s v="Yes"/>
    <m/>
  </r>
  <r>
    <x v="752"/>
    <x v="48"/>
    <s v="Online Shopping Platform"/>
    <x v="9"/>
    <s v="Yes"/>
    <m/>
  </r>
  <r>
    <x v="753"/>
    <x v="192"/>
    <s v="Online Shopping Platform"/>
    <x v="9"/>
    <s v="Yes"/>
    <m/>
  </r>
  <r>
    <x v="754"/>
    <x v="275"/>
    <s v="Online Shopping Platform"/>
    <x v="9"/>
    <s v="Yes"/>
    <m/>
  </r>
  <r>
    <x v="755"/>
    <x v="306"/>
    <s v="Online Shopping Platform"/>
    <x v="9"/>
    <s v="Yes"/>
    <m/>
  </r>
  <r>
    <x v="756"/>
    <x v="194"/>
    <s v="Online Shopping Platform"/>
    <x v="9"/>
    <s v="Yes"/>
    <m/>
  </r>
  <r>
    <x v="757"/>
    <x v="276"/>
    <s v="Online Shopping Platform"/>
    <x v="9"/>
    <s v="Yes"/>
    <m/>
  </r>
  <r>
    <x v="758"/>
    <x v="49"/>
    <s v="Online Shopping Platform"/>
    <x v="9"/>
    <s v="Yes"/>
    <m/>
  </r>
  <r>
    <x v="759"/>
    <x v="226"/>
    <s v="Online Shopping Platform"/>
    <x v="9"/>
    <s v="Yes"/>
    <m/>
  </r>
  <r>
    <x v="760"/>
    <x v="112"/>
    <s v="Online Shopping Platform"/>
    <x v="9"/>
    <s v="Yes"/>
    <m/>
  </r>
  <r>
    <x v="761"/>
    <x v="112"/>
    <s v="Online Shopping Platform"/>
    <x v="9"/>
    <s v="Yes"/>
    <m/>
  </r>
  <r>
    <x v="762"/>
    <x v="196"/>
    <s v="Online Shopping Platform"/>
    <x v="9"/>
    <s v="Yes"/>
    <m/>
  </r>
  <r>
    <x v="763"/>
    <x v="112"/>
    <s v="Online Shopping Platform"/>
    <x v="9"/>
    <s v="Yes"/>
    <m/>
  </r>
  <r>
    <x v="764"/>
    <x v="52"/>
    <s v="Online Shopping Platform"/>
    <x v="9"/>
    <s v="Yes"/>
    <m/>
  </r>
  <r>
    <x v="765"/>
    <x v="52"/>
    <s v="Online Shopping Platform"/>
    <x v="9"/>
    <s v="Yes"/>
    <m/>
  </r>
  <r>
    <x v="766"/>
    <x v="51"/>
    <s v="Online Shopping Platform"/>
    <x v="9"/>
    <s v="Yes"/>
    <m/>
  </r>
  <r>
    <x v="767"/>
    <x v="51"/>
    <s v="Online Shopping Platform"/>
    <x v="9"/>
    <s v="Yes"/>
    <m/>
  </r>
  <r>
    <x v="768"/>
    <x v="52"/>
    <s v="Online Shopping Platform"/>
    <x v="9"/>
    <s v="Yes"/>
    <m/>
  </r>
  <r>
    <x v="769"/>
    <x v="252"/>
    <s v="Online Shopping Platform"/>
    <x v="9"/>
    <s v="Yes"/>
    <m/>
  </r>
  <r>
    <x v="770"/>
    <x v="54"/>
    <s v="Online Shopping Platform"/>
    <x v="9"/>
    <s v="Yes"/>
    <m/>
  </r>
  <r>
    <x v="771"/>
    <x v="227"/>
    <s v="Online Shopping Platform"/>
    <x v="9"/>
    <s v="Yes"/>
    <m/>
  </r>
  <r>
    <x v="772"/>
    <x v="227"/>
    <s v="Online Shopping Platform"/>
    <x v="9"/>
    <s v="Yes"/>
    <m/>
  </r>
  <r>
    <x v="773"/>
    <x v="317"/>
    <s v="Online Shopping Platform"/>
    <x v="9"/>
    <s v="Yes"/>
    <m/>
  </r>
  <r>
    <x v="774"/>
    <x v="54"/>
    <s v="Online Shopping Platform"/>
    <x v="9"/>
    <s v="Yes"/>
    <m/>
  </r>
  <r>
    <x v="775"/>
    <x v="58"/>
    <s v="Online Shopping Platform"/>
    <x v="9"/>
    <s v="Yes"/>
    <m/>
  </r>
  <r>
    <x v="776"/>
    <x v="58"/>
    <s v="Online Shopping Platform"/>
    <x v="9"/>
    <s v="Yes"/>
    <m/>
  </r>
  <r>
    <x v="777"/>
    <x v="57"/>
    <s v="Online Shopping Platform"/>
    <x v="9"/>
    <s v="Yes"/>
    <m/>
  </r>
  <r>
    <x v="778"/>
    <x v="63"/>
    <s v="Online Shopping Platform"/>
    <x v="9"/>
    <s v="Yes"/>
    <m/>
  </r>
  <r>
    <x v="779"/>
    <x v="305"/>
    <s v="Patient Records System"/>
    <x v="10"/>
    <s v="Yes"/>
    <s v="multiple time constraints: 10milliseconds, 2hours, 30milliseconds, 30minutes, 5milliseconds, 5minutes"/>
  </r>
  <r>
    <x v="780"/>
    <x v="149"/>
    <s v="Patient Records System"/>
    <x v="10"/>
    <s v="Yes"/>
    <m/>
  </r>
  <r>
    <x v="781"/>
    <x v="283"/>
    <s v="Patient Records System"/>
    <x v="10"/>
    <s v="Yes"/>
    <m/>
  </r>
  <r>
    <x v="782"/>
    <x v="271"/>
    <s v="Patient Records System"/>
    <x v="10"/>
    <s v="Yes"/>
    <m/>
  </r>
  <r>
    <x v="783"/>
    <x v="127"/>
    <s v="Patient Records System"/>
    <x v="10"/>
    <s v="Yes"/>
    <m/>
  </r>
  <r>
    <x v="784"/>
    <x v="216"/>
    <s v="Patient Records System"/>
    <x v="10"/>
    <s v="Yes"/>
    <m/>
  </r>
  <r>
    <x v="785"/>
    <x v="318"/>
    <s v="Patient Records System"/>
    <x v="10"/>
    <s v="Yes"/>
    <m/>
  </r>
  <r>
    <x v="786"/>
    <x v="283"/>
    <s v="Patient Records System"/>
    <x v="10"/>
    <s v="Yes"/>
    <m/>
  </r>
  <r>
    <x v="787"/>
    <x v="319"/>
    <s v="Patient Records System"/>
    <x v="10"/>
    <s v="Yes"/>
    <m/>
  </r>
  <r>
    <x v="788"/>
    <x v="320"/>
    <s v="Patient Records System"/>
    <x v="10"/>
    <s v="Yes"/>
    <m/>
  </r>
  <r>
    <x v="789"/>
    <x v="98"/>
    <s v="Patient Records System"/>
    <x v="10"/>
    <s v="Yes"/>
    <m/>
  </r>
  <r>
    <x v="790"/>
    <x v="321"/>
    <s v="Patient Records System"/>
    <x v="10"/>
    <s v="Yes"/>
    <m/>
  </r>
  <r>
    <x v="791"/>
    <x v="120"/>
    <s v="Patient Records System"/>
    <x v="10"/>
    <s v="Yes"/>
    <m/>
  </r>
  <r>
    <x v="792"/>
    <x v="87"/>
    <s v="Patient Records System"/>
    <x v="10"/>
    <s v="Yes"/>
    <m/>
  </r>
  <r>
    <x v="793"/>
    <x v="319"/>
    <s v="Patient Records System"/>
    <x v="10"/>
    <s v="Yes"/>
    <m/>
  </r>
  <r>
    <x v="794"/>
    <x v="322"/>
    <s v="Patient Records System"/>
    <x v="10"/>
    <s v="Yes"/>
    <m/>
  </r>
  <r>
    <x v="795"/>
    <x v="154"/>
    <s v="Patient Records System"/>
    <x v="10"/>
    <s v="Yes"/>
    <m/>
  </r>
  <r>
    <x v="796"/>
    <x v="144"/>
    <s v="Patient Records System"/>
    <x v="10"/>
    <s v="Yes"/>
    <m/>
  </r>
  <r>
    <x v="797"/>
    <x v="263"/>
    <s v="Patient Records System"/>
    <x v="10"/>
    <s v="Yes"/>
    <m/>
  </r>
  <r>
    <x v="798"/>
    <x v="289"/>
    <s v="Patient Records System"/>
    <x v="10"/>
    <s v="Yes"/>
    <m/>
  </r>
  <r>
    <x v="799"/>
    <x v="242"/>
    <s v="Patient Records System"/>
    <x v="10"/>
    <s v="Yes"/>
    <m/>
  </r>
  <r>
    <x v="800"/>
    <x v="64"/>
    <s v="Patient Records System"/>
    <x v="10"/>
    <s v="Yes"/>
    <m/>
  </r>
  <r>
    <x v="801"/>
    <x v="166"/>
    <s v="Patient Records System"/>
    <x v="10"/>
    <s v="Yes"/>
    <m/>
  </r>
  <r>
    <x v="802"/>
    <x v="39"/>
    <s v="Patient Records System"/>
    <x v="10"/>
    <s v="Yes"/>
    <m/>
  </r>
  <r>
    <x v="803"/>
    <x v="84"/>
    <s v="Patient Records System"/>
    <x v="10"/>
    <s v="Yes"/>
    <m/>
  </r>
  <r>
    <x v="804"/>
    <x v="132"/>
    <s v="Patient Records System"/>
    <x v="10"/>
    <s v="Yes"/>
    <m/>
  </r>
  <r>
    <x v="805"/>
    <x v="11"/>
    <s v="Patient Records System"/>
    <x v="10"/>
    <s v="Yes"/>
    <m/>
  </r>
  <r>
    <x v="806"/>
    <x v="292"/>
    <s v="Patient Records System"/>
    <x v="10"/>
    <s v="Yes"/>
    <m/>
  </r>
  <r>
    <x v="807"/>
    <x v="239"/>
    <s v="Patient Records System"/>
    <x v="10"/>
    <s v="Yes"/>
    <m/>
  </r>
  <r>
    <x v="808"/>
    <x v="126"/>
    <s v="Patient Records System"/>
    <x v="10"/>
    <s v="Yes"/>
    <m/>
  </r>
  <r>
    <x v="809"/>
    <x v="323"/>
    <s v="Patient Records System"/>
    <x v="10"/>
    <s v="Yes"/>
    <m/>
  </r>
  <r>
    <x v="810"/>
    <x v="280"/>
    <s v="Patient Records System"/>
    <x v="10"/>
    <s v="Yes"/>
    <m/>
  </r>
  <r>
    <x v="811"/>
    <x v="183"/>
    <s v="Patient Records System"/>
    <x v="10"/>
    <s v="Yes"/>
    <m/>
  </r>
  <r>
    <x v="812"/>
    <x v="131"/>
    <s v="Patient Records System"/>
    <x v="10"/>
    <s v="Yes"/>
    <m/>
  </r>
  <r>
    <x v="813"/>
    <x v="324"/>
    <s v="Patient Records System"/>
    <x v="10"/>
    <s v="Yes"/>
    <m/>
  </r>
  <r>
    <x v="814"/>
    <x v="2"/>
    <s v="Patient Records System"/>
    <x v="10"/>
    <s v="Yes"/>
    <m/>
  </r>
  <r>
    <x v="815"/>
    <x v="222"/>
    <s v="Patient Records System"/>
    <x v="10"/>
    <s v="Yes"/>
    <m/>
  </r>
  <r>
    <x v="816"/>
    <x v="204"/>
    <s v="Patient Records System"/>
    <x v="10"/>
    <s v="Yes"/>
    <m/>
  </r>
  <r>
    <x v="817"/>
    <x v="235"/>
    <s v="Patient Records System"/>
    <x v="10"/>
    <s v="Yes"/>
    <m/>
  </r>
  <r>
    <x v="818"/>
    <x v="325"/>
    <s v="Patient Records System"/>
    <x v="10"/>
    <s v="Yes"/>
    <m/>
  </r>
  <r>
    <x v="819"/>
    <x v="93"/>
    <s v="Patient Records System"/>
    <x v="10"/>
    <s v="Yes"/>
    <m/>
  </r>
  <r>
    <x v="820"/>
    <x v="131"/>
    <s v="Patient Records System"/>
    <x v="10"/>
    <s v="Yes"/>
    <m/>
  </r>
  <r>
    <x v="821"/>
    <x v="249"/>
    <s v="Patient Records System"/>
    <x v="10"/>
    <s v="Yes"/>
    <m/>
  </r>
  <r>
    <x v="822"/>
    <x v="213"/>
    <s v="Patient Records System"/>
    <x v="10"/>
    <s v="Yes"/>
    <m/>
  </r>
  <r>
    <x v="823"/>
    <x v="206"/>
    <s v="Patient Records System"/>
    <x v="10"/>
    <s v="Yes"/>
    <m/>
  </r>
  <r>
    <x v="824"/>
    <x v="154"/>
    <s v="Patient Records System"/>
    <x v="10"/>
    <s v="Yes"/>
    <m/>
  </r>
  <r>
    <x v="825"/>
    <x v="109"/>
    <s v="Patient Records System"/>
    <x v="10"/>
    <s v="Yes"/>
    <m/>
  </r>
  <r>
    <x v="826"/>
    <x v="326"/>
    <s v="Patient Records System"/>
    <x v="10"/>
    <s v="Yes"/>
    <m/>
  </r>
  <r>
    <x v="827"/>
    <x v="193"/>
    <s v="Patient Records System"/>
    <x v="10"/>
    <s v="Yes"/>
    <m/>
  </r>
  <r>
    <x v="828"/>
    <x v="110"/>
    <s v="Patient Records System"/>
    <x v="10"/>
    <s v="Yes"/>
    <m/>
  </r>
  <r>
    <x v="829"/>
    <x v="192"/>
    <s v="Patient Records System"/>
    <x v="10"/>
    <s v="Yes"/>
    <m/>
  </r>
  <r>
    <x v="830"/>
    <x v="192"/>
    <s v="Patient Records System"/>
    <x v="10"/>
    <s v="Yes"/>
    <m/>
  </r>
  <r>
    <x v="831"/>
    <x v="326"/>
    <s v="Patient Records System"/>
    <x v="10"/>
    <s v="Yes"/>
    <m/>
  </r>
  <r>
    <x v="832"/>
    <x v="47"/>
    <s v="Patient Records System"/>
    <x v="10"/>
    <s v="Yes"/>
    <m/>
  </r>
  <r>
    <x v="833"/>
    <x v="48"/>
    <s v="Patient Records System"/>
    <x v="10"/>
    <s v="Yes"/>
    <m/>
  </r>
  <r>
    <x v="834"/>
    <x v="158"/>
    <s v="Patient Records System"/>
    <x v="10"/>
    <s v="Yes"/>
    <m/>
  </r>
  <r>
    <x v="835"/>
    <x v="194"/>
    <s v="Patient Records System"/>
    <x v="10"/>
    <s v="Yes"/>
    <m/>
  </r>
  <r>
    <x v="836"/>
    <x v="118"/>
    <s v="Patient Records System"/>
    <x v="10"/>
    <s v="Yes"/>
    <m/>
  </r>
  <r>
    <x v="837"/>
    <x v="158"/>
    <s v="Patient Records System"/>
    <x v="10"/>
    <s v="Yes"/>
    <m/>
  </r>
  <r>
    <x v="838"/>
    <x v="51"/>
    <s v="Patient Records System"/>
    <x v="10"/>
    <s v="Yes"/>
    <m/>
  </r>
  <r>
    <x v="839"/>
    <x v="50"/>
    <s v="Patient Records System"/>
    <x v="10"/>
    <s v="Yes"/>
    <m/>
  </r>
  <r>
    <x v="840"/>
    <x v="51"/>
    <s v="Patient Records System"/>
    <x v="10"/>
    <s v="Yes"/>
    <m/>
  </r>
  <r>
    <x v="841"/>
    <x v="291"/>
    <s v="Patient Records System"/>
    <x v="10"/>
    <s v="Yes"/>
    <m/>
  </r>
  <r>
    <x v="842"/>
    <x v="197"/>
    <s v="Patient Records System"/>
    <x v="10"/>
    <s v="Yes"/>
    <m/>
  </r>
  <r>
    <x v="843"/>
    <x v="55"/>
    <s v="Patient Records System"/>
    <x v="10"/>
    <s v="Yes"/>
    <m/>
  </r>
  <r>
    <x v="844"/>
    <x v="307"/>
    <s v="Patient Records System"/>
    <x v="10"/>
    <s v="Yes"/>
    <m/>
  </r>
  <r>
    <x v="845"/>
    <x v="227"/>
    <s v="Patient Records System"/>
    <x v="10"/>
    <s v="Yes"/>
    <m/>
  </r>
  <r>
    <x v="846"/>
    <x v="160"/>
    <s v="Patient Records System"/>
    <x v="10"/>
    <s v="Yes"/>
    <m/>
  </r>
  <r>
    <x v="847"/>
    <x v="60"/>
    <s v="Patient Records System"/>
    <x v="10"/>
    <s v="Yes"/>
    <m/>
  </r>
  <r>
    <x v="848"/>
    <x v="255"/>
    <s v="Patient Records System"/>
    <x v="10"/>
    <s v="Yes"/>
    <m/>
  </r>
  <r>
    <x v="849"/>
    <x v="255"/>
    <s v="Patient Records System"/>
    <x v="10"/>
    <s v="Yes"/>
    <m/>
  </r>
  <r>
    <x v="850"/>
    <x v="327"/>
    <s v="Payment Gateway"/>
    <x v="11"/>
    <s v="Yes"/>
    <s v="multiple time constraints: 10milliseconds, 2minutes, 30milliseconds, 5milliseconds, 60seconds"/>
  </r>
  <r>
    <x v="851"/>
    <x v="145"/>
    <s v="Payment Gateway"/>
    <x v="11"/>
    <s v="Yes"/>
    <m/>
  </r>
  <r>
    <x v="852"/>
    <x v="173"/>
    <s v="Payment Gateway"/>
    <x v="11"/>
    <s v="Yes"/>
    <m/>
  </r>
  <r>
    <x v="853"/>
    <x v="72"/>
    <s v="Payment Gateway"/>
    <x v="11"/>
    <s v="Yes"/>
    <m/>
  </r>
  <r>
    <x v="854"/>
    <x v="328"/>
    <s v="Payment Gateway"/>
    <x v="11"/>
    <s v="Yes"/>
    <m/>
  </r>
  <r>
    <x v="855"/>
    <x v="96"/>
    <s v="Payment Gateway"/>
    <x v="11"/>
    <s v="Yes"/>
    <m/>
  </r>
  <r>
    <x v="856"/>
    <x v="303"/>
    <s v="Payment Gateway"/>
    <x v="11"/>
    <s v="Yes"/>
    <m/>
  </r>
  <r>
    <x v="857"/>
    <x v="188"/>
    <s v="Payment Gateway"/>
    <x v="11"/>
    <s v="Yes"/>
    <m/>
  </r>
  <r>
    <x v="858"/>
    <x v="18"/>
    <s v="Payment Gateway"/>
    <x v="11"/>
    <s v="Yes"/>
    <m/>
  </r>
  <r>
    <x v="859"/>
    <x v="37"/>
    <s v="Payment Gateway"/>
    <x v="11"/>
    <s v="Yes"/>
    <m/>
  </r>
  <r>
    <x v="860"/>
    <x v="257"/>
    <s v="Payment Gateway"/>
    <x v="11"/>
    <s v="Yes"/>
    <m/>
  </r>
  <r>
    <x v="861"/>
    <x v="323"/>
    <s v="Payment Gateway"/>
    <x v="11"/>
    <s v="Yes"/>
    <m/>
  </r>
  <r>
    <x v="862"/>
    <x v="271"/>
    <s v="Payment Gateway"/>
    <x v="11"/>
    <s v="Yes"/>
    <m/>
  </r>
  <r>
    <x v="863"/>
    <x v="302"/>
    <s v="Payment Gateway"/>
    <x v="11"/>
    <s v="Yes"/>
    <m/>
  </r>
  <r>
    <x v="864"/>
    <x v="173"/>
    <s v="Payment Gateway"/>
    <x v="11"/>
    <s v="Yes"/>
    <m/>
  </r>
  <r>
    <x v="865"/>
    <x v="279"/>
    <s v="Payment Gateway"/>
    <x v="11"/>
    <s v="Yes"/>
    <m/>
  </r>
  <r>
    <x v="866"/>
    <x v="43"/>
    <s v="Payment Gateway"/>
    <x v="11"/>
    <s v="Yes"/>
    <m/>
  </r>
  <r>
    <x v="867"/>
    <x v="329"/>
    <s v="Payment Gateway"/>
    <x v="11"/>
    <s v="Yes"/>
    <m/>
  </r>
  <r>
    <x v="868"/>
    <x v="213"/>
    <s v="Payment Gateway"/>
    <x v="11"/>
    <s v="Yes"/>
    <m/>
  </r>
  <r>
    <x v="869"/>
    <x v="189"/>
    <s v="Payment Gateway"/>
    <x v="11"/>
    <s v="Yes"/>
    <m/>
  </r>
  <r>
    <x v="870"/>
    <x v="189"/>
    <s v="Payment Gateway"/>
    <x v="11"/>
    <s v="Yes"/>
    <m/>
  </r>
  <r>
    <x v="871"/>
    <x v="330"/>
    <s v="Payment Gateway"/>
    <x v="11"/>
    <s v="Yes"/>
    <m/>
  </r>
  <r>
    <x v="872"/>
    <x v="328"/>
    <s v="Payment Gateway"/>
    <x v="11"/>
    <s v="Yes"/>
    <m/>
  </r>
  <r>
    <x v="873"/>
    <x v="331"/>
    <s v="Payment Gateway"/>
    <x v="11"/>
    <s v="Yes"/>
    <m/>
  </r>
  <r>
    <x v="874"/>
    <x v="120"/>
    <s v="Payment Gateway"/>
    <x v="11"/>
    <s v="Yes"/>
    <m/>
  </r>
  <r>
    <x v="875"/>
    <x v="295"/>
    <s v="Payment Gateway"/>
    <x v="11"/>
    <s v="Yes"/>
    <m/>
  </r>
  <r>
    <x v="876"/>
    <x v="332"/>
    <s v="Payment Gateway"/>
    <x v="11"/>
    <s v="Yes"/>
    <m/>
  </r>
  <r>
    <x v="877"/>
    <x v="149"/>
    <s v="Payment Gateway"/>
    <x v="11"/>
    <s v="Yes"/>
    <m/>
  </r>
  <r>
    <x v="878"/>
    <x v="139"/>
    <s v="Payment Gateway"/>
    <x v="11"/>
    <s v="Yes"/>
    <m/>
  </r>
  <r>
    <x v="879"/>
    <x v="315"/>
    <s v="Payment Gateway"/>
    <x v="11"/>
    <s v="Yes"/>
    <m/>
  </r>
  <r>
    <x v="880"/>
    <x v="202"/>
    <s v="Payment Gateway"/>
    <x v="11"/>
    <s v="Yes"/>
    <m/>
  </r>
  <r>
    <x v="881"/>
    <x v="265"/>
    <s v="Payment Gateway"/>
    <x v="11"/>
    <s v="Yes"/>
    <m/>
  </r>
  <r>
    <x v="882"/>
    <x v="151"/>
    <s v="Payment Gateway"/>
    <x v="11"/>
    <s v="Yes"/>
    <m/>
  </r>
  <r>
    <x v="883"/>
    <x v="40"/>
    <s v="Payment Gateway"/>
    <x v="11"/>
    <s v="Yes"/>
    <m/>
  </r>
  <r>
    <x v="884"/>
    <x v="333"/>
    <s v="Payment Gateway"/>
    <x v="11"/>
    <s v="Yes"/>
    <m/>
  </r>
  <r>
    <x v="885"/>
    <x v="74"/>
    <s v="Payment Gateway"/>
    <x v="11"/>
    <s v="Yes"/>
    <m/>
  </r>
  <r>
    <x v="886"/>
    <x v="319"/>
    <s v="Payment Gateway"/>
    <x v="11"/>
    <s v="Yes"/>
    <m/>
  </r>
  <r>
    <x v="887"/>
    <x v="329"/>
    <s v="Payment Gateway"/>
    <x v="11"/>
    <s v="Yes"/>
    <m/>
  </r>
  <r>
    <x v="888"/>
    <x v="209"/>
    <s v="Payment Gateway"/>
    <x v="11"/>
    <s v="Yes"/>
    <m/>
  </r>
  <r>
    <x v="889"/>
    <x v="271"/>
    <s v="Payment Gateway"/>
    <x v="11"/>
    <s v="Yes"/>
    <m/>
  </r>
  <r>
    <x v="890"/>
    <x v="181"/>
    <s v="Payment Gateway"/>
    <x v="11"/>
    <s v="Yes"/>
    <m/>
  </r>
  <r>
    <x v="891"/>
    <x v="165"/>
    <s v="Payment Gateway"/>
    <x v="11"/>
    <s v="Yes"/>
    <m/>
  </r>
  <r>
    <x v="892"/>
    <x v="334"/>
    <s v="Payment Gateway"/>
    <x v="11"/>
    <s v="Yes"/>
    <m/>
  </r>
  <r>
    <x v="893"/>
    <x v="122"/>
    <s v="Payment Gateway"/>
    <x v="11"/>
    <s v="Yes"/>
    <m/>
  </r>
  <r>
    <x v="894"/>
    <x v="319"/>
    <s v="Payment Gateway"/>
    <x v="11"/>
    <s v="Yes"/>
    <m/>
  </r>
  <r>
    <x v="895"/>
    <x v="335"/>
    <s v="Payment Gateway"/>
    <x v="11"/>
    <s v="Yes"/>
    <m/>
  </r>
  <r>
    <x v="896"/>
    <x v="246"/>
    <s v="Payment Gateway"/>
    <x v="11"/>
    <s v="Yes"/>
    <m/>
  </r>
  <r>
    <x v="897"/>
    <x v="110"/>
    <s v="Payment Gateway"/>
    <x v="11"/>
    <s v="Yes"/>
    <m/>
  </r>
  <r>
    <x v="898"/>
    <x v="193"/>
    <s v="Payment Gateway"/>
    <x v="11"/>
    <s v="Yes"/>
    <m/>
  </r>
  <r>
    <x v="899"/>
    <x v="109"/>
    <s v="Payment Gateway"/>
    <x v="11"/>
    <s v="Yes"/>
    <m/>
  </r>
  <r>
    <x v="900"/>
    <x v="111"/>
    <s v="Payment Gateway"/>
    <x v="11"/>
    <s v="Yes"/>
    <m/>
  </r>
  <r>
    <x v="901"/>
    <x v="48"/>
    <s v="Payment Gateway"/>
    <x v="11"/>
    <s v="Yes"/>
    <m/>
  </r>
  <r>
    <x v="902"/>
    <x v="116"/>
    <s v="Payment Gateway"/>
    <x v="11"/>
    <s v="Yes"/>
    <m/>
  </r>
  <r>
    <x v="903"/>
    <x v="157"/>
    <s v="Payment Gateway"/>
    <x v="11"/>
    <s v="Yes"/>
    <m/>
  </r>
  <r>
    <x v="904"/>
    <x v="116"/>
    <s v="Payment Gateway"/>
    <x v="11"/>
    <s v="Yes"/>
    <m/>
  </r>
  <r>
    <x v="905"/>
    <x v="52"/>
    <s v="Payment Gateway"/>
    <x v="11"/>
    <s v="Yes"/>
    <m/>
  </r>
  <r>
    <x v="906"/>
    <x v="51"/>
    <s v="Payment Gateway"/>
    <x v="11"/>
    <s v="Yes"/>
    <m/>
  </r>
  <r>
    <x v="907"/>
    <x v="50"/>
    <s v="Payment Gateway"/>
    <x v="11"/>
    <s v="Yes"/>
    <m/>
  </r>
  <r>
    <x v="908"/>
    <x v="51"/>
    <s v="Payment Gateway"/>
    <x v="11"/>
    <s v="Yes"/>
    <m/>
  </r>
  <r>
    <x v="909"/>
    <x v="52"/>
    <s v="Payment Gateway"/>
    <x v="11"/>
    <s v="Yes"/>
    <m/>
  </r>
  <r>
    <x v="910"/>
    <x v="52"/>
    <s v="Payment Gateway"/>
    <x v="11"/>
    <s v="Yes"/>
    <m/>
  </r>
  <r>
    <x v="911"/>
    <x v="308"/>
    <s v="Payment Gateway"/>
    <x v="11"/>
    <s v="Yes"/>
    <m/>
  </r>
  <r>
    <x v="912"/>
    <x v="55"/>
    <s v="Payment Gateway"/>
    <x v="11"/>
    <s v="Yes"/>
    <m/>
  </r>
  <r>
    <x v="913"/>
    <x v="54"/>
    <s v="Payment Gateway"/>
    <x v="11"/>
    <s v="Yes"/>
    <m/>
  </r>
  <r>
    <x v="914"/>
    <x v="54"/>
    <s v="Payment Gateway"/>
    <x v="11"/>
    <s v="Yes"/>
    <m/>
  </r>
  <r>
    <x v="915"/>
    <x v="54"/>
    <s v="Payment Gateway"/>
    <x v="11"/>
    <s v="Yes"/>
    <m/>
  </r>
  <r>
    <x v="916"/>
    <x v="160"/>
    <s v="Payment Gateway"/>
    <x v="11"/>
    <s v="Yes"/>
    <m/>
  </r>
  <r>
    <x v="917"/>
    <x v="59"/>
    <s v="Payment Gateway"/>
    <x v="11"/>
    <s v="Yes"/>
    <m/>
  </r>
  <r>
    <x v="918"/>
    <x v="58"/>
    <s v="Payment Gateway"/>
    <x v="11"/>
    <s v="Yes"/>
    <m/>
  </r>
  <r>
    <x v="919"/>
    <x v="254"/>
    <s v="Payment Gateway"/>
    <x v="11"/>
    <s v="Yes"/>
    <m/>
  </r>
  <r>
    <x v="920"/>
    <x v="60"/>
    <s v="Payment Gateway"/>
    <x v="11"/>
    <s v="Yes"/>
    <m/>
  </r>
  <r>
    <x v="921"/>
    <x v="122"/>
    <s v="Student Information System"/>
    <x v="12"/>
    <s v="Yes"/>
    <s v="contains both 'shall' and 'shall not';  multiple time constraints: 10seconds, 2hours, 2seconds, 30minutes, 30seconds, 5hours"/>
  </r>
  <r>
    <x v="922"/>
    <x v="190"/>
    <s v="Student Information System"/>
    <x v="12"/>
    <s v="Yes"/>
    <m/>
  </r>
  <r>
    <x v="923"/>
    <x v="28"/>
    <s v="Student Information System"/>
    <x v="12"/>
    <s v="Yes"/>
    <m/>
  </r>
  <r>
    <x v="924"/>
    <x v="88"/>
    <s v="Student Information System"/>
    <x v="12"/>
    <s v="Yes"/>
    <m/>
  </r>
  <r>
    <x v="925"/>
    <x v="22"/>
    <s v="Student Information System"/>
    <x v="12"/>
    <s v="Yes"/>
    <m/>
  </r>
  <r>
    <x v="926"/>
    <x v="284"/>
    <s v="Student Information System"/>
    <x v="12"/>
    <s v="Yes"/>
    <m/>
  </r>
  <r>
    <x v="927"/>
    <x v="269"/>
    <s v="Student Information System"/>
    <x v="12"/>
    <s v="Yes"/>
    <m/>
  </r>
  <r>
    <x v="928"/>
    <x v="221"/>
    <s v="Student Information System"/>
    <x v="12"/>
    <s v="Yes"/>
    <m/>
  </r>
  <r>
    <x v="929"/>
    <x v="260"/>
    <s v="Student Information System"/>
    <x v="12"/>
    <s v="Yes"/>
    <m/>
  </r>
  <r>
    <x v="930"/>
    <x v="336"/>
    <s v="Student Information System"/>
    <x v="12"/>
    <s v="Yes"/>
    <m/>
  </r>
  <r>
    <x v="931"/>
    <x v="337"/>
    <s v="Student Information System"/>
    <x v="12"/>
    <s v="Yes"/>
    <m/>
  </r>
  <r>
    <x v="932"/>
    <x v="78"/>
    <s v="Student Information System"/>
    <x v="12"/>
    <s v="Yes"/>
    <m/>
  </r>
  <r>
    <x v="933"/>
    <x v="284"/>
    <s v="Student Information System"/>
    <x v="12"/>
    <s v="Yes"/>
    <m/>
  </r>
  <r>
    <x v="934"/>
    <x v="25"/>
    <s v="Student Information System"/>
    <x v="12"/>
    <s v="Yes"/>
    <m/>
  </r>
  <r>
    <x v="935"/>
    <x v="34"/>
    <s v="Student Information System"/>
    <x v="12"/>
    <s v="Yes"/>
    <m/>
  </r>
  <r>
    <x v="936"/>
    <x v="97"/>
    <s v="Student Information System"/>
    <x v="12"/>
    <s v="Yes"/>
    <m/>
  </r>
  <r>
    <x v="937"/>
    <x v="101"/>
    <s v="Student Information System"/>
    <x v="12"/>
    <s v="Yes"/>
    <m/>
  </r>
  <r>
    <x v="938"/>
    <x v="331"/>
    <s v="Student Information System"/>
    <x v="12"/>
    <s v="Yes"/>
    <m/>
  </r>
  <r>
    <x v="939"/>
    <x v="236"/>
    <s v="Student Information System"/>
    <x v="12"/>
    <s v="Yes"/>
    <m/>
  </r>
  <r>
    <x v="940"/>
    <x v="296"/>
    <s v="Student Information System"/>
    <x v="12"/>
    <s v="Yes"/>
    <m/>
  </r>
  <r>
    <x v="941"/>
    <x v="260"/>
    <s v="Student Information System"/>
    <x v="12"/>
    <s v="Yes"/>
    <m/>
  </r>
  <r>
    <x v="942"/>
    <x v="181"/>
    <s v="Student Information System"/>
    <x v="12"/>
    <s v="Yes"/>
    <m/>
  </r>
  <r>
    <x v="943"/>
    <x v="12"/>
    <s v="Student Information System"/>
    <x v="12"/>
    <s v="Yes"/>
    <m/>
  </r>
  <r>
    <x v="944"/>
    <x v="219"/>
    <s v="Student Information System"/>
    <x v="12"/>
    <s v="Yes"/>
    <m/>
  </r>
  <r>
    <x v="945"/>
    <x v="135"/>
    <s v="Student Information System"/>
    <x v="12"/>
    <s v="Yes"/>
    <m/>
  </r>
  <r>
    <x v="946"/>
    <x v="8"/>
    <s v="Student Information System"/>
    <x v="12"/>
    <s v="Yes"/>
    <m/>
  </r>
  <r>
    <x v="947"/>
    <x v="225"/>
    <s v="Student Information System"/>
    <x v="12"/>
    <s v="Yes"/>
    <m/>
  </r>
  <r>
    <x v="948"/>
    <x v="28"/>
    <s v="Student Information System"/>
    <x v="12"/>
    <s v="Yes"/>
    <m/>
  </r>
  <r>
    <x v="949"/>
    <x v="240"/>
    <s v="Student Information System"/>
    <x v="12"/>
    <s v="Yes"/>
    <m/>
  </r>
  <r>
    <x v="950"/>
    <x v="338"/>
    <s v="Student Information System"/>
    <x v="12"/>
    <s v="Yes"/>
    <m/>
  </r>
  <r>
    <x v="951"/>
    <x v="339"/>
    <s v="Student Information System"/>
    <x v="12"/>
    <s v="Yes"/>
    <m/>
  </r>
  <r>
    <x v="952"/>
    <x v="178"/>
    <s v="Student Information System"/>
    <x v="12"/>
    <s v="Yes"/>
    <m/>
  </r>
  <r>
    <x v="953"/>
    <x v="126"/>
    <s v="Student Information System"/>
    <x v="12"/>
    <s v="Yes"/>
    <m/>
  </r>
  <r>
    <x v="954"/>
    <x v="162"/>
    <s v="Student Information System"/>
    <x v="12"/>
    <s v="Yes"/>
    <m/>
  </r>
  <r>
    <x v="955"/>
    <x v="340"/>
    <s v="Student Information System"/>
    <x v="12"/>
    <s v="Yes"/>
    <m/>
  </r>
  <r>
    <x v="956"/>
    <x v="341"/>
    <s v="Student Information System"/>
    <x v="12"/>
    <s v="Yes"/>
    <m/>
  </r>
  <r>
    <x v="957"/>
    <x v="12"/>
    <s v="Student Information System"/>
    <x v="12"/>
    <s v="Yes"/>
    <m/>
  </r>
  <r>
    <x v="958"/>
    <x v="185"/>
    <s v="Student Information System"/>
    <x v="12"/>
    <s v="Yes"/>
    <m/>
  </r>
  <r>
    <x v="959"/>
    <x v="266"/>
    <s v="Student Information System"/>
    <x v="12"/>
    <s v="Yes"/>
    <m/>
  </r>
  <r>
    <x v="960"/>
    <x v="261"/>
    <s v="Student Information System"/>
    <x v="12"/>
    <s v="Yes"/>
    <m/>
  </r>
  <r>
    <x v="961"/>
    <x v="342"/>
    <s v="Student Information System"/>
    <x v="12"/>
    <s v="Yes"/>
    <m/>
  </r>
  <r>
    <x v="962"/>
    <x v="107"/>
    <s v="Student Information System"/>
    <x v="12"/>
    <s v="Yes"/>
    <m/>
  </r>
  <r>
    <x v="963"/>
    <x v="45"/>
    <s v="Student Information System"/>
    <x v="12"/>
    <s v="Yes"/>
    <m/>
  </r>
  <r>
    <x v="964"/>
    <x v="45"/>
    <s v="Student Information System"/>
    <x v="12"/>
    <s v="Yes"/>
    <m/>
  </r>
  <r>
    <x v="965"/>
    <x v="275"/>
    <s v="Student Information System"/>
    <x v="12"/>
    <s v="Yes"/>
    <m/>
  </r>
  <r>
    <x v="966"/>
    <x v="191"/>
    <s v="Student Information System"/>
    <x v="12"/>
    <s v="Yes"/>
    <m/>
  </r>
  <r>
    <x v="967"/>
    <x v="111"/>
    <s v="Student Information System"/>
    <x v="12"/>
    <s v="Yes"/>
    <m/>
  </r>
  <r>
    <x v="968"/>
    <x v="193"/>
    <s v="Student Information System"/>
    <x v="12"/>
    <s v="Yes"/>
    <m/>
  </r>
  <r>
    <x v="969"/>
    <x v="155"/>
    <s v="Student Information System"/>
    <x v="12"/>
    <s v="Yes"/>
    <m/>
  </r>
  <r>
    <x v="970"/>
    <x v="191"/>
    <s v="Student Information System"/>
    <x v="12"/>
    <s v="Yes"/>
    <m/>
  </r>
  <r>
    <x v="971"/>
    <x v="106"/>
    <s v="Student Information System"/>
    <x v="12"/>
    <s v="Yes"/>
    <m/>
  </r>
  <r>
    <x v="972"/>
    <x v="46"/>
    <s v="Student Information System"/>
    <x v="12"/>
    <s v="Yes"/>
    <m/>
  </r>
  <r>
    <x v="973"/>
    <x v="45"/>
    <s v="Student Information System"/>
    <x v="12"/>
    <s v="Yes"/>
    <m/>
  </r>
  <r>
    <x v="974"/>
    <x v="155"/>
    <s v="Student Information System"/>
    <x v="12"/>
    <s v="Yes"/>
    <m/>
  </r>
  <r>
    <x v="975"/>
    <x v="194"/>
    <s v="Student Information System"/>
    <x v="12"/>
    <s v="Yes"/>
    <m/>
  </r>
  <r>
    <x v="976"/>
    <x v="118"/>
    <s v="Student Information System"/>
    <x v="12"/>
    <s v="Yes"/>
    <m/>
  </r>
  <r>
    <x v="977"/>
    <x v="116"/>
    <s v="Student Information System"/>
    <x v="12"/>
    <s v="Yes"/>
    <m/>
  </r>
  <r>
    <x v="978"/>
    <x v="343"/>
    <s v="Student Information System"/>
    <x v="12"/>
    <s v="Yes"/>
    <m/>
  </r>
  <r>
    <x v="979"/>
    <x v="112"/>
    <s v="Student Information System"/>
    <x v="12"/>
    <s v="Yes"/>
    <m/>
  </r>
  <r>
    <x v="980"/>
    <x v="52"/>
    <s v="Student Information System"/>
    <x v="12"/>
    <s v="Yes"/>
    <m/>
  </r>
  <r>
    <x v="981"/>
    <x v="52"/>
    <s v="Student Information System"/>
    <x v="12"/>
    <s v="Yes"/>
    <m/>
  </r>
  <r>
    <x v="982"/>
    <x v="51"/>
    <s v="Student Information System"/>
    <x v="12"/>
    <s v="Yes"/>
    <m/>
  </r>
  <r>
    <x v="983"/>
    <x v="53"/>
    <s v="Student Information System"/>
    <x v="12"/>
    <s v="Yes"/>
    <m/>
  </r>
  <r>
    <x v="984"/>
    <x v="227"/>
    <s v="Student Information System"/>
    <x v="12"/>
    <s v="Yes"/>
    <m/>
  </r>
  <r>
    <x v="985"/>
    <x v="55"/>
    <s v="Student Information System"/>
    <x v="12"/>
    <s v="Yes"/>
    <m/>
  </r>
  <r>
    <x v="986"/>
    <x v="197"/>
    <s v="Student Information System"/>
    <x v="12"/>
    <s v="Yes"/>
    <m/>
  </r>
  <r>
    <x v="987"/>
    <x v="291"/>
    <s v="Student Information System"/>
    <x v="12"/>
    <s v="Yes"/>
    <m/>
  </r>
  <r>
    <x v="988"/>
    <x v="252"/>
    <s v="Student Information System"/>
    <x v="12"/>
    <s v="Yes"/>
    <m/>
  </r>
  <r>
    <x v="989"/>
    <x v="59"/>
    <s v="Student Information System"/>
    <x v="12"/>
    <s v="Yes"/>
    <m/>
  </r>
  <r>
    <x v="990"/>
    <x v="228"/>
    <s v="Student Information System"/>
    <x v="12"/>
    <s v="Yes"/>
    <m/>
  </r>
  <r>
    <x v="991"/>
    <x v="61"/>
    <s v="Student Information System"/>
    <x v="12"/>
    <s v="Yes"/>
    <m/>
  </r>
  <r>
    <x v="992"/>
    <x v="255"/>
    <s v="Student Information System"/>
    <x v="12"/>
    <s v="Yes"/>
    <m/>
  </r>
  <r>
    <x v="993"/>
    <x v="344"/>
    <s v="Student Information System"/>
    <x v="12"/>
    <s v="Yes"/>
    <m/>
  </r>
  <r>
    <x v="994"/>
    <x v="62"/>
    <s v="Student Information System"/>
    <x v="12"/>
    <s v="Yes"/>
    <m/>
  </r>
  <r>
    <x v="995"/>
    <x v="30"/>
    <s v="Telemedicine Platform"/>
    <x v="13"/>
    <s v="Yes"/>
    <s v="contains both 'shall' and 'shall not'; multiple time constraints: 10hours, 10milliseconds, 10seconds, 30milliseconds, 60minutes"/>
  </r>
  <r>
    <x v="996"/>
    <x v="146"/>
    <s v="Telemedicine Platform"/>
    <x v="13"/>
    <s v="Yes"/>
    <m/>
  </r>
  <r>
    <x v="997"/>
    <x v="313"/>
    <s v="Telemedicine Platform"/>
    <x v="13"/>
    <s v="Yes"/>
    <m/>
  </r>
  <r>
    <x v="998"/>
    <x v="301"/>
    <s v="Telemedicine Platform"/>
    <x v="13"/>
    <s v="Yes"/>
    <m/>
  </r>
  <r>
    <x v="999"/>
    <x v="206"/>
    <s v="Telemedicine Platform"/>
    <x v="13"/>
    <s v="Yes"/>
    <m/>
  </r>
  <r>
    <x v="1000"/>
    <x v="236"/>
    <s v="Telemedicine Platform"/>
    <x v="13"/>
    <s v="Yes"/>
    <m/>
  </r>
  <r>
    <x v="1001"/>
    <x v="162"/>
    <s v="Telemedicine Platform"/>
    <x v="13"/>
    <s v="Yes"/>
    <m/>
  </r>
  <r>
    <x v="1002"/>
    <x v="345"/>
    <s v="Telemedicine Platform"/>
    <x v="13"/>
    <s v="Yes"/>
    <m/>
  </r>
  <r>
    <x v="1003"/>
    <x v="152"/>
    <s v="Telemedicine Platform"/>
    <x v="13"/>
    <s v="Yes"/>
    <m/>
  </r>
  <r>
    <x v="1004"/>
    <x v="206"/>
    <s v="Telemedicine Platform"/>
    <x v="13"/>
    <s v="Yes"/>
    <m/>
  </r>
  <r>
    <x v="1005"/>
    <x v="172"/>
    <s v="Telemedicine Platform"/>
    <x v="13"/>
    <s v="Yes"/>
    <m/>
  </r>
  <r>
    <x v="1006"/>
    <x v="263"/>
    <s v="Telemedicine Platform"/>
    <x v="13"/>
    <s v="Yes"/>
    <m/>
  </r>
  <r>
    <x v="1007"/>
    <x v="153"/>
    <s v="Telemedicine Platform"/>
    <x v="13"/>
    <s v="Yes"/>
    <m/>
  </r>
  <r>
    <x v="1008"/>
    <x v="274"/>
    <s v="Telemedicine Platform"/>
    <x v="13"/>
    <s v="Yes"/>
    <m/>
  </r>
  <r>
    <x v="1009"/>
    <x v="243"/>
    <s v="Telemedicine Platform"/>
    <x v="13"/>
    <s v="Yes"/>
    <m/>
  </r>
  <r>
    <x v="1010"/>
    <x v="38"/>
    <s v="Telemedicine Platform"/>
    <x v="13"/>
    <s v="Yes"/>
    <m/>
  </r>
  <r>
    <x v="1011"/>
    <x v="269"/>
    <s v="Telemedicine Platform"/>
    <x v="13"/>
    <s v="Yes"/>
    <m/>
  </r>
  <r>
    <x v="1012"/>
    <x v="241"/>
    <s v="Telemedicine Platform"/>
    <x v="13"/>
    <s v="Yes"/>
    <m/>
  </r>
  <r>
    <x v="1013"/>
    <x v="282"/>
    <s v="Telemedicine Platform"/>
    <x v="13"/>
    <s v="Yes"/>
    <m/>
  </r>
  <r>
    <x v="1014"/>
    <x v="346"/>
    <s v="Telemedicine Platform"/>
    <x v="13"/>
    <s v="Yes"/>
    <m/>
  </r>
  <r>
    <x v="1015"/>
    <x v="26"/>
    <s v="Telemedicine Platform"/>
    <x v="13"/>
    <s v="Yes"/>
    <m/>
  </r>
  <r>
    <x v="1016"/>
    <x v="269"/>
    <s v="Telemedicine Platform"/>
    <x v="13"/>
    <s v="Yes"/>
    <m/>
  </r>
  <r>
    <x v="1017"/>
    <x v="89"/>
    <s v="Telemedicine Platform"/>
    <x v="13"/>
    <s v="Yes"/>
    <m/>
  </r>
  <r>
    <x v="1018"/>
    <x v="145"/>
    <s v="Telemedicine Platform"/>
    <x v="13"/>
    <s v="Yes"/>
    <m/>
  </r>
  <r>
    <x v="1019"/>
    <x v="6"/>
    <s v="Telemedicine Platform"/>
    <x v="13"/>
    <s v="Yes"/>
    <m/>
  </r>
  <r>
    <x v="1020"/>
    <x v="138"/>
    <s v="Telemedicine Platform"/>
    <x v="13"/>
    <s v="Yes"/>
    <m/>
  </r>
  <r>
    <x v="1021"/>
    <x v="92"/>
    <s v="Telemedicine Platform"/>
    <x v="13"/>
    <s v="Yes"/>
    <m/>
  </r>
  <r>
    <x v="1022"/>
    <x v="311"/>
    <s v="Telemedicine Platform"/>
    <x v="13"/>
    <s v="Yes"/>
    <m/>
  </r>
  <r>
    <x v="1023"/>
    <x v="79"/>
    <s v="Telemedicine Platform"/>
    <x v="13"/>
    <s v="Yes"/>
    <m/>
  </r>
  <r>
    <x v="1024"/>
    <x v="42"/>
    <s v="Telemedicine Platform"/>
    <x v="13"/>
    <s v="Yes"/>
    <m/>
  </r>
  <r>
    <x v="1025"/>
    <x v="312"/>
    <s v="Telemedicine Platform"/>
    <x v="13"/>
    <s v="Yes"/>
    <m/>
  </r>
  <r>
    <x v="1026"/>
    <x v="161"/>
    <s v="Telemedicine Platform"/>
    <x v="13"/>
    <s v="Yes"/>
    <m/>
  </r>
  <r>
    <x v="1027"/>
    <x v="80"/>
    <s v="Telemedicine Platform"/>
    <x v="13"/>
    <s v="Yes"/>
    <m/>
  </r>
  <r>
    <x v="1028"/>
    <x v="245"/>
    <s v="Telemedicine Platform"/>
    <x v="13"/>
    <s v="Yes"/>
    <m/>
  </r>
  <r>
    <x v="1029"/>
    <x v="136"/>
    <s v="Telemedicine Platform"/>
    <x v="13"/>
    <s v="Yes"/>
    <m/>
  </r>
  <r>
    <x v="1030"/>
    <x v="332"/>
    <s v="Telemedicine Platform"/>
    <x v="13"/>
    <s v="Yes"/>
    <m/>
  </r>
  <r>
    <x v="1031"/>
    <x v="347"/>
    <s v="Telemedicine Platform"/>
    <x v="13"/>
    <s v="Yes"/>
    <m/>
  </r>
  <r>
    <x v="1032"/>
    <x v="215"/>
    <s v="Telemedicine Platform"/>
    <x v="13"/>
    <s v="Yes"/>
    <m/>
  </r>
  <r>
    <x v="1033"/>
    <x v="93"/>
    <s v="Telemedicine Platform"/>
    <x v="13"/>
    <s v="Yes"/>
    <m/>
  </r>
  <r>
    <x v="1034"/>
    <x v="121"/>
    <s v="Telemedicine Platform"/>
    <x v="13"/>
    <s v="Yes"/>
    <m/>
  </r>
  <r>
    <x v="1035"/>
    <x v="174"/>
    <s v="Telemedicine Platform"/>
    <x v="13"/>
    <s v="Yes"/>
    <m/>
  </r>
  <r>
    <x v="1036"/>
    <x v="135"/>
    <s v="Telemedicine Platform"/>
    <x v="13"/>
    <s v="Yes"/>
    <m/>
  </r>
  <r>
    <x v="1037"/>
    <x v="348"/>
    <s v="Telemedicine Platform"/>
    <x v="13"/>
    <s v="Yes"/>
    <m/>
  </r>
  <r>
    <x v="1038"/>
    <x v="280"/>
    <s v="Telemedicine Platform"/>
    <x v="13"/>
    <s v="Yes"/>
    <m/>
  </r>
  <r>
    <x v="1039"/>
    <x v="186"/>
    <s v="Telemedicine Platform"/>
    <x v="13"/>
    <s v="Yes"/>
    <m/>
  </r>
  <r>
    <x v="1040"/>
    <x v="302"/>
    <s v="Telemedicine Platform"/>
    <x v="13"/>
    <s v="Yes"/>
    <m/>
  </r>
  <r>
    <x v="1041"/>
    <x v="147"/>
    <s v="Telemedicine Platform"/>
    <x v="13"/>
    <s v="Yes"/>
    <m/>
  </r>
  <r>
    <x v="1042"/>
    <x v="102"/>
    <s v="Telemedicine Platform"/>
    <x v="13"/>
    <s v="Yes"/>
    <m/>
  </r>
  <r>
    <x v="1043"/>
    <x v="30"/>
    <s v="Telemedicine Platform"/>
    <x v="13"/>
    <s v="Yes"/>
    <m/>
  </r>
  <r>
    <x v="1044"/>
    <x v="14"/>
    <s v="Telemedicine Platform"/>
    <x v="13"/>
    <s v="Yes"/>
    <m/>
  </r>
  <r>
    <x v="1045"/>
    <x v="108"/>
    <s v="Telemedicine Platform"/>
    <x v="13"/>
    <s v="Yes"/>
    <m/>
  </r>
  <r>
    <x v="1046"/>
    <x v="108"/>
    <s v="Telemedicine Platform"/>
    <x v="13"/>
    <s v="Yes"/>
    <m/>
  </r>
  <r>
    <x v="1047"/>
    <x v="48"/>
    <s v="Telemedicine Platform"/>
    <x v="13"/>
    <s v="Yes"/>
    <m/>
  </r>
  <r>
    <x v="1048"/>
    <x v="109"/>
    <s v="Telemedicine Platform"/>
    <x v="13"/>
    <s v="Yes"/>
    <m/>
  </r>
  <r>
    <x v="1049"/>
    <x v="157"/>
    <s v="Telemedicine Platform"/>
    <x v="13"/>
    <s v="Yes"/>
    <m/>
  </r>
  <r>
    <x v="1050"/>
    <x v="159"/>
    <s v="Telemedicine Platform"/>
    <x v="13"/>
    <s v="Yes"/>
    <m/>
  </r>
  <r>
    <x v="1051"/>
    <x v="117"/>
    <s v="Telemedicine Platform"/>
    <x v="13"/>
    <s v="Yes"/>
    <m/>
  </r>
  <r>
    <x v="1052"/>
    <x v="49"/>
    <s v="Telemedicine Platform"/>
    <x v="13"/>
    <s v="Yes"/>
    <m/>
  </r>
  <r>
    <x v="1053"/>
    <x v="115"/>
    <s v="Telemedicine Platform"/>
    <x v="13"/>
    <s v="Yes"/>
    <m/>
  </r>
  <r>
    <x v="1054"/>
    <x v="114"/>
    <s v="Telemedicine Platform"/>
    <x v="13"/>
    <s v="Yes"/>
    <m/>
  </r>
  <r>
    <x v="1055"/>
    <x v="50"/>
    <s v="Telemedicine Platform"/>
    <x v="13"/>
    <s v="Yes"/>
    <m/>
  </r>
  <r>
    <x v="1056"/>
    <x v="52"/>
    <s v="Telemedicine Platform"/>
    <x v="13"/>
    <s v="Yes"/>
    <m/>
  </r>
  <r>
    <x v="1057"/>
    <x v="52"/>
    <s v="Telemedicine Platform"/>
    <x v="13"/>
    <s v="Yes"/>
    <m/>
  </r>
  <r>
    <x v="1058"/>
    <x v="51"/>
    <s v="Telemedicine Platform"/>
    <x v="13"/>
    <s v="Yes"/>
    <m/>
  </r>
  <r>
    <x v="1059"/>
    <x v="52"/>
    <s v="Telemedicine Platform"/>
    <x v="13"/>
    <s v="Yes"/>
    <m/>
  </r>
  <r>
    <x v="1060"/>
    <x v="52"/>
    <s v="Telemedicine Platform"/>
    <x v="13"/>
    <s v="Yes"/>
    <m/>
  </r>
  <r>
    <x v="1061"/>
    <x v="119"/>
    <s v="Telemedicine Platform"/>
    <x v="13"/>
    <s v="Yes"/>
    <m/>
  </r>
  <r>
    <x v="1062"/>
    <x v="119"/>
    <s v="Telemedicine Platform"/>
    <x v="13"/>
    <s v="Yes"/>
    <m/>
  </r>
  <r>
    <x v="1063"/>
    <x v="253"/>
    <s v="Telemedicine Platform"/>
    <x v="13"/>
    <s v="Yes"/>
    <m/>
  </r>
  <r>
    <x v="1064"/>
    <x v="54"/>
    <s v="Telemedicine Platform"/>
    <x v="13"/>
    <s v="Yes"/>
    <m/>
  </r>
  <r>
    <x v="1065"/>
    <x v="56"/>
    <s v="Telemedicine Platform"/>
    <x v="13"/>
    <s v="Yes"/>
    <m/>
  </r>
  <r>
    <x v="1066"/>
    <x v="58"/>
    <s v="Telemedicine Platform"/>
    <x v="13"/>
    <s v="Yes"/>
    <m/>
  </r>
  <r>
    <x v="1067"/>
    <x v="61"/>
    <s v="Telemedicine Platform"/>
    <x v="13"/>
    <s v="Yes"/>
    <m/>
  </r>
  <r>
    <x v="1068"/>
    <x v="62"/>
    <s v="Telemedicine Platform"/>
    <x v="13"/>
    <s v="Yes"/>
    <m/>
  </r>
  <r>
    <x v="1069"/>
    <x v="66"/>
    <s v="Traffic Control System"/>
    <x v="14"/>
    <s v="Yes"/>
    <m/>
  </r>
  <r>
    <x v="1070"/>
    <x v="26"/>
    <s v="Traffic Control System"/>
    <x v="14"/>
    <s v="Yes"/>
    <m/>
  </r>
  <r>
    <x v="1071"/>
    <x v="38"/>
    <s v="Traffic Control System"/>
    <x v="14"/>
    <s v="Yes"/>
    <m/>
  </r>
  <r>
    <x v="1072"/>
    <x v="102"/>
    <s v="Traffic Control System"/>
    <x v="14"/>
    <s v="Yes"/>
    <m/>
  </r>
  <r>
    <x v="1073"/>
    <x v="184"/>
    <s v="Traffic Control System"/>
    <x v="14"/>
    <s v="Yes"/>
    <m/>
  </r>
  <r>
    <x v="1074"/>
    <x v="167"/>
    <s v="Traffic Control System"/>
    <x v="14"/>
    <s v="Yes"/>
    <m/>
  </r>
  <r>
    <x v="1075"/>
    <x v="74"/>
    <s v="Traffic Control System"/>
    <x v="14"/>
    <s v="Yes"/>
    <m/>
  </r>
  <r>
    <x v="1076"/>
    <x v="210"/>
    <s v="Traffic Control System"/>
    <x v="14"/>
    <s v="Yes"/>
    <m/>
  </r>
  <r>
    <x v="1077"/>
    <x v="25"/>
    <s v="Traffic Control System"/>
    <x v="14"/>
    <s v="Yes"/>
    <m/>
  </r>
  <r>
    <x v="1078"/>
    <x v="221"/>
    <s v="Traffic Control System"/>
    <x v="14"/>
    <s v="Yes"/>
    <m/>
  </r>
  <r>
    <x v="1079"/>
    <x v="349"/>
    <s v="Traffic Control System"/>
    <x v="14"/>
    <s v="Yes"/>
    <m/>
  </r>
  <r>
    <x v="1080"/>
    <x v="324"/>
    <s v="Traffic Control System"/>
    <x v="14"/>
    <s v="Yes"/>
    <m/>
  </r>
  <r>
    <x v="1081"/>
    <x v="242"/>
    <s v="Traffic Control System"/>
    <x v="14"/>
    <s v="Yes"/>
    <m/>
  </r>
  <r>
    <x v="1082"/>
    <x v="168"/>
    <s v="Traffic Control System"/>
    <x v="14"/>
    <s v="Yes"/>
    <m/>
  </r>
  <r>
    <x v="1083"/>
    <x v="33"/>
    <s v="Traffic Control System"/>
    <x v="14"/>
    <s v="Yes"/>
    <m/>
  </r>
  <r>
    <x v="1084"/>
    <x v="128"/>
    <s v="Traffic Control System"/>
    <x v="14"/>
    <s v="Yes"/>
    <m/>
  </r>
  <r>
    <x v="1085"/>
    <x v="132"/>
    <s v="Traffic Control System"/>
    <x v="14"/>
    <s v="Yes"/>
    <m/>
  </r>
  <r>
    <x v="1086"/>
    <x v="22"/>
    <s v="Traffic Control System"/>
    <x v="14"/>
    <s v="Yes"/>
    <m/>
  </r>
  <r>
    <x v="1087"/>
    <x v="350"/>
    <s v="Traffic Control System"/>
    <x v="14"/>
    <s v="Yes"/>
    <m/>
  </r>
  <r>
    <x v="1088"/>
    <x v="351"/>
    <s v="Traffic Control System"/>
    <x v="14"/>
    <s v="Yes"/>
    <m/>
  </r>
  <r>
    <x v="1089"/>
    <x v="166"/>
    <s v="Traffic Control System"/>
    <x v="14"/>
    <s v="Yes"/>
    <m/>
  </r>
  <r>
    <x v="1090"/>
    <x v="281"/>
    <s v="Traffic Control System"/>
    <x v="14"/>
    <s v="Yes"/>
    <m/>
  </r>
  <r>
    <x v="1091"/>
    <x v="133"/>
    <s v="Traffic Control System"/>
    <x v="14"/>
    <s v="Yes"/>
    <m/>
  </r>
  <r>
    <x v="1092"/>
    <x v="189"/>
    <s v="Traffic Control System"/>
    <x v="14"/>
    <s v="Yes"/>
    <m/>
  </r>
  <r>
    <x v="1093"/>
    <x v="137"/>
    <s v="Traffic Control System"/>
    <x v="14"/>
    <s v="Yes"/>
    <m/>
  </r>
  <r>
    <x v="1094"/>
    <x v="128"/>
    <s v="Traffic Control System"/>
    <x v="14"/>
    <s v="Yes"/>
    <m/>
  </r>
  <r>
    <x v="1095"/>
    <x v="342"/>
    <s v="Traffic Control System"/>
    <x v="14"/>
    <s v="Yes"/>
    <m/>
  </r>
  <r>
    <x v="1096"/>
    <x v="216"/>
    <s v="Traffic Control System"/>
    <x v="14"/>
    <s v="Yes"/>
    <m/>
  </r>
  <r>
    <x v="1097"/>
    <x v="300"/>
    <s v="Traffic Control System"/>
    <x v="14"/>
    <s v="Yes"/>
    <m/>
  </r>
  <r>
    <x v="1098"/>
    <x v="167"/>
    <s v="Traffic Control System"/>
    <x v="14"/>
    <s v="Yes"/>
    <m/>
  </r>
  <r>
    <x v="1099"/>
    <x v="33"/>
    <s v="Traffic Control System"/>
    <x v="14"/>
    <s v="Yes"/>
    <m/>
  </r>
  <r>
    <x v="1100"/>
    <x v="173"/>
    <s v="Traffic Control System"/>
    <x v="14"/>
    <s v="Yes"/>
    <m/>
  </r>
  <r>
    <x v="1101"/>
    <x v="202"/>
    <s v="Traffic Control System"/>
    <x v="14"/>
    <s v="Yes"/>
    <m/>
  </r>
  <r>
    <x v="1102"/>
    <x v="224"/>
    <s v="Traffic Control System"/>
    <x v="14"/>
    <s v="Yes"/>
    <m/>
  </r>
  <r>
    <x v="1103"/>
    <x v="352"/>
    <s v="Traffic Control System"/>
    <x v="14"/>
    <s v="Yes"/>
    <m/>
  </r>
  <r>
    <x v="1104"/>
    <x v="353"/>
    <s v="Traffic Control System"/>
    <x v="14"/>
    <s v="Yes"/>
    <m/>
  </r>
  <r>
    <x v="1105"/>
    <x v="127"/>
    <s v="Traffic Control System"/>
    <x v="14"/>
    <s v="Yes"/>
    <m/>
  </r>
  <r>
    <x v="1106"/>
    <x v="313"/>
    <s v="Traffic Control System"/>
    <x v="14"/>
    <s v="Yes"/>
    <m/>
  </r>
  <r>
    <x v="1107"/>
    <x v="17"/>
    <s v="Traffic Control System"/>
    <x v="14"/>
    <s v="Yes"/>
    <m/>
  </r>
  <r>
    <x v="1108"/>
    <x v="96"/>
    <s v="Traffic Control System"/>
    <x v="14"/>
    <s v="Yes"/>
    <m/>
  </r>
  <r>
    <x v="1109"/>
    <x v="67"/>
    <s v="Traffic Control System"/>
    <x v="14"/>
    <s v="Yes"/>
    <m/>
  </r>
  <r>
    <x v="1110"/>
    <x v="167"/>
    <s v="Traffic Control System"/>
    <x v="14"/>
    <s v="Yes"/>
    <m/>
  </r>
  <r>
    <x v="1111"/>
    <x v="294"/>
    <s v="Traffic Control System"/>
    <x v="14"/>
    <s v="Yes"/>
    <m/>
  </r>
  <r>
    <x v="1112"/>
    <x v="164"/>
    <s v="Traffic Control System"/>
    <x v="14"/>
    <s v="Yes"/>
    <m/>
  </r>
  <r>
    <x v="1113"/>
    <x v="91"/>
    <s v="Traffic Control System"/>
    <x v="14"/>
    <s v="Yes"/>
    <m/>
  </r>
  <r>
    <x v="1114"/>
    <x v="352"/>
    <s v="Traffic Control System"/>
    <x v="14"/>
    <s v="Yes"/>
    <m/>
  </r>
  <r>
    <x v="1115"/>
    <x v="243"/>
    <s v="Traffic Control System"/>
    <x v="14"/>
    <s v="Yes"/>
    <m/>
  </r>
  <r>
    <x v="1116"/>
    <x v="85"/>
    <s v="Traffic Control System"/>
    <x v="14"/>
    <s v="Yes"/>
    <m/>
  </r>
  <r>
    <x v="1117"/>
    <x v="105"/>
    <s v="Traffic Control System"/>
    <x v="14"/>
    <s v="Yes"/>
    <m/>
  </r>
  <r>
    <x v="1118"/>
    <x v="326"/>
    <s v="Traffic Control System"/>
    <x v="14"/>
    <s v="Yes"/>
    <m/>
  </r>
  <r>
    <x v="1119"/>
    <x v="191"/>
    <s v="Traffic Control System"/>
    <x v="14"/>
    <s v="Yes"/>
    <m/>
  </r>
  <r>
    <x v="1120"/>
    <x v="191"/>
    <s v="Traffic Control System"/>
    <x v="14"/>
    <s v="Yes"/>
    <m/>
  </r>
  <r>
    <x v="1121"/>
    <x v="48"/>
    <s v="Traffic Control System"/>
    <x v="14"/>
    <s v="Yes"/>
    <m/>
  </r>
  <r>
    <x v="1122"/>
    <x v="343"/>
    <s v="Traffic Control System"/>
    <x v="14"/>
    <s v="Yes"/>
    <m/>
  </r>
  <r>
    <x v="1123"/>
    <x v="114"/>
    <s v="Traffic Control System"/>
    <x v="14"/>
    <s v="Yes"/>
    <m/>
  </r>
  <r>
    <x v="1124"/>
    <x v="112"/>
    <s v="Traffic Control System"/>
    <x v="14"/>
    <s v="Yes"/>
    <m/>
  </r>
  <r>
    <x v="1125"/>
    <x v="251"/>
    <s v="Traffic Control System"/>
    <x v="14"/>
    <s v="Yes"/>
    <m/>
  </r>
  <r>
    <x v="1126"/>
    <x v="251"/>
    <s v="Traffic Control System"/>
    <x v="14"/>
    <s v="Yes"/>
    <m/>
  </r>
  <r>
    <x v="1127"/>
    <x v="113"/>
    <s v="Traffic Control System"/>
    <x v="14"/>
    <s v="Yes"/>
    <m/>
  </r>
  <r>
    <x v="1128"/>
    <x v="51"/>
    <s v="Traffic Control System"/>
    <x v="14"/>
    <s v="Yes"/>
    <m/>
  </r>
  <r>
    <x v="1129"/>
    <x v="50"/>
    <s v="Traffic Control System"/>
    <x v="14"/>
    <s v="Yes"/>
    <m/>
  </r>
  <r>
    <x v="1130"/>
    <x v="52"/>
    <s v="Traffic Control System"/>
    <x v="14"/>
    <s v="Yes"/>
    <m/>
  </r>
  <r>
    <x v="1131"/>
    <x v="50"/>
    <s v="Traffic Control System"/>
    <x v="14"/>
    <s v="Yes"/>
    <m/>
  </r>
  <r>
    <x v="1132"/>
    <x v="50"/>
    <s v="Traffic Control System"/>
    <x v="14"/>
    <s v="Yes"/>
    <m/>
  </r>
  <r>
    <x v="1133"/>
    <x v="53"/>
    <s v="Traffic Control System"/>
    <x v="14"/>
    <s v="Yes"/>
    <m/>
  </r>
  <r>
    <x v="1134"/>
    <x v="51"/>
    <s v="Traffic Control System"/>
    <x v="14"/>
    <s v="Yes"/>
    <m/>
  </r>
  <r>
    <x v="1135"/>
    <x v="51"/>
    <s v="Traffic Control System"/>
    <x v="14"/>
    <s v="Yes"/>
    <m/>
  </r>
  <r>
    <x v="1136"/>
    <x v="307"/>
    <s v="Traffic Control System"/>
    <x v="14"/>
    <s v="Yes"/>
    <m/>
  </r>
  <r>
    <x v="1137"/>
    <x v="55"/>
    <s v="Traffic Control System"/>
    <x v="14"/>
    <s v="Yes"/>
    <m/>
  </r>
  <r>
    <x v="1138"/>
    <x v="54"/>
    <s v="Traffic Control System"/>
    <x v="14"/>
    <s v="Yes"/>
    <m/>
  </r>
  <r>
    <x v="1139"/>
    <x v="54"/>
    <s v="Traffic Control System"/>
    <x v="14"/>
    <s v="Yes"/>
    <m/>
  </r>
  <r>
    <x v="1140"/>
    <x v="56"/>
    <s v="Traffic Control System"/>
    <x v="14"/>
    <s v="Yes"/>
    <m/>
  </r>
  <r>
    <x v="1141"/>
    <x v="59"/>
    <s v="Traffic Control System"/>
    <x v="14"/>
    <s v="Yes"/>
    <m/>
  </r>
  <r>
    <x v="1142"/>
    <x v="59"/>
    <s v="Traffic Control System"/>
    <x v="14"/>
    <s v="Yes"/>
    <m/>
  </r>
  <r>
    <x v="1143"/>
    <x v="228"/>
    <s v="Traffic Control System"/>
    <x v="14"/>
    <s v="Yes"/>
    <m/>
  </r>
  <r>
    <x v="1144"/>
    <x v="228"/>
    <s v="Traffic Control System"/>
    <x v="14"/>
    <s v="Ye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Inconsistency_PivotTable" cacheId="5" applyNumberFormats="0" applyBorderFormats="0" applyFontFormats="0" applyPatternFormats="0" applyAlignmentFormats="0" applyWidthHeightFormats="0" dataCaption="" updatedVersion="4" compact="0" compactData="0">
  <location ref="A1:D17" firstHeaderRow="1" firstDataRow="1" firstDataCol="3"/>
  <pivotFields count="6">
    <pivotField name="Req_id" axis="axisRow" dataField="1" compact="0" outline="0" multipleItemSelectionAllowed="1" showAll="0" sortType="ascending">
      <items count="1146">
        <item x="709"/>
        <item x="921"/>
        <item x="1069"/>
        <item x="482"/>
        <item x="235"/>
        <item x="85"/>
        <item x="564"/>
        <item x="483"/>
        <item x="158"/>
        <item x="1070"/>
        <item x="850"/>
        <item x="86"/>
        <item x="1071"/>
        <item x="484"/>
        <item x="851"/>
        <item x="485"/>
        <item x="0"/>
        <item x="236"/>
        <item x="852"/>
        <item x="628"/>
        <item x="779"/>
        <item x="995"/>
        <item x="1072"/>
        <item x="922"/>
        <item x="314"/>
        <item x="397"/>
        <item x="159"/>
        <item x="237"/>
        <item x="315"/>
        <item x="316"/>
        <item x="780"/>
        <item x="781"/>
        <item x="398"/>
        <item x="923"/>
        <item x="565"/>
        <item x="1"/>
        <item x="317"/>
        <item x="486"/>
        <item x="238"/>
        <item x="318"/>
        <item x="160"/>
        <item x="487"/>
        <item x="710"/>
        <item x="161"/>
        <item x="629"/>
        <item x="2"/>
        <item x="853"/>
        <item x="3"/>
        <item x="319"/>
        <item x="996"/>
        <item x="239"/>
        <item x="782"/>
        <item x="320"/>
        <item x="399"/>
        <item x="162"/>
        <item x="854"/>
        <item x="488"/>
        <item x="924"/>
        <item x="1073"/>
        <item x="711"/>
        <item x="1074"/>
        <item x="400"/>
        <item x="4"/>
        <item x="489"/>
        <item x="712"/>
        <item x="1075"/>
        <item x="5"/>
        <item x="925"/>
        <item x="401"/>
        <item x="6"/>
        <item x="926"/>
        <item x="87"/>
        <item x="855"/>
        <item x="630"/>
        <item x="163"/>
        <item x="997"/>
        <item x="856"/>
        <item x="321"/>
        <item x="164"/>
        <item x="7"/>
        <item x="631"/>
        <item x="857"/>
        <item x="8"/>
        <item x="1076"/>
        <item x="1077"/>
        <item x="632"/>
        <item x="240"/>
        <item x="1078"/>
        <item x="402"/>
        <item x="403"/>
        <item x="9"/>
        <item x="10"/>
        <item x="404"/>
        <item x="783"/>
        <item x="927"/>
        <item x="566"/>
        <item x="322"/>
        <item x="998"/>
        <item x="241"/>
        <item x="999"/>
        <item x="769"/>
        <item x="911"/>
        <item x="1136"/>
        <item x="385"/>
        <item x="984"/>
        <item x="618"/>
        <item x="912"/>
        <item x="386"/>
        <item x="770"/>
        <item x="307"/>
        <item x="490"/>
        <item x="387"/>
        <item x="554"/>
        <item x="699"/>
        <item x="619"/>
        <item x="913"/>
        <item x="700"/>
        <item x="308"/>
        <item x="227"/>
        <item x="1137"/>
        <item x="985"/>
        <item x="405"/>
        <item x="470"/>
        <item x="986"/>
        <item x="471"/>
        <item x="1138"/>
        <item x="701"/>
        <item x="68"/>
        <item x="771"/>
        <item x="472"/>
        <item x="702"/>
        <item x="843"/>
        <item x="323"/>
        <item x="1139"/>
        <item x="555"/>
        <item x="844"/>
        <item x="1061"/>
        <item x="1062"/>
        <item x="473"/>
        <item x="703"/>
        <item x="309"/>
        <item x="1063"/>
        <item x="845"/>
        <item x="567"/>
        <item x="620"/>
        <item x="704"/>
        <item x="987"/>
        <item x="1064"/>
        <item x="310"/>
        <item x="621"/>
        <item x="1065"/>
        <item x="705"/>
        <item x="622"/>
        <item x="69"/>
        <item x="1000"/>
        <item x="311"/>
        <item x="228"/>
        <item x="556"/>
        <item x="772"/>
        <item x="474"/>
        <item x="557"/>
        <item x="623"/>
        <item x="70"/>
        <item x="153"/>
        <item x="914"/>
        <item x="633"/>
        <item x="154"/>
        <item x="773"/>
        <item x="915"/>
        <item x="774"/>
        <item x="1140"/>
        <item x="988"/>
        <item x="558"/>
        <item x="624"/>
        <item x="155"/>
        <item x="475"/>
        <item x="568"/>
        <item x="476"/>
        <item x="989"/>
        <item x="706"/>
        <item x="775"/>
        <item x="229"/>
        <item x="916"/>
        <item x="388"/>
        <item x="477"/>
        <item x="389"/>
        <item x="1141"/>
        <item x="11"/>
        <item x="559"/>
        <item x="230"/>
        <item x="390"/>
        <item x="231"/>
        <item x="232"/>
        <item x="625"/>
        <item x="776"/>
        <item x="156"/>
        <item x="391"/>
        <item x="71"/>
        <item x="784"/>
        <item x="392"/>
        <item x="72"/>
        <item x="73"/>
        <item x="626"/>
        <item x="917"/>
        <item x="74"/>
        <item x="75"/>
        <item x="76"/>
        <item x="918"/>
        <item x="846"/>
        <item x="88"/>
        <item x="560"/>
        <item x="77"/>
        <item x="312"/>
        <item x="707"/>
        <item x="478"/>
        <item x="777"/>
        <item x="1142"/>
        <item x="1066"/>
        <item x="78"/>
        <item x="561"/>
        <item x="928"/>
        <item x="157"/>
        <item x="990"/>
        <item x="479"/>
        <item x="480"/>
        <item x="313"/>
        <item x="1143"/>
        <item x="79"/>
        <item x="919"/>
        <item x="393"/>
        <item x="80"/>
        <item x="858"/>
        <item x="1067"/>
        <item x="562"/>
        <item x="847"/>
        <item x="1144"/>
        <item x="563"/>
        <item x="708"/>
        <item x="991"/>
        <item x="920"/>
        <item x="394"/>
        <item x="81"/>
        <item x="406"/>
        <item x="848"/>
        <item x="992"/>
        <item x="627"/>
        <item x="481"/>
        <item x="82"/>
        <item x="83"/>
        <item x="849"/>
        <item x="395"/>
        <item x="993"/>
        <item x="994"/>
        <item x="165"/>
        <item x="396"/>
        <item x="233"/>
        <item x="1068"/>
        <item x="84"/>
        <item x="778"/>
        <item x="234"/>
        <item x="242"/>
        <item x="713"/>
        <item x="12"/>
        <item x="929"/>
        <item x="324"/>
        <item x="491"/>
        <item x="89"/>
        <item x="634"/>
        <item x="785"/>
        <item x="1079"/>
        <item x="714"/>
        <item x="325"/>
        <item x="243"/>
        <item x="407"/>
        <item x="166"/>
        <item x="13"/>
        <item x="492"/>
        <item x="715"/>
        <item x="326"/>
        <item x="786"/>
        <item x="493"/>
        <item x="167"/>
        <item x="408"/>
        <item x="409"/>
        <item x="1080"/>
        <item x="244"/>
        <item x="635"/>
        <item x="930"/>
        <item x="716"/>
        <item x="410"/>
        <item x="717"/>
        <item x="636"/>
        <item x="494"/>
        <item x="787"/>
        <item x="1001"/>
        <item x="1081"/>
        <item x="859"/>
        <item x="718"/>
        <item x="245"/>
        <item x="168"/>
        <item x="495"/>
        <item x="169"/>
        <item x="14"/>
        <item x="170"/>
        <item x="788"/>
        <item x="1002"/>
        <item x="931"/>
        <item x="1003"/>
        <item x="15"/>
        <item x="719"/>
        <item x="789"/>
        <item x="932"/>
        <item x="171"/>
        <item x="411"/>
        <item x="569"/>
        <item x="16"/>
        <item x="17"/>
        <item x="637"/>
        <item x="638"/>
        <item x="496"/>
        <item x="570"/>
        <item x="497"/>
        <item x="90"/>
        <item x="720"/>
        <item x="639"/>
        <item x="498"/>
        <item x="499"/>
        <item x="790"/>
        <item x="246"/>
        <item x="571"/>
        <item x="721"/>
        <item x="933"/>
        <item x="1082"/>
        <item x="247"/>
        <item x="791"/>
        <item x="640"/>
        <item x="172"/>
        <item x="860"/>
        <item x="572"/>
        <item x="1004"/>
        <item x="792"/>
        <item x="1005"/>
        <item x="861"/>
        <item x="573"/>
        <item x="248"/>
        <item x="327"/>
        <item x="1006"/>
        <item x="1007"/>
        <item x="934"/>
        <item x="91"/>
        <item x="862"/>
        <item x="412"/>
        <item x="92"/>
        <item x="793"/>
        <item x="1083"/>
        <item x="249"/>
        <item x="173"/>
        <item x="413"/>
        <item x="93"/>
        <item x="414"/>
        <item x="18"/>
        <item x="1008"/>
        <item x="250"/>
        <item x="174"/>
        <item x="500"/>
        <item x="415"/>
        <item x="722"/>
        <item x="574"/>
        <item x="641"/>
        <item x="935"/>
        <item x="1084"/>
        <item x="794"/>
        <item x="175"/>
        <item x="1085"/>
        <item x="863"/>
        <item x="19"/>
        <item x="795"/>
        <item x="575"/>
        <item x="576"/>
        <item x="20"/>
        <item x="501"/>
        <item x="796"/>
        <item x="94"/>
        <item x="251"/>
        <item x="416"/>
        <item x="642"/>
        <item x="936"/>
        <item x="328"/>
        <item x="577"/>
        <item x="864"/>
        <item x="21"/>
        <item x="95"/>
        <item x="723"/>
        <item x="329"/>
        <item x="578"/>
        <item x="22"/>
        <item x="252"/>
        <item x="797"/>
        <item x="798"/>
        <item x="253"/>
        <item x="799"/>
        <item x="937"/>
        <item x="23"/>
        <item x="176"/>
        <item x="1009"/>
        <item x="96"/>
        <item x="1010"/>
        <item x="24"/>
        <item x="417"/>
        <item x="643"/>
        <item x="644"/>
        <item x="938"/>
        <item x="579"/>
        <item x="1086"/>
        <item x="502"/>
        <item x="177"/>
        <item x="724"/>
        <item x="580"/>
        <item x="97"/>
        <item x="1011"/>
        <item x="25"/>
        <item x="1087"/>
        <item x="1088"/>
        <item x="581"/>
        <item x="1012"/>
        <item x="800"/>
        <item x="418"/>
        <item x="254"/>
        <item x="419"/>
        <item x="420"/>
        <item x="421"/>
        <item x="939"/>
        <item x="725"/>
        <item x="98"/>
        <item x="26"/>
        <item x="865"/>
        <item x="330"/>
        <item x="940"/>
        <item x="645"/>
        <item x="178"/>
        <item x="582"/>
        <item x="331"/>
        <item x="503"/>
        <item x="583"/>
        <item x="332"/>
        <item x="27"/>
        <item x="179"/>
        <item x="99"/>
        <item x="422"/>
        <item x="726"/>
        <item x="333"/>
        <item x="941"/>
        <item x="801"/>
        <item x="866"/>
        <item x="942"/>
        <item x="100"/>
        <item x="504"/>
        <item x="334"/>
        <item x="28"/>
        <item x="180"/>
        <item x="943"/>
        <item x="335"/>
        <item x="255"/>
        <item x="336"/>
        <item x="1089"/>
        <item x="1013"/>
        <item x="1090"/>
        <item x="29"/>
        <item x="101"/>
        <item x="423"/>
        <item x="1091"/>
        <item x="424"/>
        <item x="30"/>
        <item x="505"/>
        <item x="256"/>
        <item x="257"/>
        <item x="337"/>
        <item x="802"/>
        <item x="867"/>
        <item x="1092"/>
        <item x="102"/>
        <item x="944"/>
        <item x="945"/>
        <item x="31"/>
        <item x="646"/>
        <item x="181"/>
        <item x="32"/>
        <item x="868"/>
        <item x="1014"/>
        <item x="647"/>
        <item x="727"/>
        <item x="506"/>
        <item x="507"/>
        <item x="338"/>
        <item x="946"/>
        <item x="103"/>
        <item x="258"/>
        <item x="259"/>
        <item x="648"/>
        <item x="584"/>
        <item x="508"/>
        <item x="182"/>
        <item x="339"/>
        <item x="1093"/>
        <item x="1015"/>
        <item x="1016"/>
        <item x="104"/>
        <item x="260"/>
        <item x="105"/>
        <item x="869"/>
        <item x="340"/>
        <item x="870"/>
        <item x="947"/>
        <item x="425"/>
        <item x="871"/>
        <item x="509"/>
        <item x="510"/>
        <item x="341"/>
        <item x="585"/>
        <item x="511"/>
        <item x="106"/>
        <item x="649"/>
        <item x="650"/>
        <item x="1094"/>
        <item x="342"/>
        <item x="803"/>
        <item x="651"/>
        <item x="586"/>
        <item x="872"/>
        <item x="873"/>
        <item x="587"/>
        <item x="1017"/>
        <item x="652"/>
        <item x="183"/>
        <item x="261"/>
        <item x="262"/>
        <item x="426"/>
        <item x="874"/>
        <item x="107"/>
        <item x="512"/>
        <item x="33"/>
        <item x="653"/>
        <item x="263"/>
        <item x="654"/>
        <item x="264"/>
        <item x="343"/>
        <item x="655"/>
        <item x="513"/>
        <item x="34"/>
        <item x="804"/>
        <item x="427"/>
        <item x="428"/>
        <item x="728"/>
        <item x="729"/>
        <item x="805"/>
        <item x="108"/>
        <item x="184"/>
        <item x="514"/>
        <item x="656"/>
        <item x="265"/>
        <item x="948"/>
        <item x="35"/>
        <item x="1018"/>
        <item x="730"/>
        <item x="515"/>
        <item x="1019"/>
        <item x="185"/>
        <item x="1095"/>
        <item x="266"/>
        <item x="875"/>
        <item x="267"/>
        <item x="1020"/>
        <item x="1021"/>
        <item x="657"/>
        <item x="109"/>
        <item x="344"/>
        <item x="806"/>
        <item x="186"/>
        <item x="876"/>
        <item x="807"/>
        <item x="877"/>
        <item x="429"/>
        <item x="731"/>
        <item x="732"/>
        <item x="345"/>
        <item x="430"/>
        <item x="268"/>
        <item x="1022"/>
        <item x="431"/>
        <item x="346"/>
        <item x="1096"/>
        <item x="588"/>
        <item x="878"/>
        <item x="1097"/>
        <item x="187"/>
        <item x="36"/>
        <item x="432"/>
        <item x="37"/>
        <item x="1023"/>
        <item x="188"/>
        <item x="658"/>
        <item x="433"/>
        <item x="110"/>
        <item x="347"/>
        <item x="269"/>
        <item x="516"/>
        <item x="348"/>
        <item x="189"/>
        <item x="190"/>
        <item x="1098"/>
        <item x="111"/>
        <item x="659"/>
        <item x="879"/>
        <item x="880"/>
        <item x="1099"/>
        <item x="434"/>
        <item x="112"/>
        <item x="733"/>
        <item x="435"/>
        <item x="589"/>
        <item x="191"/>
        <item x="734"/>
        <item x="192"/>
        <item x="193"/>
        <item x="1024"/>
        <item x="113"/>
        <item x="949"/>
        <item x="1025"/>
        <item x="1100"/>
        <item x="38"/>
        <item x="590"/>
        <item x="349"/>
        <item x="270"/>
        <item x="735"/>
        <item x="517"/>
        <item x="881"/>
        <item x="518"/>
        <item x="114"/>
        <item x="736"/>
        <item x="350"/>
        <item x="1026"/>
        <item x="436"/>
        <item x="271"/>
        <item x="808"/>
        <item x="39"/>
        <item x="519"/>
        <item x="1101"/>
        <item x="351"/>
        <item x="660"/>
        <item x="950"/>
        <item x="882"/>
        <item x="194"/>
        <item x="661"/>
        <item x="591"/>
        <item x="115"/>
        <item x="520"/>
        <item x="195"/>
        <item x="437"/>
        <item x="352"/>
        <item x="662"/>
        <item x="883"/>
        <item x="737"/>
        <item x="951"/>
        <item x="1027"/>
        <item x="116"/>
        <item x="117"/>
        <item x="663"/>
        <item x="353"/>
        <item x="952"/>
        <item x="664"/>
        <item x="1102"/>
        <item x="953"/>
        <item x="592"/>
        <item x="118"/>
        <item x="884"/>
        <item x="1103"/>
        <item x="1104"/>
        <item x="738"/>
        <item x="119"/>
        <item x="272"/>
        <item x="438"/>
        <item x="354"/>
        <item x="355"/>
        <item x="593"/>
        <item x="521"/>
        <item x="739"/>
        <item x="665"/>
        <item x="809"/>
        <item x="120"/>
        <item x="40"/>
        <item x="885"/>
        <item x="522"/>
        <item x="594"/>
        <item x="954"/>
        <item x="1105"/>
        <item x="439"/>
        <item x="740"/>
        <item x="741"/>
        <item x="41"/>
        <item x="886"/>
        <item x="273"/>
        <item x="42"/>
        <item x="595"/>
        <item x="196"/>
        <item x="440"/>
        <item x="1028"/>
        <item x="1106"/>
        <item x="955"/>
        <item x="596"/>
        <item x="197"/>
        <item x="810"/>
        <item x="811"/>
        <item x="887"/>
        <item x="812"/>
        <item x="43"/>
        <item x="198"/>
        <item x="813"/>
        <item x="199"/>
        <item x="523"/>
        <item x="597"/>
        <item x="44"/>
        <item x="956"/>
        <item x="1107"/>
        <item x="1029"/>
        <item x="666"/>
        <item x="441"/>
        <item x="1030"/>
        <item x="200"/>
        <item x="957"/>
        <item x="814"/>
        <item x="442"/>
        <item x="524"/>
        <item x="274"/>
        <item x="443"/>
        <item x="201"/>
        <item x="815"/>
        <item x="444"/>
        <item x="888"/>
        <item x="667"/>
        <item x="668"/>
        <item x="275"/>
        <item x="669"/>
        <item x="742"/>
        <item x="889"/>
        <item x="670"/>
        <item x="890"/>
        <item x="202"/>
        <item x="1108"/>
        <item x="671"/>
        <item x="203"/>
        <item x="891"/>
        <item x="204"/>
        <item x="45"/>
        <item x="672"/>
        <item x="525"/>
        <item x="673"/>
        <item x="445"/>
        <item x="743"/>
        <item x="446"/>
        <item x="1109"/>
        <item x="356"/>
        <item x="1110"/>
        <item x="1031"/>
        <item x="598"/>
        <item x="46"/>
        <item x="121"/>
        <item x="816"/>
        <item x="357"/>
        <item x="526"/>
        <item x="122"/>
        <item x="1032"/>
        <item x="276"/>
        <item x="958"/>
        <item x="599"/>
        <item x="447"/>
        <item x="1033"/>
        <item x="205"/>
        <item x="527"/>
        <item x="358"/>
        <item x="359"/>
        <item x="674"/>
        <item x="744"/>
        <item x="675"/>
        <item x="47"/>
        <item x="528"/>
        <item x="48"/>
        <item x="1034"/>
        <item x="817"/>
        <item x="892"/>
        <item x="893"/>
        <item x="1035"/>
        <item x="1111"/>
        <item x="49"/>
        <item x="818"/>
        <item x="894"/>
        <item x="1112"/>
        <item x="529"/>
        <item x="277"/>
        <item x="206"/>
        <item x="530"/>
        <item x="448"/>
        <item x="278"/>
        <item x="360"/>
        <item x="531"/>
        <item x="1036"/>
        <item x="600"/>
        <item x="123"/>
        <item x="676"/>
        <item x="361"/>
        <item x="677"/>
        <item x="532"/>
        <item x="745"/>
        <item x="124"/>
        <item x="819"/>
        <item x="820"/>
        <item x="959"/>
        <item x="279"/>
        <item x="601"/>
        <item x="602"/>
        <item x="821"/>
        <item x="746"/>
        <item x="280"/>
        <item x="678"/>
        <item x="1037"/>
        <item x="449"/>
        <item x="50"/>
        <item x="960"/>
        <item x="362"/>
        <item x="1038"/>
        <item x="1039"/>
        <item x="125"/>
        <item x="281"/>
        <item x="961"/>
        <item x="282"/>
        <item x="207"/>
        <item x="1113"/>
        <item x="895"/>
        <item x="283"/>
        <item x="1114"/>
        <item x="822"/>
        <item x="747"/>
        <item x="208"/>
        <item x="1040"/>
        <item x="1041"/>
        <item x="533"/>
        <item x="823"/>
        <item x="126"/>
        <item x="1042"/>
        <item x="284"/>
        <item x="679"/>
        <item x="450"/>
        <item x="363"/>
        <item x="603"/>
        <item x="209"/>
        <item x="127"/>
        <item x="680"/>
        <item x="51"/>
        <item x="1115"/>
        <item x="52"/>
        <item x="53"/>
        <item x="824"/>
        <item x="451"/>
        <item x="1116"/>
        <item x="1043"/>
        <item x="896"/>
        <item x="285"/>
        <item x="604"/>
        <item x="1044"/>
        <item x="748"/>
        <item x="825"/>
        <item x="962"/>
        <item x="1117"/>
        <item x="1118"/>
        <item x="826"/>
        <item x="963"/>
        <item x="128"/>
        <item x="54"/>
        <item x="964"/>
        <item x="749"/>
        <item x="681"/>
        <item x="55"/>
        <item x="682"/>
        <item x="683"/>
        <item x="897"/>
        <item x="452"/>
        <item x="750"/>
        <item x="453"/>
        <item x="965"/>
        <item x="56"/>
        <item x="210"/>
        <item x="1119"/>
        <item x="605"/>
        <item x="827"/>
        <item x="286"/>
        <item x="287"/>
        <item x="534"/>
        <item x="129"/>
        <item x="364"/>
        <item x="684"/>
        <item x="535"/>
        <item x="454"/>
        <item x="455"/>
        <item x="1120"/>
        <item x="898"/>
        <item x="966"/>
        <item x="1121"/>
        <item x="288"/>
        <item x="685"/>
        <item x="751"/>
        <item x="967"/>
        <item x="57"/>
        <item x="899"/>
        <item x="130"/>
        <item x="289"/>
        <item x="131"/>
        <item x="290"/>
        <item x="828"/>
        <item x="1045"/>
        <item x="1046"/>
        <item x="968"/>
        <item x="365"/>
        <item x="752"/>
        <item x="536"/>
        <item x="132"/>
        <item x="969"/>
        <item x="1047"/>
        <item x="211"/>
        <item x="900"/>
        <item x="970"/>
        <item x="366"/>
        <item x="537"/>
        <item x="133"/>
        <item x="134"/>
        <item x="1048"/>
        <item x="135"/>
        <item x="753"/>
        <item x="829"/>
        <item x="367"/>
        <item x="901"/>
        <item x="291"/>
        <item x="606"/>
        <item x="607"/>
        <item x="971"/>
        <item x="368"/>
        <item x="754"/>
        <item x="830"/>
        <item x="136"/>
        <item x="137"/>
        <item x="212"/>
        <item x="972"/>
        <item x="369"/>
        <item x="538"/>
        <item x="831"/>
        <item x="832"/>
        <item x="456"/>
        <item x="58"/>
        <item x="292"/>
        <item x="755"/>
        <item x="539"/>
        <item x="540"/>
        <item x="138"/>
        <item x="686"/>
        <item x="973"/>
        <item x="59"/>
        <item x="833"/>
        <item x="974"/>
        <item x="213"/>
        <item x="370"/>
        <item x="214"/>
        <item x="293"/>
        <item x="756"/>
        <item x="215"/>
        <item x="541"/>
        <item x="834"/>
        <item x="1122"/>
        <item x="902"/>
        <item x="542"/>
        <item x="687"/>
        <item x="608"/>
        <item x="139"/>
        <item x="140"/>
        <item x="457"/>
        <item x="216"/>
        <item x="688"/>
        <item x="371"/>
        <item x="294"/>
        <item x="295"/>
        <item x="217"/>
        <item x="458"/>
        <item x="218"/>
        <item x="903"/>
        <item x="1123"/>
        <item x="141"/>
        <item x="689"/>
        <item x="372"/>
        <item x="690"/>
        <item x="543"/>
        <item x="757"/>
        <item x="975"/>
        <item x="758"/>
        <item x="219"/>
        <item x="220"/>
        <item x="691"/>
        <item x="759"/>
        <item x="1124"/>
        <item x="296"/>
        <item x="544"/>
        <item x="459"/>
        <item x="976"/>
        <item x="609"/>
        <item x="1049"/>
        <item x="545"/>
        <item x="221"/>
        <item x="373"/>
        <item x="977"/>
        <item x="374"/>
        <item x="978"/>
        <item x="142"/>
        <item x="1050"/>
        <item x="760"/>
        <item x="1125"/>
        <item x="297"/>
        <item x="143"/>
        <item x="904"/>
        <item x="610"/>
        <item x="298"/>
        <item x="761"/>
        <item x="546"/>
        <item x="1051"/>
        <item x="547"/>
        <item x="299"/>
        <item x="835"/>
        <item x="300"/>
        <item x="836"/>
        <item x="375"/>
        <item x="60"/>
        <item x="144"/>
        <item x="376"/>
        <item x="145"/>
        <item x="301"/>
        <item x="837"/>
        <item x="302"/>
        <item x="1052"/>
        <item x="460"/>
        <item x="762"/>
        <item x="461"/>
        <item x="548"/>
        <item x="462"/>
        <item x="763"/>
        <item x="611"/>
        <item x="1053"/>
        <item x="377"/>
        <item x="1126"/>
        <item x="979"/>
        <item x="222"/>
        <item x="1054"/>
        <item x="1127"/>
        <item x="223"/>
        <item x="146"/>
        <item x="378"/>
        <item x="1055"/>
        <item x="549"/>
        <item x="838"/>
        <item x="612"/>
        <item x="839"/>
        <item x="463"/>
        <item x="147"/>
        <item x="148"/>
        <item x="980"/>
        <item x="1128"/>
        <item x="905"/>
        <item x="224"/>
        <item x="61"/>
        <item x="379"/>
        <item x="550"/>
        <item x="62"/>
        <item x="464"/>
        <item x="692"/>
        <item x="906"/>
        <item x="303"/>
        <item x="304"/>
        <item x="693"/>
        <item x="380"/>
        <item x="694"/>
        <item x="465"/>
        <item x="63"/>
        <item x="466"/>
        <item x="981"/>
        <item x="225"/>
        <item x="226"/>
        <item x="840"/>
        <item x="64"/>
        <item x="1129"/>
        <item x="305"/>
        <item x="149"/>
        <item x="1130"/>
        <item x="381"/>
        <item x="467"/>
        <item x="468"/>
        <item x="764"/>
        <item x="695"/>
        <item x="551"/>
        <item x="907"/>
        <item x="908"/>
        <item x="382"/>
        <item x="765"/>
        <item x="552"/>
        <item x="982"/>
        <item x="1056"/>
        <item x="613"/>
        <item x="469"/>
        <item x="65"/>
        <item x="1131"/>
        <item x="1057"/>
        <item x="614"/>
        <item x="1058"/>
        <item x="150"/>
        <item x="553"/>
        <item x="1059"/>
        <item x="1132"/>
        <item x="383"/>
        <item x="66"/>
        <item x="766"/>
        <item x="615"/>
        <item x="696"/>
        <item x="151"/>
        <item x="909"/>
        <item x="1133"/>
        <item x="616"/>
        <item x="767"/>
        <item x="1060"/>
        <item x="697"/>
        <item x="983"/>
        <item x="1134"/>
        <item x="698"/>
        <item x="306"/>
        <item x="1135"/>
        <item x="67"/>
        <item x="910"/>
        <item x="384"/>
        <item x="617"/>
        <item x="768"/>
        <item x="152"/>
        <item x="841"/>
        <item x="842"/>
        <item t="default"/>
      </items>
    </pivotField>
    <pivotField name="Requirement_text" axis="axisRow" compact="0" outline="0" multipleItemSelectionAllowed="1" showAll="0" sortType="ascending">
      <items count="355">
        <item x="157"/>
        <item x="226"/>
        <item x="49"/>
        <item x="276"/>
        <item x="114"/>
        <item x="156"/>
        <item x="253"/>
        <item x="197"/>
        <item x="309"/>
        <item x="252"/>
        <item x="277"/>
        <item x="48"/>
        <item x="104"/>
        <item x="109"/>
        <item x="110"/>
        <item x="326"/>
        <item x="160"/>
        <item x="62"/>
        <item x="50"/>
        <item x="344"/>
        <item x="61"/>
        <item x="108"/>
        <item x="105"/>
        <item x="45"/>
        <item x="106"/>
        <item x="250"/>
        <item x="254"/>
        <item x="96"/>
        <item x="325"/>
        <item x="123"/>
        <item x="100"/>
        <item x="284"/>
        <item x="338"/>
        <item x="280"/>
        <item x="205"/>
        <item x="101"/>
        <item x="92"/>
        <item x="292"/>
        <item x="245"/>
        <item x="290"/>
        <item x="278"/>
        <item x="131"/>
        <item x="69"/>
        <item x="314"/>
        <item x="305"/>
        <item x="328"/>
        <item x="239"/>
        <item x="321"/>
        <item x="350"/>
        <item x="121"/>
        <item x="282"/>
        <item x="200"/>
        <item x="11"/>
        <item x="247"/>
        <item x="216"/>
        <item x="318"/>
        <item x="20"/>
        <item x="77"/>
        <item x="127"/>
        <item x="190"/>
        <item x="316"/>
        <item x="230"/>
        <item x="151"/>
        <item x="214"/>
        <item x="32"/>
        <item x="79"/>
        <item x="334"/>
        <item x="272"/>
        <item x="235"/>
        <item x="315"/>
        <item x="14"/>
        <item x="129"/>
        <item x="174"/>
        <item x="166"/>
        <item x="135"/>
        <item x="91"/>
        <item x="18"/>
        <item x="142"/>
        <item x="163"/>
        <item x="39"/>
        <item x="146"/>
        <item x="340"/>
        <item x="138"/>
        <item x="68"/>
        <item x="58"/>
        <item x="289"/>
        <item x="66"/>
        <item x="304"/>
        <item x="269"/>
        <item x="170"/>
        <item x="9"/>
        <item x="90"/>
        <item x="184"/>
        <item x="261"/>
        <item x="95"/>
        <item x="161"/>
        <item x="6"/>
        <item x="165"/>
        <item x="237"/>
        <item x="140"/>
        <item x="154"/>
        <item x="171"/>
        <item x="71"/>
        <item x="76"/>
        <item x="233"/>
        <item x="176"/>
        <item x="41"/>
        <item x="293"/>
        <item x="236"/>
        <item x="169"/>
        <item x="153"/>
        <item x="313"/>
        <item x="339"/>
        <item x="22"/>
        <item x="300"/>
        <item x="219"/>
        <item x="224"/>
        <item x="353"/>
        <item x="260"/>
        <item x="150"/>
        <item x="149"/>
        <item x="218"/>
        <item x="15"/>
        <item x="188"/>
        <item x="185"/>
        <item x="80"/>
        <item x="322"/>
        <item x="182"/>
        <item x="265"/>
        <item x="7"/>
        <item x="215"/>
        <item x="266"/>
        <item x="223"/>
        <item x="241"/>
        <item x="273"/>
        <item x="240"/>
        <item x="139"/>
        <item x="255"/>
        <item x="183"/>
        <item x="209"/>
        <item x="83"/>
        <item x="203"/>
        <item x="42"/>
        <item x="73"/>
        <item x="164"/>
        <item x="349"/>
        <item x="23"/>
        <item x="75"/>
        <item x="225"/>
        <item x="341"/>
        <item x="337"/>
        <item x="329"/>
        <item x="213"/>
        <item x="212"/>
        <item x="244"/>
        <item x="173"/>
        <item x="208"/>
        <item x="206"/>
        <item x="288"/>
        <item x="172"/>
        <item x="295"/>
        <item x="1"/>
        <item x="8"/>
        <item x="220"/>
        <item x="286"/>
        <item x="88"/>
        <item x="86"/>
        <item x="335"/>
        <item x="70"/>
        <item x="82"/>
        <item x="84"/>
        <item x="137"/>
        <item x="181"/>
        <item x="152"/>
        <item x="38"/>
        <item x="103"/>
        <item x="294"/>
        <item x="128"/>
        <item x="81"/>
        <item x="256"/>
        <item x="141"/>
        <item x="222"/>
        <item x="89"/>
        <item x="311"/>
        <item x="342"/>
        <item x="249"/>
        <item x="271"/>
        <item x="210"/>
        <item x="94"/>
        <item x="348"/>
        <item x="124"/>
        <item x="93"/>
        <item x="232"/>
        <item x="333"/>
        <item x="331"/>
        <item x="85"/>
        <item x="40"/>
        <item x="345"/>
        <item x="194"/>
        <item x="343"/>
        <item x="117"/>
        <item x="113"/>
        <item x="118"/>
        <item x="196"/>
        <item x="54"/>
        <item x="55"/>
        <item x="227"/>
        <item x="119"/>
        <item x="112"/>
        <item x="57"/>
        <item x="238"/>
        <item x="297"/>
        <item x="136"/>
        <item x="33"/>
        <item x="12"/>
        <item x="132"/>
        <item x="168"/>
        <item x="187"/>
        <item x="126"/>
        <item x="285"/>
        <item x="65"/>
        <item x="10"/>
        <item x="332"/>
        <item x="98"/>
        <item x="324"/>
        <item x="162"/>
        <item x="189"/>
        <item x="303"/>
        <item x="34"/>
        <item x="178"/>
        <item x="243"/>
        <item x="264"/>
        <item x="204"/>
        <item x="211"/>
        <item x="175"/>
        <item x="99"/>
        <item x="263"/>
        <item x="148"/>
        <item x="234"/>
        <item x="17"/>
        <item x="312"/>
        <item x="319"/>
        <item x="27"/>
        <item x="310"/>
        <item x="74"/>
        <item x="346"/>
        <item x="268"/>
        <item x="43"/>
        <item x="2"/>
        <item x="351"/>
        <item x="229"/>
        <item x="246"/>
        <item x="97"/>
        <item x="5"/>
        <item x="64"/>
        <item x="4"/>
        <item x="274"/>
        <item x="267"/>
        <item x="143"/>
        <item x="37"/>
        <item x="242"/>
        <item x="28"/>
        <item x="336"/>
        <item x="30"/>
        <item x="299"/>
        <item x="133"/>
        <item x="258"/>
        <item x="53"/>
        <item x="317"/>
        <item x="308"/>
        <item x="291"/>
        <item x="307"/>
        <item x="56"/>
        <item x="46"/>
        <item x="107"/>
        <item x="306"/>
        <item x="275"/>
        <item x="193"/>
        <item x="60"/>
        <item x="63"/>
        <item x="228"/>
        <item x="59"/>
        <item x="51"/>
        <item x="155"/>
        <item x="47"/>
        <item x="192"/>
        <item x="191"/>
        <item x="111"/>
        <item x="52"/>
        <item x="195"/>
        <item x="158"/>
        <item x="115"/>
        <item x="159"/>
        <item x="116"/>
        <item x="251"/>
        <item x="347"/>
        <item x="287"/>
        <item x="327"/>
        <item x="207"/>
        <item x="259"/>
        <item x="35"/>
        <item x="102"/>
        <item x="262"/>
        <item x="217"/>
        <item x="296"/>
        <item x="3"/>
        <item x="283"/>
        <item x="199"/>
        <item x="145"/>
        <item x="177"/>
        <item x="179"/>
        <item x="330"/>
        <item x="125"/>
        <item x="122"/>
        <item x="44"/>
        <item x="19"/>
        <item x="72"/>
        <item x="201"/>
        <item x="301"/>
        <item x="147"/>
        <item x="16"/>
        <item x="67"/>
        <item x="78"/>
        <item x="202"/>
        <item x="21"/>
        <item x="279"/>
        <item x="323"/>
        <item x="248"/>
        <item x="257"/>
        <item x="231"/>
        <item x="186"/>
        <item x="221"/>
        <item x="36"/>
        <item x="31"/>
        <item x="281"/>
        <item x="26"/>
        <item x="0"/>
        <item x="320"/>
        <item x="180"/>
        <item x="198"/>
        <item x="298"/>
        <item x="13"/>
        <item x="144"/>
        <item x="270"/>
        <item x="134"/>
        <item x="120"/>
        <item x="167"/>
        <item x="87"/>
        <item x="130"/>
        <item x="25"/>
        <item x="302"/>
        <item x="29"/>
        <item x="352"/>
        <item x="24"/>
        <item t="default"/>
      </items>
    </pivotField>
    <pivotField name="Project" compact="0" outline="0" multipleItemSelectionAllowed="1" showAll="0"/>
    <pivotField name="Group_id (Project_Name)" axis="axisRow" compact="0" outline="0" multipleItemSelectionAllowed="1" showAll="0" sortType="ascending">
      <items count="16">
        <item sd="0" x="0"/>
        <item sd="0" x="1"/>
        <item sd="0" x="2"/>
        <item sd="0" x="3"/>
        <item sd="0" x="4"/>
        <item sd="0" x="5"/>
        <item sd="0" x="6"/>
        <item sd="0" x="7"/>
        <item sd="0" x="8"/>
        <item sd="0" x="9"/>
        <item sd="0" x="10"/>
        <item sd="0" x="11"/>
        <item sd="0" x="12"/>
        <item sd="0" x="13"/>
        <item sd="0" x="14"/>
        <item t="default"/>
      </items>
    </pivotField>
    <pivotField name="Inconsistency" compact="0" outline="0" multipleItemSelectionAllowed="1" showAll="0"/>
    <pivotField name="Inconsistency_explanation" compact="0" outline="0" multipleItemSelectionAllowed="1" showAll="0"/>
  </pivotFields>
  <rowFields count="3">
    <field x="3"/>
    <field x="1"/>
    <field x="0"/>
  </rowFields>
  <rowItems count="16">
    <i>
      <x/>
    </i>
    <i>
      <x v="1"/>
    </i>
    <i>
      <x v="2"/>
    </i>
    <i>
      <x v="3"/>
    </i>
    <i>
      <x v="4"/>
    </i>
    <i>
      <x v="5"/>
    </i>
    <i>
      <x v="6"/>
    </i>
    <i>
      <x v="7"/>
    </i>
    <i>
      <x v="8"/>
    </i>
    <i>
      <x v="9"/>
    </i>
    <i>
      <x v="10"/>
    </i>
    <i>
      <x v="11"/>
    </i>
    <i>
      <x v="12"/>
    </i>
    <i>
      <x v="13"/>
    </i>
    <i>
      <x v="14"/>
    </i>
    <i t="grand">
      <x/>
    </i>
  </rowItems>
  <colItems count="1">
    <i/>
  </colItems>
  <dataFields count="1">
    <dataField name="COUNTA of Req_id" fld="0" subtotal="count" baseField="0"/>
  </dataFields>
  <pivotTableStyleInfo showRowHeaders="1" showColHeaders="1" showRowStripes="0" showColStripes="0" showLastColumn="1"/>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2146"/>
  <sheetViews>
    <sheetView topLeftCell="A349" workbookViewId="0"/>
  </sheetViews>
  <sheetFormatPr defaultColWidth="12.61328125" defaultRowHeight="15.75" customHeight="1" x14ac:dyDescent="0.3"/>
  <cols>
    <col min="1" max="1" width="46.15234375" customWidth="1"/>
    <col min="2" max="2" width="58.15234375" customWidth="1"/>
    <col min="3" max="3" width="29.23046875" customWidth="1"/>
    <col min="5" max="5" width="48.15234375" customWidth="1"/>
    <col min="6" max="6" width="36.23046875" customWidth="1"/>
  </cols>
  <sheetData>
    <row r="1" spans="1:26" ht="15.75" customHeight="1" x14ac:dyDescent="0.3">
      <c r="A1" s="1" t="s">
        <v>0</v>
      </c>
      <c r="B1" s="1" t="s">
        <v>1</v>
      </c>
      <c r="C1" s="1" t="s">
        <v>2</v>
      </c>
      <c r="D1" s="1"/>
      <c r="E1" s="1"/>
      <c r="F1" s="1" t="s">
        <v>3</v>
      </c>
      <c r="G1" s="2"/>
      <c r="H1" s="2"/>
      <c r="I1" s="2"/>
      <c r="J1" s="2"/>
      <c r="K1" s="2"/>
      <c r="L1" s="2"/>
      <c r="M1" s="2"/>
      <c r="N1" s="2"/>
      <c r="O1" s="2"/>
      <c r="P1" s="2"/>
      <c r="Q1" s="2"/>
      <c r="R1" s="2"/>
      <c r="S1" s="2"/>
      <c r="T1" s="2"/>
      <c r="U1" s="2"/>
      <c r="V1" s="2"/>
      <c r="W1" s="2"/>
      <c r="X1" s="2"/>
      <c r="Y1" s="2"/>
      <c r="Z1" s="2"/>
    </row>
    <row r="2" spans="1:26" ht="15.75" customHeight="1" x14ac:dyDescent="0.4">
      <c r="A2" s="3" t="s">
        <v>4</v>
      </c>
      <c r="B2" s="4" t="s">
        <v>5</v>
      </c>
      <c r="C2" s="4" t="s">
        <v>6</v>
      </c>
    </row>
    <row r="3" spans="1:26" ht="15.75" customHeight="1" x14ac:dyDescent="0.4">
      <c r="A3" s="3" t="s">
        <v>7</v>
      </c>
      <c r="B3" s="4" t="s">
        <v>8</v>
      </c>
      <c r="C3" s="4" t="s">
        <v>9</v>
      </c>
    </row>
    <row r="4" spans="1:26" ht="15.75" customHeight="1" x14ac:dyDescent="0.4">
      <c r="A4" s="3" t="s">
        <v>10</v>
      </c>
      <c r="B4" s="4" t="s">
        <v>11</v>
      </c>
      <c r="C4" s="4" t="s">
        <v>12</v>
      </c>
    </row>
    <row r="5" spans="1:26" ht="15.75" customHeight="1" x14ac:dyDescent="0.4">
      <c r="A5" s="3" t="s">
        <v>13</v>
      </c>
      <c r="B5" s="4" t="s">
        <v>14</v>
      </c>
      <c r="C5" s="4" t="s">
        <v>15</v>
      </c>
    </row>
    <row r="6" spans="1:26" ht="15.75" customHeight="1" x14ac:dyDescent="0.4">
      <c r="A6" s="3" t="s">
        <v>16</v>
      </c>
      <c r="B6" s="4" t="s">
        <v>17</v>
      </c>
      <c r="C6" s="4" t="s">
        <v>18</v>
      </c>
    </row>
    <row r="7" spans="1:26" ht="15.75" customHeight="1" x14ac:dyDescent="0.4">
      <c r="A7" s="3" t="s">
        <v>19</v>
      </c>
      <c r="B7" s="4" t="s">
        <v>20</v>
      </c>
      <c r="C7" s="4" t="s">
        <v>21</v>
      </c>
    </row>
    <row r="8" spans="1:26" ht="15.75" customHeight="1" x14ac:dyDescent="0.4">
      <c r="A8" s="3" t="s">
        <v>22</v>
      </c>
      <c r="B8" s="4" t="s">
        <v>23</v>
      </c>
      <c r="C8" s="4" t="s">
        <v>24</v>
      </c>
    </row>
    <row r="9" spans="1:26" ht="15.75" customHeight="1" x14ac:dyDescent="0.4">
      <c r="A9" s="3" t="s">
        <v>25</v>
      </c>
      <c r="B9" s="4" t="s">
        <v>26</v>
      </c>
      <c r="C9" s="4" t="s">
        <v>15</v>
      </c>
    </row>
    <row r="10" spans="1:26" ht="15.75" customHeight="1" x14ac:dyDescent="0.4">
      <c r="A10" s="3" t="s">
        <v>27</v>
      </c>
      <c r="B10" s="4" t="s">
        <v>28</v>
      </c>
      <c r="C10" s="4" t="s">
        <v>29</v>
      </c>
    </row>
    <row r="11" spans="1:26" ht="15.75" customHeight="1" x14ac:dyDescent="0.4">
      <c r="A11" s="3" t="s">
        <v>30</v>
      </c>
      <c r="B11" s="4" t="s">
        <v>31</v>
      </c>
      <c r="C11" s="4" t="s">
        <v>12</v>
      </c>
    </row>
    <row r="12" spans="1:26" ht="15.75" customHeight="1" x14ac:dyDescent="0.4">
      <c r="A12" s="3" t="s">
        <v>32</v>
      </c>
      <c r="B12" s="4" t="s">
        <v>33</v>
      </c>
      <c r="C12" s="4" t="s">
        <v>34</v>
      </c>
    </row>
    <row r="13" spans="1:26" ht="15.75" customHeight="1" x14ac:dyDescent="0.4">
      <c r="A13" s="3" t="s">
        <v>35</v>
      </c>
      <c r="B13" s="4" t="s">
        <v>36</v>
      </c>
      <c r="C13" s="4" t="s">
        <v>21</v>
      </c>
    </row>
    <row r="14" spans="1:26" ht="15.75" customHeight="1" x14ac:dyDescent="0.4">
      <c r="A14" s="3" t="s">
        <v>37</v>
      </c>
      <c r="B14" s="4" t="s">
        <v>38</v>
      </c>
      <c r="C14" s="4" t="s">
        <v>12</v>
      </c>
    </row>
    <row r="15" spans="1:26" ht="15.75" customHeight="1" x14ac:dyDescent="0.4">
      <c r="A15" s="3" t="s">
        <v>39</v>
      </c>
      <c r="B15" s="4" t="s">
        <v>40</v>
      </c>
      <c r="C15" s="4" t="s">
        <v>15</v>
      </c>
    </row>
    <row r="16" spans="1:26" ht="15.75" customHeight="1" x14ac:dyDescent="0.4">
      <c r="A16" s="3" t="s">
        <v>41</v>
      </c>
      <c r="B16" s="4" t="s">
        <v>42</v>
      </c>
      <c r="C16" s="4" t="s">
        <v>34</v>
      </c>
    </row>
    <row r="17" spans="1:3" ht="15.75" customHeight="1" x14ac:dyDescent="0.4">
      <c r="A17" s="3" t="s">
        <v>43</v>
      </c>
      <c r="B17" s="4" t="s">
        <v>44</v>
      </c>
      <c r="C17" s="4" t="s">
        <v>15</v>
      </c>
    </row>
    <row r="18" spans="1:3" ht="15.75" customHeight="1" x14ac:dyDescent="0.4">
      <c r="A18" s="3" t="s">
        <v>45</v>
      </c>
      <c r="B18" s="4" t="s">
        <v>46</v>
      </c>
      <c r="C18" s="4" t="s">
        <v>47</v>
      </c>
    </row>
    <row r="19" spans="1:3" ht="15.75" customHeight="1" x14ac:dyDescent="0.4">
      <c r="A19" s="3" t="s">
        <v>48</v>
      </c>
      <c r="B19" s="4" t="s">
        <v>49</v>
      </c>
      <c r="C19" s="4" t="s">
        <v>18</v>
      </c>
    </row>
    <row r="20" spans="1:3" ht="15.75" customHeight="1" x14ac:dyDescent="0.4">
      <c r="A20" s="3" t="s">
        <v>50</v>
      </c>
      <c r="B20" s="4" t="s">
        <v>40</v>
      </c>
      <c r="C20" s="4" t="s">
        <v>34</v>
      </c>
    </row>
    <row r="21" spans="1:3" ht="15.75" customHeight="1" x14ac:dyDescent="0.4">
      <c r="A21" s="3" t="s">
        <v>51</v>
      </c>
      <c r="B21" s="4" t="s">
        <v>46</v>
      </c>
      <c r="C21" s="4" t="s">
        <v>52</v>
      </c>
    </row>
    <row r="22" spans="1:3" ht="15.75" customHeight="1" x14ac:dyDescent="0.4">
      <c r="A22" s="3" t="s">
        <v>53</v>
      </c>
      <c r="B22" s="4" t="s">
        <v>54</v>
      </c>
      <c r="C22" s="4" t="s">
        <v>55</v>
      </c>
    </row>
    <row r="23" spans="1:3" ht="15.75" customHeight="1" x14ac:dyDescent="0.4">
      <c r="A23" s="3" t="s">
        <v>56</v>
      </c>
      <c r="B23" s="4" t="s">
        <v>57</v>
      </c>
      <c r="C23" s="4" t="s">
        <v>58</v>
      </c>
    </row>
    <row r="24" spans="1:3" ht="15.75" customHeight="1" x14ac:dyDescent="0.4">
      <c r="A24" s="3" t="s">
        <v>59</v>
      </c>
      <c r="B24" s="4" t="s">
        <v>60</v>
      </c>
      <c r="C24" s="4" t="s">
        <v>12</v>
      </c>
    </row>
    <row r="25" spans="1:3" ht="15.75" customHeight="1" x14ac:dyDescent="0.4">
      <c r="A25" s="3" t="s">
        <v>61</v>
      </c>
      <c r="B25" s="4" t="s">
        <v>62</v>
      </c>
      <c r="C25" s="4" t="s">
        <v>9</v>
      </c>
    </row>
    <row r="26" spans="1:3" ht="15.75" customHeight="1" x14ac:dyDescent="0.4">
      <c r="A26" s="3" t="s">
        <v>63</v>
      </c>
      <c r="B26" s="4" t="s">
        <v>64</v>
      </c>
      <c r="C26" s="4" t="s">
        <v>65</v>
      </c>
    </row>
    <row r="27" spans="1:3" ht="15.75" customHeight="1" x14ac:dyDescent="0.4">
      <c r="A27" s="3" t="s">
        <v>66</v>
      </c>
      <c r="B27" s="4" t="s">
        <v>67</v>
      </c>
      <c r="C27" s="4" t="s">
        <v>68</v>
      </c>
    </row>
    <row r="28" spans="1:3" ht="15.75" customHeight="1" x14ac:dyDescent="0.4">
      <c r="A28" s="3" t="s">
        <v>69</v>
      </c>
      <c r="B28" s="4" t="s">
        <v>70</v>
      </c>
      <c r="C28" s="4" t="s">
        <v>29</v>
      </c>
    </row>
    <row r="29" spans="1:3" ht="15.75" customHeight="1" x14ac:dyDescent="0.4">
      <c r="A29" s="3" t="s">
        <v>71</v>
      </c>
      <c r="B29" s="4" t="s">
        <v>72</v>
      </c>
      <c r="C29" s="4" t="s">
        <v>18</v>
      </c>
    </row>
    <row r="30" spans="1:3" ht="15.75" customHeight="1" x14ac:dyDescent="0.4">
      <c r="A30" s="3" t="s">
        <v>73</v>
      </c>
      <c r="B30" s="4" t="s">
        <v>74</v>
      </c>
      <c r="C30" s="4" t="s">
        <v>65</v>
      </c>
    </row>
    <row r="31" spans="1:3" ht="15.75" customHeight="1" x14ac:dyDescent="0.4">
      <c r="A31" s="3" t="s">
        <v>75</v>
      </c>
      <c r="B31" s="4" t="s">
        <v>76</v>
      </c>
      <c r="C31" s="4" t="s">
        <v>65</v>
      </c>
    </row>
    <row r="32" spans="1:3" ht="15.75" customHeight="1" x14ac:dyDescent="0.4">
      <c r="A32" s="3" t="s">
        <v>77</v>
      </c>
      <c r="B32" s="4" t="s">
        <v>78</v>
      </c>
      <c r="C32" s="4" t="s">
        <v>55</v>
      </c>
    </row>
    <row r="33" spans="1:3" ht="15.75" customHeight="1" x14ac:dyDescent="0.4">
      <c r="A33" s="3" t="s">
        <v>79</v>
      </c>
      <c r="B33" s="4" t="s">
        <v>80</v>
      </c>
      <c r="C33" s="4" t="s">
        <v>55</v>
      </c>
    </row>
    <row r="34" spans="1:3" ht="15.75" customHeight="1" x14ac:dyDescent="0.4">
      <c r="A34" s="3" t="s">
        <v>81</v>
      </c>
      <c r="B34" s="4" t="s">
        <v>82</v>
      </c>
      <c r="C34" s="4" t="s">
        <v>68</v>
      </c>
    </row>
    <row r="35" spans="1:3" ht="15.75" customHeight="1" x14ac:dyDescent="0.4">
      <c r="A35" s="3" t="s">
        <v>83</v>
      </c>
      <c r="B35" s="4" t="s">
        <v>84</v>
      </c>
      <c r="C35" s="4" t="s">
        <v>9</v>
      </c>
    </row>
    <row r="36" spans="1:3" ht="15.75" customHeight="1" x14ac:dyDescent="0.4">
      <c r="A36" s="3" t="s">
        <v>85</v>
      </c>
      <c r="B36" s="4" t="s">
        <v>86</v>
      </c>
      <c r="C36" s="4" t="s">
        <v>24</v>
      </c>
    </row>
    <row r="37" spans="1:3" ht="14.6" x14ac:dyDescent="0.4">
      <c r="A37" s="3" t="s">
        <v>87</v>
      </c>
      <c r="B37" s="4" t="s">
        <v>88</v>
      </c>
      <c r="C37" s="4" t="s">
        <v>47</v>
      </c>
    </row>
    <row r="38" spans="1:3" ht="14.6" x14ac:dyDescent="0.4">
      <c r="A38" s="3" t="s">
        <v>89</v>
      </c>
      <c r="B38" s="4" t="s">
        <v>90</v>
      </c>
      <c r="C38" s="4" t="s">
        <v>65</v>
      </c>
    </row>
    <row r="39" spans="1:3" ht="14.6" x14ac:dyDescent="0.4">
      <c r="A39" s="3" t="s">
        <v>91</v>
      </c>
      <c r="B39" s="4" t="s">
        <v>57</v>
      </c>
      <c r="C39" s="4" t="s">
        <v>15</v>
      </c>
    </row>
    <row r="40" spans="1:3" ht="14.6" x14ac:dyDescent="0.4">
      <c r="A40" s="3" t="s">
        <v>92</v>
      </c>
      <c r="B40" s="4" t="s">
        <v>93</v>
      </c>
      <c r="C40" s="4" t="s">
        <v>18</v>
      </c>
    </row>
    <row r="41" spans="1:3" ht="14.6" x14ac:dyDescent="0.4">
      <c r="A41" s="3" t="s">
        <v>94</v>
      </c>
      <c r="B41" s="4" t="s">
        <v>95</v>
      </c>
      <c r="C41" s="4" t="s">
        <v>65</v>
      </c>
    </row>
    <row r="42" spans="1:3" ht="14.6" x14ac:dyDescent="0.4">
      <c r="A42" s="3" t="s">
        <v>96</v>
      </c>
      <c r="B42" s="4" t="s">
        <v>8</v>
      </c>
      <c r="C42" s="4" t="s">
        <v>29</v>
      </c>
    </row>
    <row r="43" spans="1:3" ht="14.6" x14ac:dyDescent="0.4">
      <c r="A43" s="3" t="s">
        <v>97</v>
      </c>
      <c r="B43" s="4" t="s">
        <v>98</v>
      </c>
      <c r="C43" s="4" t="s">
        <v>15</v>
      </c>
    </row>
    <row r="44" spans="1:3" ht="14.6" x14ac:dyDescent="0.4">
      <c r="A44" s="3" t="s">
        <v>99</v>
      </c>
      <c r="B44" s="4" t="s">
        <v>98</v>
      </c>
      <c r="C44" s="4" t="s">
        <v>6</v>
      </c>
    </row>
    <row r="45" spans="1:3" ht="14.6" x14ac:dyDescent="0.4">
      <c r="A45" s="3" t="s">
        <v>100</v>
      </c>
      <c r="B45" s="4" t="s">
        <v>101</v>
      </c>
      <c r="C45" s="4" t="s">
        <v>29</v>
      </c>
    </row>
    <row r="46" spans="1:3" ht="14.6" x14ac:dyDescent="0.4">
      <c r="A46" s="3" t="s">
        <v>102</v>
      </c>
      <c r="B46" s="4" t="s">
        <v>103</v>
      </c>
      <c r="C46" s="4" t="s">
        <v>52</v>
      </c>
    </row>
    <row r="47" spans="1:3" ht="14.6" x14ac:dyDescent="0.4">
      <c r="A47" s="3" t="s">
        <v>104</v>
      </c>
      <c r="B47" s="4" t="s">
        <v>105</v>
      </c>
      <c r="C47" s="4" t="s">
        <v>47</v>
      </c>
    </row>
    <row r="48" spans="1:3" ht="14.6" x14ac:dyDescent="0.4">
      <c r="A48" s="3" t="s">
        <v>106</v>
      </c>
      <c r="B48" s="4" t="s">
        <v>82</v>
      </c>
      <c r="C48" s="4" t="s">
        <v>34</v>
      </c>
    </row>
    <row r="49" spans="1:3" ht="14.6" x14ac:dyDescent="0.4">
      <c r="A49" s="3" t="s">
        <v>107</v>
      </c>
      <c r="B49" s="4" t="s">
        <v>108</v>
      </c>
      <c r="C49" s="4" t="s">
        <v>47</v>
      </c>
    </row>
    <row r="50" spans="1:3" ht="14.6" x14ac:dyDescent="0.4">
      <c r="A50" s="3" t="s">
        <v>109</v>
      </c>
      <c r="B50" s="4" t="s">
        <v>110</v>
      </c>
      <c r="C50" s="4" t="s">
        <v>65</v>
      </c>
    </row>
    <row r="51" spans="1:3" ht="14.6" x14ac:dyDescent="0.4">
      <c r="A51" s="3" t="s">
        <v>111</v>
      </c>
      <c r="B51" s="4" t="s">
        <v>112</v>
      </c>
      <c r="C51" s="4" t="s">
        <v>58</v>
      </c>
    </row>
    <row r="52" spans="1:3" ht="14.6" x14ac:dyDescent="0.4">
      <c r="A52" s="3" t="s">
        <v>113</v>
      </c>
      <c r="B52" s="4" t="s">
        <v>114</v>
      </c>
      <c r="C52" s="4" t="s">
        <v>18</v>
      </c>
    </row>
    <row r="53" spans="1:3" ht="14.6" x14ac:dyDescent="0.4">
      <c r="A53" s="3" t="s">
        <v>115</v>
      </c>
      <c r="B53" s="4" t="s">
        <v>116</v>
      </c>
      <c r="C53" s="4" t="s">
        <v>55</v>
      </c>
    </row>
    <row r="54" spans="1:3" ht="14.6" x14ac:dyDescent="0.4">
      <c r="A54" s="3" t="s">
        <v>117</v>
      </c>
      <c r="B54" s="4" t="s">
        <v>118</v>
      </c>
      <c r="C54" s="4" t="s">
        <v>65</v>
      </c>
    </row>
    <row r="55" spans="1:3" ht="14.6" x14ac:dyDescent="0.4">
      <c r="A55" s="3" t="s">
        <v>119</v>
      </c>
      <c r="B55" s="4" t="s">
        <v>120</v>
      </c>
      <c r="C55" s="4" t="s">
        <v>68</v>
      </c>
    </row>
    <row r="56" spans="1:3" ht="14.6" x14ac:dyDescent="0.4">
      <c r="A56" s="3" t="s">
        <v>121</v>
      </c>
      <c r="B56" s="4" t="s">
        <v>122</v>
      </c>
      <c r="C56" s="4" t="s">
        <v>29</v>
      </c>
    </row>
    <row r="57" spans="1:3" ht="14.6" x14ac:dyDescent="0.4">
      <c r="A57" s="3" t="s">
        <v>123</v>
      </c>
      <c r="B57" s="4" t="s">
        <v>124</v>
      </c>
      <c r="C57" s="4" t="s">
        <v>34</v>
      </c>
    </row>
    <row r="58" spans="1:3" ht="14.6" x14ac:dyDescent="0.4">
      <c r="A58" s="3" t="s">
        <v>125</v>
      </c>
      <c r="B58" s="4" t="s">
        <v>126</v>
      </c>
      <c r="C58" s="4" t="s">
        <v>15</v>
      </c>
    </row>
    <row r="59" spans="1:3" ht="14.6" x14ac:dyDescent="0.4">
      <c r="A59" s="3" t="s">
        <v>127</v>
      </c>
      <c r="B59" s="4" t="s">
        <v>128</v>
      </c>
      <c r="C59" s="4" t="s">
        <v>9</v>
      </c>
    </row>
    <row r="60" spans="1:3" ht="14.6" x14ac:dyDescent="0.4">
      <c r="A60" s="3" t="s">
        <v>129</v>
      </c>
      <c r="B60" s="4" t="s">
        <v>74</v>
      </c>
      <c r="C60" s="4" t="s">
        <v>12</v>
      </c>
    </row>
    <row r="61" spans="1:3" ht="14.6" x14ac:dyDescent="0.4">
      <c r="A61" s="3" t="s">
        <v>130</v>
      </c>
      <c r="B61" s="4" t="s">
        <v>131</v>
      </c>
      <c r="C61" s="4" t="s">
        <v>6</v>
      </c>
    </row>
    <row r="62" spans="1:3" ht="14.6" x14ac:dyDescent="0.4">
      <c r="A62" s="3" t="s">
        <v>132</v>
      </c>
      <c r="B62" s="4" t="s">
        <v>133</v>
      </c>
      <c r="C62" s="4" t="s">
        <v>12</v>
      </c>
    </row>
    <row r="63" spans="1:3" ht="14.6" x14ac:dyDescent="0.4">
      <c r="A63" s="3" t="s">
        <v>134</v>
      </c>
      <c r="B63" s="4" t="s">
        <v>135</v>
      </c>
      <c r="C63" s="4" t="s">
        <v>68</v>
      </c>
    </row>
    <row r="64" spans="1:3" ht="14.6" x14ac:dyDescent="0.4">
      <c r="A64" s="3" t="s">
        <v>136</v>
      </c>
      <c r="B64" s="4" t="s">
        <v>137</v>
      </c>
      <c r="C64" s="4" t="s">
        <v>47</v>
      </c>
    </row>
    <row r="65" spans="1:3" ht="14.6" x14ac:dyDescent="0.4">
      <c r="A65" s="3" t="s">
        <v>138</v>
      </c>
      <c r="B65" s="4" t="s">
        <v>139</v>
      </c>
      <c r="C65" s="4" t="s">
        <v>15</v>
      </c>
    </row>
    <row r="66" spans="1:3" ht="14.6" x14ac:dyDescent="0.4">
      <c r="A66" s="3" t="s">
        <v>140</v>
      </c>
      <c r="B66" s="4" t="s">
        <v>141</v>
      </c>
      <c r="C66" s="4" t="s">
        <v>6</v>
      </c>
    </row>
    <row r="67" spans="1:3" ht="14.6" x14ac:dyDescent="0.4">
      <c r="A67" s="3" t="s">
        <v>142</v>
      </c>
      <c r="B67" s="4" t="s">
        <v>101</v>
      </c>
      <c r="C67" s="4" t="s">
        <v>12</v>
      </c>
    </row>
    <row r="68" spans="1:3" ht="14.6" x14ac:dyDescent="0.4">
      <c r="A68" s="3" t="s">
        <v>143</v>
      </c>
      <c r="B68" s="4" t="s">
        <v>144</v>
      </c>
      <c r="C68" s="4" t="s">
        <v>47</v>
      </c>
    </row>
    <row r="69" spans="1:3" ht="14.6" x14ac:dyDescent="0.4">
      <c r="A69" s="3" t="s">
        <v>145</v>
      </c>
      <c r="B69" s="4" t="s">
        <v>146</v>
      </c>
      <c r="C69" s="4" t="s">
        <v>9</v>
      </c>
    </row>
    <row r="70" spans="1:3" ht="14.6" x14ac:dyDescent="0.4">
      <c r="A70" s="3" t="s">
        <v>147</v>
      </c>
      <c r="B70" s="4" t="s">
        <v>101</v>
      </c>
      <c r="C70" s="4" t="s">
        <v>68</v>
      </c>
    </row>
    <row r="71" spans="1:3" ht="14.6" x14ac:dyDescent="0.4">
      <c r="A71" s="3" t="s">
        <v>148</v>
      </c>
      <c r="B71" s="4" t="s">
        <v>149</v>
      </c>
      <c r="C71" s="4" t="s">
        <v>47</v>
      </c>
    </row>
    <row r="72" spans="1:3" ht="14.6" x14ac:dyDescent="0.4">
      <c r="A72" s="3" t="s">
        <v>150</v>
      </c>
      <c r="B72" s="4" t="s">
        <v>151</v>
      </c>
      <c r="C72" s="4" t="s">
        <v>9</v>
      </c>
    </row>
    <row r="73" spans="1:3" ht="14.6" x14ac:dyDescent="0.4">
      <c r="A73" s="3" t="s">
        <v>152</v>
      </c>
      <c r="B73" s="4" t="s">
        <v>11</v>
      </c>
      <c r="C73" s="4" t="s">
        <v>21</v>
      </c>
    </row>
    <row r="74" spans="1:3" ht="14.6" x14ac:dyDescent="0.4">
      <c r="A74" s="3" t="s">
        <v>153</v>
      </c>
      <c r="B74" s="4" t="s">
        <v>154</v>
      </c>
      <c r="C74" s="4" t="s">
        <v>34</v>
      </c>
    </row>
    <row r="75" spans="1:3" ht="14.6" x14ac:dyDescent="0.4">
      <c r="A75" s="3" t="s">
        <v>155</v>
      </c>
      <c r="B75" s="4" t="s">
        <v>156</v>
      </c>
      <c r="C75" s="4" t="s">
        <v>52</v>
      </c>
    </row>
    <row r="76" spans="1:3" ht="14.6" x14ac:dyDescent="0.4">
      <c r="A76" s="3" t="s">
        <v>157</v>
      </c>
      <c r="B76" s="4" t="s">
        <v>158</v>
      </c>
      <c r="C76" s="4" t="s">
        <v>29</v>
      </c>
    </row>
    <row r="77" spans="1:3" ht="14.6" x14ac:dyDescent="0.4">
      <c r="A77" s="3" t="s">
        <v>159</v>
      </c>
      <c r="B77" s="4" t="s">
        <v>160</v>
      </c>
      <c r="C77" s="4" t="s">
        <v>58</v>
      </c>
    </row>
    <row r="78" spans="1:3" ht="14.6" x14ac:dyDescent="0.4">
      <c r="A78" s="3" t="s">
        <v>161</v>
      </c>
      <c r="B78" s="4" t="s">
        <v>162</v>
      </c>
      <c r="C78" s="4" t="s">
        <v>34</v>
      </c>
    </row>
    <row r="79" spans="1:3" ht="14.6" x14ac:dyDescent="0.4">
      <c r="A79" s="3" t="s">
        <v>163</v>
      </c>
      <c r="B79" s="4" t="s">
        <v>164</v>
      </c>
      <c r="C79" s="4" t="s">
        <v>65</v>
      </c>
    </row>
    <row r="80" spans="1:3" ht="14.6" x14ac:dyDescent="0.4">
      <c r="A80" s="3" t="s">
        <v>165</v>
      </c>
      <c r="B80" s="4" t="s">
        <v>95</v>
      </c>
      <c r="C80" s="4" t="s">
        <v>29</v>
      </c>
    </row>
    <row r="81" spans="1:3" ht="14.6" x14ac:dyDescent="0.4">
      <c r="A81" s="3" t="s">
        <v>166</v>
      </c>
      <c r="B81" s="4" t="s">
        <v>167</v>
      </c>
      <c r="C81" s="4" t="s">
        <v>47</v>
      </c>
    </row>
    <row r="82" spans="1:3" ht="14.6" x14ac:dyDescent="0.4">
      <c r="A82" s="3" t="s">
        <v>168</v>
      </c>
      <c r="B82" s="4" t="s">
        <v>169</v>
      </c>
      <c r="C82" s="4" t="s">
        <v>52</v>
      </c>
    </row>
    <row r="83" spans="1:3" ht="14.6" x14ac:dyDescent="0.4">
      <c r="A83" s="3" t="s">
        <v>170</v>
      </c>
      <c r="B83" s="4" t="s">
        <v>171</v>
      </c>
      <c r="C83" s="4" t="s">
        <v>34</v>
      </c>
    </row>
    <row r="84" spans="1:3" ht="14.6" x14ac:dyDescent="0.4">
      <c r="A84" s="3" t="s">
        <v>172</v>
      </c>
      <c r="B84" s="4" t="s">
        <v>44</v>
      </c>
      <c r="C84" s="4" t="s">
        <v>47</v>
      </c>
    </row>
    <row r="85" spans="1:3" ht="14.6" x14ac:dyDescent="0.4">
      <c r="A85" s="3" t="s">
        <v>173</v>
      </c>
      <c r="B85" s="4" t="s">
        <v>174</v>
      </c>
      <c r="C85" s="4" t="s">
        <v>12</v>
      </c>
    </row>
    <row r="86" spans="1:3" ht="14.6" x14ac:dyDescent="0.4">
      <c r="A86" s="3" t="s">
        <v>175</v>
      </c>
      <c r="B86" s="4" t="s">
        <v>176</v>
      </c>
      <c r="C86" s="4" t="s">
        <v>12</v>
      </c>
    </row>
    <row r="87" spans="1:3" ht="14.6" x14ac:dyDescent="0.4">
      <c r="A87" s="3" t="s">
        <v>177</v>
      </c>
      <c r="B87" s="4" t="s">
        <v>178</v>
      </c>
      <c r="C87" s="4" t="s">
        <v>52</v>
      </c>
    </row>
    <row r="88" spans="1:3" ht="14.6" x14ac:dyDescent="0.4">
      <c r="A88" s="3" t="s">
        <v>179</v>
      </c>
      <c r="B88" s="4" t="s">
        <v>180</v>
      </c>
      <c r="C88" s="4" t="s">
        <v>18</v>
      </c>
    </row>
    <row r="89" spans="1:3" ht="14.6" x14ac:dyDescent="0.4">
      <c r="A89" s="3" t="s">
        <v>181</v>
      </c>
      <c r="B89" s="4" t="s">
        <v>182</v>
      </c>
      <c r="C89" s="4" t="s">
        <v>12</v>
      </c>
    </row>
    <row r="90" spans="1:3" ht="14.6" x14ac:dyDescent="0.4">
      <c r="A90" s="3" t="s">
        <v>183</v>
      </c>
      <c r="B90" s="4" t="s">
        <v>184</v>
      </c>
      <c r="C90" s="4" t="s">
        <v>68</v>
      </c>
    </row>
    <row r="91" spans="1:3" ht="14.6" x14ac:dyDescent="0.4">
      <c r="A91" s="3" t="s">
        <v>185</v>
      </c>
      <c r="B91" s="4" t="s">
        <v>46</v>
      </c>
      <c r="C91" s="4" t="s">
        <v>68</v>
      </c>
    </row>
    <row r="92" spans="1:3" ht="14.6" x14ac:dyDescent="0.4">
      <c r="A92" s="3" t="s">
        <v>186</v>
      </c>
      <c r="B92" s="4" t="s">
        <v>187</v>
      </c>
      <c r="C92" s="4" t="s">
        <v>47</v>
      </c>
    </row>
    <row r="93" spans="1:3" ht="14.6" x14ac:dyDescent="0.4">
      <c r="A93" s="3" t="s">
        <v>188</v>
      </c>
      <c r="B93" s="4" t="s">
        <v>189</v>
      </c>
      <c r="C93" s="4" t="s">
        <v>47</v>
      </c>
    </row>
    <row r="94" spans="1:3" ht="14.6" x14ac:dyDescent="0.4">
      <c r="A94" s="3" t="s">
        <v>190</v>
      </c>
      <c r="B94" s="4" t="s">
        <v>191</v>
      </c>
      <c r="C94" s="4" t="s">
        <v>68</v>
      </c>
    </row>
    <row r="95" spans="1:3" ht="14.6" x14ac:dyDescent="0.4">
      <c r="A95" s="3" t="s">
        <v>192</v>
      </c>
      <c r="B95" s="4" t="s">
        <v>193</v>
      </c>
      <c r="C95" s="4" t="s">
        <v>55</v>
      </c>
    </row>
    <row r="96" spans="1:3" ht="14.6" x14ac:dyDescent="0.4">
      <c r="A96" s="3" t="s">
        <v>194</v>
      </c>
      <c r="B96" s="4" t="s">
        <v>195</v>
      </c>
      <c r="C96" s="4" t="s">
        <v>9</v>
      </c>
    </row>
    <row r="97" spans="1:3" ht="14.6" x14ac:dyDescent="0.4">
      <c r="A97" s="3" t="s">
        <v>196</v>
      </c>
      <c r="B97" s="4" t="s">
        <v>197</v>
      </c>
      <c r="C97" s="4" t="s">
        <v>24</v>
      </c>
    </row>
    <row r="98" spans="1:3" ht="14.6" x14ac:dyDescent="0.4">
      <c r="A98" s="3" t="s">
        <v>198</v>
      </c>
      <c r="B98" s="4" t="s">
        <v>191</v>
      </c>
      <c r="C98" s="4" t="s">
        <v>65</v>
      </c>
    </row>
    <row r="99" spans="1:3" ht="14.6" x14ac:dyDescent="0.4">
      <c r="A99" s="3" t="s">
        <v>199</v>
      </c>
      <c r="B99" s="4" t="s">
        <v>200</v>
      </c>
      <c r="C99" s="4" t="s">
        <v>58</v>
      </c>
    </row>
    <row r="100" spans="1:3" ht="14.6" x14ac:dyDescent="0.4">
      <c r="A100" s="3" t="s">
        <v>201</v>
      </c>
      <c r="B100" s="4" t="s">
        <v>202</v>
      </c>
      <c r="C100" s="4" t="s">
        <v>18</v>
      </c>
    </row>
    <row r="101" spans="1:3" ht="14.6" x14ac:dyDescent="0.4">
      <c r="A101" s="3" t="s">
        <v>203</v>
      </c>
      <c r="B101" s="4" t="s">
        <v>204</v>
      </c>
      <c r="C101" s="4" t="s">
        <v>58</v>
      </c>
    </row>
    <row r="102" spans="1:3" ht="14.6" x14ac:dyDescent="0.4">
      <c r="A102" s="3" t="s">
        <v>205</v>
      </c>
      <c r="B102" s="4" t="s">
        <v>197</v>
      </c>
      <c r="C102" s="4" t="s">
        <v>15</v>
      </c>
    </row>
    <row r="103" spans="1:3" ht="14.6" x14ac:dyDescent="0.4">
      <c r="A103" s="3" t="s">
        <v>206</v>
      </c>
      <c r="B103" s="4" t="s">
        <v>207</v>
      </c>
      <c r="C103" s="4" t="s">
        <v>68</v>
      </c>
    </row>
    <row r="104" spans="1:3" ht="14.6" x14ac:dyDescent="0.4">
      <c r="A104" s="3" t="s">
        <v>208</v>
      </c>
      <c r="B104" s="4" t="s">
        <v>209</v>
      </c>
      <c r="C104" s="4" t="s">
        <v>65</v>
      </c>
    </row>
    <row r="105" spans="1:3" ht="14.6" x14ac:dyDescent="0.4">
      <c r="A105" s="3" t="s">
        <v>210</v>
      </c>
      <c r="B105" s="4" t="s">
        <v>211</v>
      </c>
      <c r="C105" s="4" t="s">
        <v>24</v>
      </c>
    </row>
    <row r="106" spans="1:3" ht="14.6" x14ac:dyDescent="0.4">
      <c r="A106" s="3" t="s">
        <v>212</v>
      </c>
      <c r="B106" s="4" t="s">
        <v>213</v>
      </c>
      <c r="C106" s="4" t="s">
        <v>58</v>
      </c>
    </row>
    <row r="107" spans="1:3" ht="14.6" x14ac:dyDescent="0.4">
      <c r="A107" s="3" t="s">
        <v>214</v>
      </c>
      <c r="B107" s="4" t="s">
        <v>215</v>
      </c>
      <c r="C107" s="4" t="s">
        <v>52</v>
      </c>
    </row>
    <row r="108" spans="1:3" ht="14.6" x14ac:dyDescent="0.4">
      <c r="A108" s="3" t="s">
        <v>216</v>
      </c>
      <c r="B108" s="4" t="s">
        <v>70</v>
      </c>
      <c r="C108" s="4" t="s">
        <v>24</v>
      </c>
    </row>
    <row r="109" spans="1:3" ht="14.6" x14ac:dyDescent="0.4">
      <c r="A109" s="3" t="s">
        <v>217</v>
      </c>
      <c r="B109" s="4" t="s">
        <v>5</v>
      </c>
      <c r="C109" s="4" t="s">
        <v>47</v>
      </c>
    </row>
    <row r="110" spans="1:3" ht="14.6" x14ac:dyDescent="0.4">
      <c r="A110" s="3" t="s">
        <v>218</v>
      </c>
      <c r="B110" s="4" t="s">
        <v>219</v>
      </c>
      <c r="C110" s="4" t="s">
        <v>55</v>
      </c>
    </row>
    <row r="111" spans="1:3" ht="14.6" x14ac:dyDescent="0.4">
      <c r="A111" s="3" t="s">
        <v>220</v>
      </c>
      <c r="B111" s="4" t="s">
        <v>221</v>
      </c>
      <c r="C111" s="4" t="s">
        <v>21</v>
      </c>
    </row>
    <row r="112" spans="1:3" ht="14.6" x14ac:dyDescent="0.4">
      <c r="A112" s="3" t="s">
        <v>222</v>
      </c>
      <c r="B112" s="4" t="s">
        <v>182</v>
      </c>
      <c r="C112" s="4" t="s">
        <v>9</v>
      </c>
    </row>
    <row r="113" spans="1:3" ht="14.6" x14ac:dyDescent="0.4">
      <c r="A113" s="3" t="s">
        <v>223</v>
      </c>
      <c r="B113" s="4" t="s">
        <v>224</v>
      </c>
      <c r="C113" s="4" t="s">
        <v>34</v>
      </c>
    </row>
    <row r="114" spans="1:3" ht="14.6" x14ac:dyDescent="0.4">
      <c r="A114" s="3" t="s">
        <v>225</v>
      </c>
      <c r="B114" s="4" t="s">
        <v>49</v>
      </c>
      <c r="C114" s="4" t="s">
        <v>68</v>
      </c>
    </row>
    <row r="115" spans="1:3" ht="14.6" x14ac:dyDescent="0.4">
      <c r="A115" s="3" t="s">
        <v>226</v>
      </c>
      <c r="B115" s="4" t="s">
        <v>227</v>
      </c>
      <c r="C115" s="4" t="s">
        <v>29</v>
      </c>
    </row>
    <row r="116" spans="1:3" ht="14.6" x14ac:dyDescent="0.4">
      <c r="A116" s="3" t="s">
        <v>228</v>
      </c>
      <c r="B116" s="4" t="s">
        <v>133</v>
      </c>
      <c r="C116" s="4" t="s">
        <v>18</v>
      </c>
    </row>
    <row r="117" spans="1:3" ht="14.6" x14ac:dyDescent="0.4">
      <c r="A117" s="3" t="s">
        <v>229</v>
      </c>
      <c r="B117" s="4" t="s">
        <v>31</v>
      </c>
      <c r="C117" s="4" t="s">
        <v>6</v>
      </c>
    </row>
    <row r="118" spans="1:3" ht="14.6" x14ac:dyDescent="0.4">
      <c r="A118" s="3" t="s">
        <v>230</v>
      </c>
      <c r="B118" s="4" t="s">
        <v>88</v>
      </c>
      <c r="C118" s="4" t="s">
        <v>47</v>
      </c>
    </row>
    <row r="119" spans="1:3" ht="14.6" x14ac:dyDescent="0.4">
      <c r="A119" s="3" t="s">
        <v>231</v>
      </c>
      <c r="B119" s="4" t="s">
        <v>232</v>
      </c>
      <c r="C119" s="4" t="s">
        <v>9</v>
      </c>
    </row>
    <row r="120" spans="1:3" ht="14.6" x14ac:dyDescent="0.4">
      <c r="A120" s="3" t="s">
        <v>233</v>
      </c>
      <c r="B120" s="4" t="s">
        <v>234</v>
      </c>
      <c r="C120" s="4" t="s">
        <v>65</v>
      </c>
    </row>
    <row r="121" spans="1:3" ht="14.6" x14ac:dyDescent="0.4">
      <c r="A121" s="3" t="s">
        <v>235</v>
      </c>
      <c r="B121" s="4" t="s">
        <v>236</v>
      </c>
      <c r="C121" s="4" t="s">
        <v>15</v>
      </c>
    </row>
    <row r="122" spans="1:3" ht="14.6" x14ac:dyDescent="0.4">
      <c r="A122" s="3" t="s">
        <v>237</v>
      </c>
      <c r="B122" s="4" t="s">
        <v>238</v>
      </c>
      <c r="C122" s="4" t="s">
        <v>21</v>
      </c>
    </row>
    <row r="123" spans="1:3" ht="14.6" x14ac:dyDescent="0.4">
      <c r="A123" s="3" t="s">
        <v>239</v>
      </c>
      <c r="B123" s="4" t="s">
        <v>240</v>
      </c>
      <c r="C123" s="4" t="s">
        <v>52</v>
      </c>
    </row>
    <row r="124" spans="1:3" ht="14.6" x14ac:dyDescent="0.4">
      <c r="A124" s="3" t="s">
        <v>241</v>
      </c>
      <c r="B124" s="4" t="s">
        <v>242</v>
      </c>
      <c r="C124" s="4" t="s">
        <v>55</v>
      </c>
    </row>
    <row r="125" spans="1:3" ht="14.6" x14ac:dyDescent="0.4">
      <c r="A125" s="3" t="s">
        <v>243</v>
      </c>
      <c r="B125" s="4" t="s">
        <v>244</v>
      </c>
      <c r="C125" s="4" t="s">
        <v>12</v>
      </c>
    </row>
    <row r="126" spans="1:3" ht="14.6" x14ac:dyDescent="0.4">
      <c r="A126" s="3" t="s">
        <v>245</v>
      </c>
      <c r="B126" s="4" t="s">
        <v>246</v>
      </c>
      <c r="C126" s="4" t="s">
        <v>6</v>
      </c>
    </row>
    <row r="127" spans="1:3" ht="14.6" x14ac:dyDescent="0.4">
      <c r="A127" s="3" t="s">
        <v>247</v>
      </c>
      <c r="B127" s="4" t="s">
        <v>248</v>
      </c>
      <c r="C127" s="4" t="s">
        <v>65</v>
      </c>
    </row>
    <row r="128" spans="1:3" ht="14.6" x14ac:dyDescent="0.4">
      <c r="A128" s="3" t="s">
        <v>249</v>
      </c>
      <c r="B128" s="4" t="s">
        <v>250</v>
      </c>
      <c r="C128" s="4" t="s">
        <v>18</v>
      </c>
    </row>
    <row r="129" spans="1:3" ht="14.6" x14ac:dyDescent="0.4">
      <c r="A129" s="3" t="s">
        <v>251</v>
      </c>
      <c r="B129" s="4" t="s">
        <v>252</v>
      </c>
      <c r="C129" s="4" t="s">
        <v>68</v>
      </c>
    </row>
    <row r="130" spans="1:3" ht="14.6" x14ac:dyDescent="0.4">
      <c r="A130" s="3" t="s">
        <v>253</v>
      </c>
      <c r="B130" s="4" t="s">
        <v>254</v>
      </c>
      <c r="C130" s="4" t="s">
        <v>29</v>
      </c>
    </row>
    <row r="131" spans="1:3" ht="14.6" x14ac:dyDescent="0.4">
      <c r="A131" s="3" t="s">
        <v>255</v>
      </c>
      <c r="B131" s="4" t="s">
        <v>158</v>
      </c>
      <c r="C131" s="4" t="s">
        <v>47</v>
      </c>
    </row>
    <row r="132" spans="1:3" ht="14.6" x14ac:dyDescent="0.4">
      <c r="A132" s="3" t="s">
        <v>256</v>
      </c>
      <c r="B132" s="4" t="s">
        <v>257</v>
      </c>
      <c r="C132" s="4" t="s">
        <v>15</v>
      </c>
    </row>
    <row r="133" spans="1:3" ht="14.6" x14ac:dyDescent="0.4">
      <c r="A133" s="3" t="s">
        <v>258</v>
      </c>
      <c r="B133" s="4" t="s">
        <v>259</v>
      </c>
      <c r="C133" s="4" t="s">
        <v>6</v>
      </c>
    </row>
    <row r="134" spans="1:3" ht="14.6" x14ac:dyDescent="0.4">
      <c r="A134" s="3" t="s">
        <v>260</v>
      </c>
      <c r="B134" s="4" t="s">
        <v>204</v>
      </c>
      <c r="C134" s="4" t="s">
        <v>65</v>
      </c>
    </row>
    <row r="135" spans="1:3" ht="14.6" x14ac:dyDescent="0.4">
      <c r="A135" s="3" t="s">
        <v>261</v>
      </c>
      <c r="B135" s="4" t="s">
        <v>80</v>
      </c>
      <c r="C135" s="4" t="s">
        <v>55</v>
      </c>
    </row>
    <row r="136" spans="1:3" ht="14.6" x14ac:dyDescent="0.4">
      <c r="A136" s="3" t="s">
        <v>262</v>
      </c>
      <c r="B136" s="4" t="s">
        <v>263</v>
      </c>
      <c r="C136" s="4" t="s">
        <v>15</v>
      </c>
    </row>
    <row r="137" spans="1:3" ht="14.6" x14ac:dyDescent="0.4">
      <c r="A137" s="3" t="s">
        <v>264</v>
      </c>
      <c r="B137" s="4" t="s">
        <v>193</v>
      </c>
      <c r="C137" s="4" t="s">
        <v>29</v>
      </c>
    </row>
    <row r="138" spans="1:3" ht="14.6" x14ac:dyDescent="0.4">
      <c r="A138" s="3" t="s">
        <v>265</v>
      </c>
      <c r="B138" s="4" t="s">
        <v>164</v>
      </c>
      <c r="C138" s="4" t="s">
        <v>68</v>
      </c>
    </row>
    <row r="139" spans="1:3" ht="14.6" x14ac:dyDescent="0.4">
      <c r="A139" s="3" t="s">
        <v>266</v>
      </c>
      <c r="B139" s="4" t="s">
        <v>267</v>
      </c>
      <c r="C139" s="4" t="s">
        <v>68</v>
      </c>
    </row>
    <row r="140" spans="1:3" ht="14.6" x14ac:dyDescent="0.4">
      <c r="A140" s="3" t="s">
        <v>268</v>
      </c>
      <c r="B140" s="4" t="s">
        <v>269</v>
      </c>
      <c r="C140" s="4" t="s">
        <v>12</v>
      </c>
    </row>
    <row r="141" spans="1:3" ht="14.6" x14ac:dyDescent="0.4">
      <c r="A141" s="3" t="s">
        <v>270</v>
      </c>
      <c r="B141" s="4" t="s">
        <v>191</v>
      </c>
      <c r="C141" s="4" t="s">
        <v>18</v>
      </c>
    </row>
    <row r="142" spans="1:3" ht="14.6" x14ac:dyDescent="0.4">
      <c r="A142" s="3" t="s">
        <v>271</v>
      </c>
      <c r="B142" s="4" t="s">
        <v>272</v>
      </c>
      <c r="C142" s="4" t="s">
        <v>52</v>
      </c>
    </row>
    <row r="143" spans="1:3" ht="14.6" x14ac:dyDescent="0.4">
      <c r="A143" s="3" t="s">
        <v>273</v>
      </c>
      <c r="B143" s="4" t="s">
        <v>274</v>
      </c>
      <c r="C143" s="4" t="s">
        <v>9</v>
      </c>
    </row>
    <row r="144" spans="1:3" ht="14.6" x14ac:dyDescent="0.4">
      <c r="A144" s="3" t="s">
        <v>275</v>
      </c>
      <c r="B144" s="4" t="s">
        <v>276</v>
      </c>
      <c r="C144" s="4" t="s">
        <v>6</v>
      </c>
    </row>
    <row r="145" spans="1:3" ht="14.6" x14ac:dyDescent="0.4">
      <c r="A145" s="3" t="s">
        <v>277</v>
      </c>
      <c r="B145" s="4" t="s">
        <v>278</v>
      </c>
      <c r="C145" s="4" t="s">
        <v>68</v>
      </c>
    </row>
    <row r="146" spans="1:3" ht="14.6" x14ac:dyDescent="0.4">
      <c r="A146" s="3" t="s">
        <v>279</v>
      </c>
      <c r="B146" s="4" t="s">
        <v>280</v>
      </c>
      <c r="C146" s="4" t="s">
        <v>6</v>
      </c>
    </row>
    <row r="147" spans="1:3" ht="14.6" x14ac:dyDescent="0.4">
      <c r="A147" s="3" t="s">
        <v>281</v>
      </c>
      <c r="B147" s="4" t="s">
        <v>282</v>
      </c>
      <c r="C147" s="4" t="s">
        <v>52</v>
      </c>
    </row>
    <row r="148" spans="1:3" ht="14.6" x14ac:dyDescent="0.4">
      <c r="A148" s="3" t="s">
        <v>283</v>
      </c>
      <c r="B148" s="4" t="s">
        <v>284</v>
      </c>
      <c r="C148" s="4" t="s">
        <v>15</v>
      </c>
    </row>
    <row r="149" spans="1:3" ht="14.6" x14ac:dyDescent="0.4">
      <c r="A149" s="3" t="s">
        <v>285</v>
      </c>
      <c r="B149" s="4" t="s">
        <v>286</v>
      </c>
      <c r="C149" s="4" t="s">
        <v>55</v>
      </c>
    </row>
    <row r="150" spans="1:3" ht="14.6" x14ac:dyDescent="0.4">
      <c r="A150" s="3" t="s">
        <v>287</v>
      </c>
      <c r="B150" s="4" t="s">
        <v>49</v>
      </c>
      <c r="C150" s="4" t="s">
        <v>58</v>
      </c>
    </row>
    <row r="151" spans="1:3" ht="14.6" x14ac:dyDescent="0.4">
      <c r="A151" s="3" t="s">
        <v>288</v>
      </c>
      <c r="B151" s="4" t="s">
        <v>289</v>
      </c>
      <c r="C151" s="4" t="s">
        <v>12</v>
      </c>
    </row>
    <row r="152" spans="1:3" ht="14.6" x14ac:dyDescent="0.4">
      <c r="A152" s="3" t="s">
        <v>290</v>
      </c>
      <c r="B152" s="4" t="s">
        <v>291</v>
      </c>
      <c r="C152" s="4" t="s">
        <v>34</v>
      </c>
    </row>
    <row r="153" spans="1:3" ht="14.6" x14ac:dyDescent="0.4">
      <c r="A153" s="3" t="s">
        <v>292</v>
      </c>
      <c r="B153" s="4" t="s">
        <v>137</v>
      </c>
      <c r="C153" s="4" t="s">
        <v>6</v>
      </c>
    </row>
    <row r="154" spans="1:3" ht="14.6" x14ac:dyDescent="0.4">
      <c r="A154" s="3" t="s">
        <v>293</v>
      </c>
      <c r="B154" s="4" t="s">
        <v>294</v>
      </c>
      <c r="C154" s="4" t="s">
        <v>18</v>
      </c>
    </row>
    <row r="155" spans="1:3" ht="14.6" x14ac:dyDescent="0.4">
      <c r="A155" s="3" t="s">
        <v>295</v>
      </c>
      <c r="B155" s="4" t="s">
        <v>296</v>
      </c>
      <c r="C155" s="4" t="s">
        <v>29</v>
      </c>
    </row>
    <row r="156" spans="1:3" ht="14.6" x14ac:dyDescent="0.4">
      <c r="A156" s="3" t="s">
        <v>297</v>
      </c>
      <c r="B156" s="4" t="s">
        <v>298</v>
      </c>
      <c r="C156" s="4" t="s">
        <v>15</v>
      </c>
    </row>
    <row r="157" spans="1:3" ht="14.6" x14ac:dyDescent="0.4">
      <c r="A157" s="3" t="s">
        <v>299</v>
      </c>
      <c r="B157" s="4" t="s">
        <v>300</v>
      </c>
      <c r="C157" s="4" t="s">
        <v>29</v>
      </c>
    </row>
    <row r="158" spans="1:3" ht="14.6" x14ac:dyDescent="0.4">
      <c r="A158" s="3" t="s">
        <v>301</v>
      </c>
      <c r="B158" s="4" t="s">
        <v>135</v>
      </c>
      <c r="C158" s="4" t="s">
        <v>47</v>
      </c>
    </row>
    <row r="159" spans="1:3" ht="14.6" x14ac:dyDescent="0.4">
      <c r="A159" s="3" t="s">
        <v>302</v>
      </c>
      <c r="B159" s="4" t="s">
        <v>303</v>
      </c>
      <c r="C159" s="4" t="s">
        <v>29</v>
      </c>
    </row>
    <row r="160" spans="1:3" ht="14.6" x14ac:dyDescent="0.4">
      <c r="A160" s="3" t="s">
        <v>304</v>
      </c>
      <c r="B160" s="4" t="s">
        <v>305</v>
      </c>
      <c r="C160" s="4" t="s">
        <v>55</v>
      </c>
    </row>
    <row r="161" spans="1:3" ht="14.6" x14ac:dyDescent="0.4">
      <c r="A161" s="3" t="s">
        <v>306</v>
      </c>
      <c r="B161" s="4" t="s">
        <v>307</v>
      </c>
      <c r="C161" s="4" t="s">
        <v>58</v>
      </c>
    </row>
    <row r="162" spans="1:3" ht="14.6" x14ac:dyDescent="0.4">
      <c r="A162" s="3" t="s">
        <v>308</v>
      </c>
      <c r="B162" s="4" t="s">
        <v>309</v>
      </c>
      <c r="C162" s="4" t="s">
        <v>9</v>
      </c>
    </row>
    <row r="163" spans="1:3" ht="14.6" x14ac:dyDescent="0.4">
      <c r="A163" s="3" t="s">
        <v>310</v>
      </c>
      <c r="B163" s="4" t="s">
        <v>311</v>
      </c>
      <c r="C163" s="4" t="s">
        <v>58</v>
      </c>
    </row>
    <row r="164" spans="1:3" ht="14.6" x14ac:dyDescent="0.4">
      <c r="A164" s="3" t="s">
        <v>312</v>
      </c>
      <c r="B164" s="4" t="s">
        <v>44</v>
      </c>
      <c r="C164" s="4" t="s">
        <v>47</v>
      </c>
    </row>
    <row r="165" spans="1:3" ht="14.6" x14ac:dyDescent="0.4">
      <c r="A165" s="3" t="s">
        <v>313</v>
      </c>
      <c r="B165" s="4" t="s">
        <v>314</v>
      </c>
      <c r="C165" s="4" t="s">
        <v>6</v>
      </c>
    </row>
    <row r="166" spans="1:3" ht="14.6" x14ac:dyDescent="0.4">
      <c r="A166" s="3" t="s">
        <v>315</v>
      </c>
      <c r="B166" s="4" t="s">
        <v>316</v>
      </c>
      <c r="C166" s="4" t="s">
        <v>55</v>
      </c>
    </row>
    <row r="167" spans="1:3" ht="14.6" x14ac:dyDescent="0.4">
      <c r="A167" s="3" t="s">
        <v>317</v>
      </c>
      <c r="B167" s="4" t="s">
        <v>318</v>
      </c>
      <c r="C167" s="4" t="s">
        <v>9</v>
      </c>
    </row>
    <row r="168" spans="1:3" ht="14.6" x14ac:dyDescent="0.4">
      <c r="A168" s="3" t="s">
        <v>319</v>
      </c>
      <c r="B168" s="4" t="s">
        <v>103</v>
      </c>
      <c r="C168" s="4" t="s">
        <v>29</v>
      </c>
    </row>
    <row r="169" spans="1:3" ht="14.6" x14ac:dyDescent="0.4">
      <c r="A169" s="3" t="s">
        <v>320</v>
      </c>
      <c r="B169" s="4" t="s">
        <v>318</v>
      </c>
      <c r="C169" s="4" t="s">
        <v>68</v>
      </c>
    </row>
    <row r="170" spans="1:3" ht="14.6" x14ac:dyDescent="0.4">
      <c r="A170" s="3" t="s">
        <v>321</v>
      </c>
      <c r="B170" s="4" t="s">
        <v>322</v>
      </c>
      <c r="C170" s="4" t="s">
        <v>24</v>
      </c>
    </row>
    <row r="171" spans="1:3" ht="14.6" x14ac:dyDescent="0.4">
      <c r="A171" s="3" t="s">
        <v>323</v>
      </c>
      <c r="B171" s="4" t="s">
        <v>324</v>
      </c>
      <c r="C171" s="4" t="s">
        <v>47</v>
      </c>
    </row>
    <row r="172" spans="1:3" ht="14.6" x14ac:dyDescent="0.4">
      <c r="A172" s="3" t="s">
        <v>325</v>
      </c>
      <c r="B172" s="4" t="s">
        <v>300</v>
      </c>
      <c r="C172" s="4" t="s">
        <v>47</v>
      </c>
    </row>
    <row r="173" spans="1:3" ht="14.6" x14ac:dyDescent="0.4">
      <c r="A173" s="3" t="s">
        <v>326</v>
      </c>
      <c r="B173" s="4" t="s">
        <v>227</v>
      </c>
      <c r="C173" s="4" t="s">
        <v>52</v>
      </c>
    </row>
    <row r="174" spans="1:3" ht="14.6" x14ac:dyDescent="0.4">
      <c r="A174" s="3" t="s">
        <v>327</v>
      </c>
      <c r="B174" s="4" t="s">
        <v>171</v>
      </c>
      <c r="C174" s="4" t="s">
        <v>52</v>
      </c>
    </row>
    <row r="175" spans="1:3" ht="14.6" x14ac:dyDescent="0.4">
      <c r="A175" s="3" t="s">
        <v>328</v>
      </c>
      <c r="B175" s="4" t="s">
        <v>329</v>
      </c>
      <c r="C175" s="4" t="s">
        <v>15</v>
      </c>
    </row>
    <row r="176" spans="1:3" ht="14.6" x14ac:dyDescent="0.4">
      <c r="A176" s="3" t="s">
        <v>330</v>
      </c>
      <c r="B176" s="4" t="s">
        <v>20</v>
      </c>
      <c r="C176" s="4" t="s">
        <v>24</v>
      </c>
    </row>
    <row r="177" spans="1:3" ht="14.6" x14ac:dyDescent="0.4">
      <c r="A177" s="3" t="s">
        <v>331</v>
      </c>
      <c r="B177" s="4" t="s">
        <v>105</v>
      </c>
      <c r="C177" s="4" t="s">
        <v>15</v>
      </c>
    </row>
    <row r="178" spans="1:3" ht="14.6" x14ac:dyDescent="0.4">
      <c r="A178" s="3" t="s">
        <v>332</v>
      </c>
      <c r="B178" s="4" t="s">
        <v>333</v>
      </c>
      <c r="C178" s="4" t="s">
        <v>21</v>
      </c>
    </row>
    <row r="179" spans="1:3" ht="14.6" x14ac:dyDescent="0.4">
      <c r="A179" s="3" t="s">
        <v>334</v>
      </c>
      <c r="B179" s="4" t="s">
        <v>335</v>
      </c>
      <c r="C179" s="4" t="s">
        <v>6</v>
      </c>
    </row>
    <row r="180" spans="1:3" ht="14.6" x14ac:dyDescent="0.4">
      <c r="A180" s="3" t="s">
        <v>336</v>
      </c>
      <c r="B180" s="4" t="s">
        <v>254</v>
      </c>
      <c r="C180" s="4" t="s">
        <v>52</v>
      </c>
    </row>
    <row r="181" spans="1:3" ht="14.6" x14ac:dyDescent="0.4">
      <c r="A181" s="3" t="s">
        <v>337</v>
      </c>
      <c r="B181" s="4" t="s">
        <v>259</v>
      </c>
      <c r="C181" s="4" t="s">
        <v>15</v>
      </c>
    </row>
    <row r="182" spans="1:3" ht="14.6" x14ac:dyDescent="0.4">
      <c r="A182" s="3" t="s">
        <v>338</v>
      </c>
      <c r="B182" s="4" t="s">
        <v>339</v>
      </c>
      <c r="C182" s="4" t="s">
        <v>15</v>
      </c>
    </row>
    <row r="183" spans="1:3" ht="14.6" x14ac:dyDescent="0.4">
      <c r="A183" s="3" t="s">
        <v>340</v>
      </c>
      <c r="B183" s="4" t="s">
        <v>341</v>
      </c>
      <c r="C183" s="4" t="s">
        <v>55</v>
      </c>
    </row>
    <row r="184" spans="1:3" ht="14.6" x14ac:dyDescent="0.4">
      <c r="A184" s="3" t="s">
        <v>342</v>
      </c>
      <c r="B184" s="4" t="s">
        <v>343</v>
      </c>
      <c r="C184" s="4" t="s">
        <v>18</v>
      </c>
    </row>
    <row r="185" spans="1:3" ht="14.6" x14ac:dyDescent="0.4">
      <c r="A185" s="3" t="s">
        <v>344</v>
      </c>
      <c r="B185" s="4" t="s">
        <v>345</v>
      </c>
      <c r="C185" s="4" t="s">
        <v>24</v>
      </c>
    </row>
    <row r="186" spans="1:3" ht="14.6" x14ac:dyDescent="0.4">
      <c r="A186" s="3" t="s">
        <v>346</v>
      </c>
      <c r="B186" s="4" t="s">
        <v>347</v>
      </c>
      <c r="C186" s="4" t="s">
        <v>6</v>
      </c>
    </row>
    <row r="187" spans="1:3" ht="14.6" x14ac:dyDescent="0.4">
      <c r="A187" s="3" t="s">
        <v>348</v>
      </c>
      <c r="B187" s="4" t="s">
        <v>151</v>
      </c>
      <c r="C187" s="4" t="s">
        <v>9</v>
      </c>
    </row>
    <row r="188" spans="1:3" ht="14.6" x14ac:dyDescent="0.4">
      <c r="A188" s="3" t="s">
        <v>349</v>
      </c>
      <c r="B188" s="4" t="s">
        <v>191</v>
      </c>
      <c r="C188" s="4" t="s">
        <v>12</v>
      </c>
    </row>
    <row r="189" spans="1:3" ht="14.6" x14ac:dyDescent="0.4">
      <c r="A189" s="3" t="s">
        <v>350</v>
      </c>
      <c r="B189" s="4" t="s">
        <v>351</v>
      </c>
      <c r="C189" s="4" t="s">
        <v>18</v>
      </c>
    </row>
    <row r="190" spans="1:3" ht="14.6" x14ac:dyDescent="0.4">
      <c r="A190" s="3" t="s">
        <v>352</v>
      </c>
      <c r="B190" s="4" t="s">
        <v>28</v>
      </c>
      <c r="C190" s="4" t="s">
        <v>55</v>
      </c>
    </row>
    <row r="191" spans="1:3" ht="14.6" x14ac:dyDescent="0.4">
      <c r="A191" s="3" t="s">
        <v>353</v>
      </c>
      <c r="B191" s="4" t="s">
        <v>354</v>
      </c>
      <c r="C191" s="4" t="s">
        <v>52</v>
      </c>
    </row>
    <row r="192" spans="1:3" ht="14.6" x14ac:dyDescent="0.4">
      <c r="A192" s="3" t="s">
        <v>355</v>
      </c>
      <c r="B192" s="4" t="s">
        <v>356</v>
      </c>
      <c r="C192" s="4" t="s">
        <v>29</v>
      </c>
    </row>
    <row r="193" spans="1:3" ht="14.6" x14ac:dyDescent="0.4">
      <c r="A193" s="3" t="s">
        <v>357</v>
      </c>
      <c r="B193" s="4" t="s">
        <v>236</v>
      </c>
      <c r="C193" s="4" t="s">
        <v>34</v>
      </c>
    </row>
    <row r="194" spans="1:3" ht="14.6" x14ac:dyDescent="0.4">
      <c r="A194" s="3" t="s">
        <v>358</v>
      </c>
      <c r="B194" s="4" t="s">
        <v>359</v>
      </c>
      <c r="C194" s="4" t="s">
        <v>24</v>
      </c>
    </row>
    <row r="195" spans="1:3" ht="14.6" x14ac:dyDescent="0.4">
      <c r="A195" s="3" t="s">
        <v>360</v>
      </c>
      <c r="B195" s="4" t="s">
        <v>204</v>
      </c>
      <c r="C195" s="4" t="s">
        <v>58</v>
      </c>
    </row>
    <row r="196" spans="1:3" ht="14.6" x14ac:dyDescent="0.4">
      <c r="A196" s="3" t="s">
        <v>361</v>
      </c>
      <c r="B196" s="4" t="s">
        <v>250</v>
      </c>
      <c r="C196" s="4" t="s">
        <v>55</v>
      </c>
    </row>
    <row r="197" spans="1:3" ht="14.6" x14ac:dyDescent="0.4">
      <c r="A197" s="3" t="s">
        <v>362</v>
      </c>
      <c r="B197" s="4" t="s">
        <v>363</v>
      </c>
      <c r="C197" s="4" t="s">
        <v>58</v>
      </c>
    </row>
    <row r="198" spans="1:3" ht="14.6" x14ac:dyDescent="0.4">
      <c r="A198" s="3" t="s">
        <v>364</v>
      </c>
      <c r="B198" s="4" t="s">
        <v>365</v>
      </c>
      <c r="C198" s="4" t="s">
        <v>34</v>
      </c>
    </row>
    <row r="199" spans="1:3" ht="14.6" x14ac:dyDescent="0.4">
      <c r="A199" s="3" t="s">
        <v>366</v>
      </c>
      <c r="B199" s="4" t="s">
        <v>367</v>
      </c>
      <c r="C199" s="4" t="s">
        <v>24</v>
      </c>
    </row>
    <row r="200" spans="1:3" ht="14.6" x14ac:dyDescent="0.4">
      <c r="A200" s="3" t="s">
        <v>368</v>
      </c>
      <c r="B200" s="4" t="s">
        <v>369</v>
      </c>
      <c r="C200" s="4" t="s">
        <v>18</v>
      </c>
    </row>
    <row r="201" spans="1:3" ht="14.6" x14ac:dyDescent="0.4">
      <c r="A201" s="3" t="s">
        <v>370</v>
      </c>
      <c r="B201" s="4" t="s">
        <v>263</v>
      </c>
      <c r="C201" s="4" t="s">
        <v>65</v>
      </c>
    </row>
    <row r="202" spans="1:3" ht="14.6" x14ac:dyDescent="0.4">
      <c r="A202" s="3" t="s">
        <v>371</v>
      </c>
      <c r="B202" s="4" t="s">
        <v>372</v>
      </c>
      <c r="C202" s="4" t="s">
        <v>58</v>
      </c>
    </row>
    <row r="203" spans="1:3" ht="14.6" x14ac:dyDescent="0.4">
      <c r="A203" s="3" t="s">
        <v>373</v>
      </c>
      <c r="B203" s="4" t="s">
        <v>374</v>
      </c>
      <c r="C203" s="4" t="s">
        <v>58</v>
      </c>
    </row>
    <row r="204" spans="1:3" ht="14.6" x14ac:dyDescent="0.4">
      <c r="A204" s="3" t="s">
        <v>375</v>
      </c>
      <c r="B204" s="4" t="s">
        <v>176</v>
      </c>
      <c r="C204" s="4" t="s">
        <v>9</v>
      </c>
    </row>
    <row r="205" spans="1:3" ht="14.6" x14ac:dyDescent="0.4">
      <c r="A205" s="3" t="s">
        <v>376</v>
      </c>
      <c r="B205" s="4" t="s">
        <v>377</v>
      </c>
      <c r="C205" s="4" t="s">
        <v>21</v>
      </c>
    </row>
    <row r="206" spans="1:3" ht="14.6" x14ac:dyDescent="0.4">
      <c r="A206" s="3" t="s">
        <v>378</v>
      </c>
      <c r="B206" s="4" t="s">
        <v>116</v>
      </c>
      <c r="C206" s="4" t="s">
        <v>34</v>
      </c>
    </row>
    <row r="207" spans="1:3" ht="14.6" x14ac:dyDescent="0.4">
      <c r="A207" s="3" t="s">
        <v>379</v>
      </c>
      <c r="B207" s="4" t="s">
        <v>294</v>
      </c>
      <c r="C207" s="4" t="s">
        <v>68</v>
      </c>
    </row>
    <row r="208" spans="1:3" ht="14.6" x14ac:dyDescent="0.4">
      <c r="A208" s="3" t="s">
        <v>380</v>
      </c>
      <c r="B208" s="4" t="s">
        <v>114</v>
      </c>
      <c r="C208" s="4" t="s">
        <v>21</v>
      </c>
    </row>
    <row r="209" spans="1:3" ht="14.6" x14ac:dyDescent="0.4">
      <c r="A209" s="3" t="s">
        <v>381</v>
      </c>
      <c r="B209" s="4" t="s">
        <v>286</v>
      </c>
      <c r="C209" s="4" t="s">
        <v>55</v>
      </c>
    </row>
    <row r="210" spans="1:3" ht="14.6" x14ac:dyDescent="0.4">
      <c r="A210" s="3" t="s">
        <v>382</v>
      </c>
      <c r="B210" s="4" t="s">
        <v>383</v>
      </c>
      <c r="C210" s="4" t="s">
        <v>12</v>
      </c>
    </row>
    <row r="211" spans="1:3" ht="14.6" x14ac:dyDescent="0.4">
      <c r="A211" s="3" t="s">
        <v>384</v>
      </c>
      <c r="B211" s="4" t="s">
        <v>363</v>
      </c>
      <c r="C211" s="4" t="s">
        <v>18</v>
      </c>
    </row>
    <row r="212" spans="1:3" ht="14.6" x14ac:dyDescent="0.4">
      <c r="A212" s="3" t="s">
        <v>385</v>
      </c>
      <c r="B212" s="4" t="s">
        <v>252</v>
      </c>
      <c r="C212" s="4" t="s">
        <v>29</v>
      </c>
    </row>
    <row r="213" spans="1:3" ht="14.6" x14ac:dyDescent="0.4">
      <c r="A213" s="3" t="s">
        <v>386</v>
      </c>
      <c r="B213" s="4" t="s">
        <v>303</v>
      </c>
      <c r="C213" s="4" t="s">
        <v>68</v>
      </c>
    </row>
    <row r="214" spans="1:3" ht="14.6" x14ac:dyDescent="0.4">
      <c r="A214" s="3" t="s">
        <v>387</v>
      </c>
      <c r="B214" s="4" t="s">
        <v>82</v>
      </c>
      <c r="C214" s="4" t="s">
        <v>21</v>
      </c>
    </row>
    <row r="215" spans="1:3" ht="14.6" x14ac:dyDescent="0.4">
      <c r="A215" s="3" t="s">
        <v>388</v>
      </c>
      <c r="B215" s="4" t="s">
        <v>389</v>
      </c>
      <c r="C215" s="4" t="s">
        <v>68</v>
      </c>
    </row>
    <row r="216" spans="1:3" ht="14.6" x14ac:dyDescent="0.4">
      <c r="A216" s="3" t="s">
        <v>390</v>
      </c>
      <c r="B216" s="4" t="s">
        <v>391</v>
      </c>
      <c r="C216" s="4" t="s">
        <v>47</v>
      </c>
    </row>
    <row r="217" spans="1:3" ht="14.6" x14ac:dyDescent="0.4">
      <c r="A217" s="3" t="s">
        <v>392</v>
      </c>
      <c r="B217" s="4" t="s">
        <v>345</v>
      </c>
      <c r="C217" s="4" t="s">
        <v>58</v>
      </c>
    </row>
    <row r="218" spans="1:3" ht="14.6" x14ac:dyDescent="0.4">
      <c r="A218" s="3" t="s">
        <v>393</v>
      </c>
      <c r="B218" s="4" t="s">
        <v>291</v>
      </c>
      <c r="C218" s="4" t="s">
        <v>18</v>
      </c>
    </row>
    <row r="219" spans="1:3" ht="14.6" x14ac:dyDescent="0.4">
      <c r="A219" s="3" t="s">
        <v>394</v>
      </c>
      <c r="B219" s="4" t="s">
        <v>395</v>
      </c>
      <c r="C219" s="4" t="s">
        <v>29</v>
      </c>
    </row>
    <row r="220" spans="1:3" ht="14.6" x14ac:dyDescent="0.4">
      <c r="A220" s="3" t="s">
        <v>396</v>
      </c>
      <c r="B220" s="4" t="s">
        <v>164</v>
      </c>
      <c r="C220" s="4" t="s">
        <v>15</v>
      </c>
    </row>
    <row r="221" spans="1:3" ht="14.6" x14ac:dyDescent="0.4">
      <c r="A221" s="3" t="s">
        <v>397</v>
      </c>
      <c r="B221" s="4" t="s">
        <v>122</v>
      </c>
      <c r="C221" s="4" t="s">
        <v>68</v>
      </c>
    </row>
    <row r="222" spans="1:3" ht="14.6" x14ac:dyDescent="0.4">
      <c r="A222" s="3" t="s">
        <v>398</v>
      </c>
      <c r="B222" s="4" t="s">
        <v>74</v>
      </c>
      <c r="C222" s="4" t="s">
        <v>6</v>
      </c>
    </row>
    <row r="223" spans="1:3" ht="14.6" x14ac:dyDescent="0.4">
      <c r="A223" s="3" t="s">
        <v>399</v>
      </c>
      <c r="B223" s="4" t="s">
        <v>80</v>
      </c>
      <c r="C223" s="4" t="s">
        <v>24</v>
      </c>
    </row>
    <row r="224" spans="1:3" ht="14.6" x14ac:dyDescent="0.4">
      <c r="A224" s="3" t="s">
        <v>400</v>
      </c>
      <c r="B224" s="4" t="s">
        <v>80</v>
      </c>
      <c r="C224" s="4" t="s">
        <v>52</v>
      </c>
    </row>
    <row r="225" spans="1:3" ht="14.6" x14ac:dyDescent="0.4">
      <c r="A225" s="3" t="s">
        <v>401</v>
      </c>
      <c r="B225" s="4" t="s">
        <v>263</v>
      </c>
      <c r="C225" s="4" t="s">
        <v>9</v>
      </c>
    </row>
    <row r="226" spans="1:3" ht="14.6" x14ac:dyDescent="0.4">
      <c r="A226" s="3" t="s">
        <v>402</v>
      </c>
      <c r="B226" s="4" t="s">
        <v>296</v>
      </c>
      <c r="C226" s="4" t="s">
        <v>12</v>
      </c>
    </row>
    <row r="227" spans="1:3" ht="14.6" x14ac:dyDescent="0.4">
      <c r="A227" s="3" t="s">
        <v>403</v>
      </c>
      <c r="B227" s="4" t="s">
        <v>404</v>
      </c>
      <c r="C227" s="4" t="s">
        <v>55</v>
      </c>
    </row>
    <row r="228" spans="1:3" ht="14.6" x14ac:dyDescent="0.4">
      <c r="A228" s="3" t="s">
        <v>405</v>
      </c>
      <c r="B228" s="4" t="s">
        <v>406</v>
      </c>
      <c r="C228" s="4" t="s">
        <v>29</v>
      </c>
    </row>
    <row r="229" spans="1:3" ht="14.6" x14ac:dyDescent="0.4">
      <c r="A229" s="3" t="s">
        <v>407</v>
      </c>
      <c r="B229" s="4" t="s">
        <v>395</v>
      </c>
      <c r="C229" s="4" t="s">
        <v>12</v>
      </c>
    </row>
    <row r="230" spans="1:3" ht="14.6" x14ac:dyDescent="0.4">
      <c r="A230" s="3" t="s">
        <v>408</v>
      </c>
      <c r="B230" s="4" t="s">
        <v>409</v>
      </c>
      <c r="C230" s="4" t="s">
        <v>34</v>
      </c>
    </row>
    <row r="231" spans="1:3" ht="14.6" x14ac:dyDescent="0.4">
      <c r="A231" s="3" t="s">
        <v>410</v>
      </c>
      <c r="B231" s="4" t="s">
        <v>411</v>
      </c>
      <c r="C231" s="4" t="s">
        <v>47</v>
      </c>
    </row>
    <row r="232" spans="1:3" ht="14.6" x14ac:dyDescent="0.4">
      <c r="A232" s="3" t="s">
        <v>412</v>
      </c>
      <c r="B232" s="4" t="s">
        <v>413</v>
      </c>
      <c r="C232" s="4" t="s">
        <v>55</v>
      </c>
    </row>
    <row r="233" spans="1:3" ht="14.6" x14ac:dyDescent="0.4">
      <c r="A233" s="3" t="s">
        <v>414</v>
      </c>
      <c r="B233" s="4" t="s">
        <v>151</v>
      </c>
      <c r="C233" s="4" t="s">
        <v>24</v>
      </c>
    </row>
    <row r="234" spans="1:3" ht="14.6" x14ac:dyDescent="0.4">
      <c r="A234" s="3" t="s">
        <v>415</v>
      </c>
      <c r="B234" s="4" t="s">
        <v>284</v>
      </c>
      <c r="C234" s="4" t="s">
        <v>24</v>
      </c>
    </row>
    <row r="235" spans="1:3" ht="14.6" x14ac:dyDescent="0.4">
      <c r="A235" s="3" t="s">
        <v>416</v>
      </c>
      <c r="B235" s="4" t="s">
        <v>224</v>
      </c>
      <c r="C235" s="4" t="s">
        <v>47</v>
      </c>
    </row>
    <row r="236" spans="1:3" ht="14.6" x14ac:dyDescent="0.4">
      <c r="A236" s="3" t="s">
        <v>417</v>
      </c>
      <c r="B236" s="4" t="s">
        <v>98</v>
      </c>
      <c r="C236" s="4" t="s">
        <v>15</v>
      </c>
    </row>
    <row r="237" spans="1:3" ht="14.6" x14ac:dyDescent="0.4">
      <c r="A237" s="3" t="s">
        <v>418</v>
      </c>
      <c r="B237" s="4" t="s">
        <v>419</v>
      </c>
      <c r="C237" s="4" t="s">
        <v>55</v>
      </c>
    </row>
    <row r="238" spans="1:3" ht="14.6" x14ac:dyDescent="0.4">
      <c r="A238" s="3" t="s">
        <v>420</v>
      </c>
      <c r="B238" s="4" t="s">
        <v>421</v>
      </c>
      <c r="C238" s="4" t="s">
        <v>21</v>
      </c>
    </row>
    <row r="239" spans="1:3" ht="14.6" x14ac:dyDescent="0.4">
      <c r="A239" s="3" t="s">
        <v>422</v>
      </c>
      <c r="B239" s="4" t="s">
        <v>40</v>
      </c>
      <c r="C239" s="4" t="s">
        <v>18</v>
      </c>
    </row>
    <row r="240" spans="1:3" ht="14.6" x14ac:dyDescent="0.4">
      <c r="A240" s="3" t="s">
        <v>423</v>
      </c>
      <c r="B240" s="4" t="s">
        <v>98</v>
      </c>
      <c r="C240" s="4" t="s">
        <v>68</v>
      </c>
    </row>
    <row r="241" spans="1:3" ht="14.6" x14ac:dyDescent="0.4">
      <c r="A241" s="3" t="s">
        <v>424</v>
      </c>
      <c r="B241" s="4" t="s">
        <v>232</v>
      </c>
      <c r="C241" s="4" t="s">
        <v>52</v>
      </c>
    </row>
    <row r="242" spans="1:3" ht="14.6" x14ac:dyDescent="0.4">
      <c r="A242" s="3" t="s">
        <v>425</v>
      </c>
      <c r="B242" s="4" t="s">
        <v>426</v>
      </c>
      <c r="C242" s="4" t="s">
        <v>9</v>
      </c>
    </row>
    <row r="243" spans="1:3" ht="14.6" x14ac:dyDescent="0.4">
      <c r="A243" s="3" t="s">
        <v>427</v>
      </c>
      <c r="B243" s="4" t="s">
        <v>428</v>
      </c>
      <c r="C243" s="4" t="s">
        <v>65</v>
      </c>
    </row>
    <row r="244" spans="1:3" ht="14.6" x14ac:dyDescent="0.4">
      <c r="A244" s="3" t="s">
        <v>429</v>
      </c>
      <c r="B244" s="4" t="s">
        <v>430</v>
      </c>
      <c r="C244" s="4" t="s">
        <v>24</v>
      </c>
    </row>
    <row r="245" spans="1:3" ht="14.6" x14ac:dyDescent="0.4">
      <c r="A245" s="3" t="s">
        <v>431</v>
      </c>
      <c r="B245" s="4" t="s">
        <v>40</v>
      </c>
      <c r="C245" s="4" t="s">
        <v>34</v>
      </c>
    </row>
    <row r="246" spans="1:3" ht="14.6" x14ac:dyDescent="0.4">
      <c r="A246" s="3" t="s">
        <v>432</v>
      </c>
      <c r="B246" s="4" t="s">
        <v>433</v>
      </c>
      <c r="C246" s="4" t="s">
        <v>47</v>
      </c>
    </row>
    <row r="247" spans="1:3" ht="14.6" x14ac:dyDescent="0.4">
      <c r="A247" s="3" t="s">
        <v>434</v>
      </c>
      <c r="B247" s="4" t="s">
        <v>101</v>
      </c>
      <c r="C247" s="4" t="s">
        <v>21</v>
      </c>
    </row>
    <row r="248" spans="1:3" ht="14.6" x14ac:dyDescent="0.4">
      <c r="A248" s="3" t="s">
        <v>435</v>
      </c>
      <c r="B248" s="4" t="s">
        <v>167</v>
      </c>
      <c r="C248" s="4" t="s">
        <v>6</v>
      </c>
    </row>
    <row r="249" spans="1:3" ht="14.6" x14ac:dyDescent="0.4">
      <c r="A249" s="3" t="s">
        <v>436</v>
      </c>
      <c r="B249" s="4" t="s">
        <v>389</v>
      </c>
      <c r="C249" s="4" t="s">
        <v>65</v>
      </c>
    </row>
    <row r="250" spans="1:3" ht="14.6" x14ac:dyDescent="0.4">
      <c r="A250" s="3" t="s">
        <v>437</v>
      </c>
      <c r="B250" s="4" t="s">
        <v>363</v>
      </c>
      <c r="C250" s="4" t="s">
        <v>24</v>
      </c>
    </row>
    <row r="251" spans="1:3" ht="14.6" x14ac:dyDescent="0.4">
      <c r="A251" s="3" t="s">
        <v>438</v>
      </c>
      <c r="B251" s="4" t="s">
        <v>439</v>
      </c>
      <c r="C251" s="4" t="s">
        <v>47</v>
      </c>
    </row>
    <row r="252" spans="1:3" ht="14.6" x14ac:dyDescent="0.4">
      <c r="A252" s="3" t="s">
        <v>440</v>
      </c>
      <c r="B252" s="4" t="s">
        <v>70</v>
      </c>
      <c r="C252" s="4" t="s">
        <v>18</v>
      </c>
    </row>
    <row r="253" spans="1:3" ht="14.6" x14ac:dyDescent="0.4">
      <c r="A253" s="3" t="s">
        <v>441</v>
      </c>
      <c r="B253" s="4" t="s">
        <v>372</v>
      </c>
      <c r="C253" s="4" t="s">
        <v>55</v>
      </c>
    </row>
    <row r="254" spans="1:3" ht="14.6" x14ac:dyDescent="0.4">
      <c r="A254" s="3" t="s">
        <v>442</v>
      </c>
      <c r="B254" s="4" t="s">
        <v>347</v>
      </c>
      <c r="C254" s="4" t="s">
        <v>55</v>
      </c>
    </row>
    <row r="255" spans="1:3" ht="14.6" x14ac:dyDescent="0.4">
      <c r="A255" s="3" t="s">
        <v>443</v>
      </c>
      <c r="B255" s="4" t="s">
        <v>444</v>
      </c>
      <c r="C255" s="4" t="s">
        <v>18</v>
      </c>
    </row>
    <row r="256" spans="1:3" ht="14.6" x14ac:dyDescent="0.4">
      <c r="A256" s="3" t="s">
        <v>445</v>
      </c>
      <c r="B256" s="4" t="s">
        <v>289</v>
      </c>
      <c r="C256" s="4" t="s">
        <v>55</v>
      </c>
    </row>
    <row r="257" spans="1:3" ht="14.6" x14ac:dyDescent="0.4">
      <c r="A257" s="3" t="s">
        <v>446</v>
      </c>
      <c r="B257" s="4" t="s">
        <v>126</v>
      </c>
      <c r="C257" s="4" t="s">
        <v>9</v>
      </c>
    </row>
    <row r="258" spans="1:3" ht="14.6" x14ac:dyDescent="0.4">
      <c r="A258" s="3" t="s">
        <v>447</v>
      </c>
      <c r="B258" s="4" t="s">
        <v>448</v>
      </c>
      <c r="C258" s="4" t="s">
        <v>47</v>
      </c>
    </row>
    <row r="259" spans="1:3" ht="14.6" x14ac:dyDescent="0.4">
      <c r="A259" s="3" t="s">
        <v>449</v>
      </c>
      <c r="B259" s="4" t="s">
        <v>67</v>
      </c>
      <c r="C259" s="4" t="s">
        <v>29</v>
      </c>
    </row>
    <row r="260" spans="1:3" ht="14.6" x14ac:dyDescent="0.4">
      <c r="A260" s="3" t="s">
        <v>450</v>
      </c>
      <c r="B260" s="4" t="s">
        <v>451</v>
      </c>
      <c r="C260" s="4" t="s">
        <v>58</v>
      </c>
    </row>
    <row r="261" spans="1:3" ht="14.6" x14ac:dyDescent="0.4">
      <c r="A261" s="3" t="s">
        <v>452</v>
      </c>
      <c r="B261" s="4" t="s">
        <v>215</v>
      </c>
      <c r="C261" s="4" t="s">
        <v>21</v>
      </c>
    </row>
    <row r="262" spans="1:3" ht="14.6" x14ac:dyDescent="0.4">
      <c r="A262" s="3" t="s">
        <v>453</v>
      </c>
      <c r="B262" s="4" t="s">
        <v>38</v>
      </c>
      <c r="C262" s="4" t="s">
        <v>58</v>
      </c>
    </row>
    <row r="263" spans="1:3" ht="14.6" x14ac:dyDescent="0.4">
      <c r="A263" s="3" t="s">
        <v>454</v>
      </c>
      <c r="B263" s="4" t="s">
        <v>146</v>
      </c>
      <c r="C263" s="4" t="s">
        <v>47</v>
      </c>
    </row>
    <row r="264" spans="1:3" ht="14.6" x14ac:dyDescent="0.4">
      <c r="A264" s="3" t="s">
        <v>455</v>
      </c>
      <c r="B264" s="4" t="s">
        <v>456</v>
      </c>
      <c r="C264" s="4" t="s">
        <v>68</v>
      </c>
    </row>
    <row r="265" spans="1:3" ht="14.6" x14ac:dyDescent="0.4">
      <c r="A265" s="3" t="s">
        <v>457</v>
      </c>
      <c r="B265" s="4" t="s">
        <v>234</v>
      </c>
      <c r="C265" s="4" t="s">
        <v>52</v>
      </c>
    </row>
    <row r="266" spans="1:3" ht="14.6" x14ac:dyDescent="0.4">
      <c r="A266" s="3" t="s">
        <v>458</v>
      </c>
      <c r="B266" s="4" t="s">
        <v>128</v>
      </c>
      <c r="C266" s="4" t="s">
        <v>52</v>
      </c>
    </row>
    <row r="267" spans="1:3" ht="14.6" x14ac:dyDescent="0.4">
      <c r="A267" s="3" t="s">
        <v>459</v>
      </c>
      <c r="B267" s="4" t="s">
        <v>460</v>
      </c>
      <c r="C267" s="4" t="s">
        <v>9</v>
      </c>
    </row>
    <row r="268" spans="1:3" ht="14.6" x14ac:dyDescent="0.4">
      <c r="A268" s="3" t="s">
        <v>461</v>
      </c>
      <c r="B268" s="4" t="s">
        <v>184</v>
      </c>
      <c r="C268" s="4" t="s">
        <v>24</v>
      </c>
    </row>
    <row r="269" spans="1:3" ht="14.6" x14ac:dyDescent="0.4">
      <c r="A269" s="3" t="s">
        <v>462</v>
      </c>
      <c r="B269" s="4" t="s">
        <v>146</v>
      </c>
      <c r="C269" s="4" t="s">
        <v>12</v>
      </c>
    </row>
    <row r="270" spans="1:3" ht="14.6" x14ac:dyDescent="0.4">
      <c r="A270" s="3" t="s">
        <v>463</v>
      </c>
      <c r="B270" s="4" t="s">
        <v>464</v>
      </c>
      <c r="C270" s="4" t="s">
        <v>15</v>
      </c>
    </row>
    <row r="271" spans="1:3" ht="14.6" x14ac:dyDescent="0.4">
      <c r="A271" s="3" t="s">
        <v>465</v>
      </c>
      <c r="B271" s="4" t="s">
        <v>377</v>
      </c>
      <c r="C271" s="4" t="s">
        <v>29</v>
      </c>
    </row>
    <row r="272" spans="1:3" ht="14.6" x14ac:dyDescent="0.4">
      <c r="A272" s="3" t="s">
        <v>466</v>
      </c>
      <c r="B272" s="4" t="s">
        <v>467</v>
      </c>
      <c r="C272" s="4" t="s">
        <v>6</v>
      </c>
    </row>
    <row r="273" spans="1:3" ht="14.6" x14ac:dyDescent="0.4">
      <c r="A273" s="3" t="s">
        <v>468</v>
      </c>
      <c r="B273" s="4" t="s">
        <v>426</v>
      </c>
      <c r="C273" s="4" t="s">
        <v>24</v>
      </c>
    </row>
    <row r="274" spans="1:3" ht="14.6" x14ac:dyDescent="0.4">
      <c r="A274" s="3" t="s">
        <v>469</v>
      </c>
      <c r="B274" s="4" t="s">
        <v>470</v>
      </c>
      <c r="C274" s="4" t="s">
        <v>21</v>
      </c>
    </row>
    <row r="275" spans="1:3" ht="14.6" x14ac:dyDescent="0.4">
      <c r="A275" s="3" t="s">
        <v>471</v>
      </c>
      <c r="B275" s="4" t="s">
        <v>195</v>
      </c>
      <c r="C275" s="4" t="s">
        <v>58</v>
      </c>
    </row>
    <row r="276" spans="1:3" ht="14.6" x14ac:dyDescent="0.4">
      <c r="A276" s="3" t="s">
        <v>472</v>
      </c>
      <c r="B276" s="4" t="s">
        <v>322</v>
      </c>
      <c r="C276" s="4" t="s">
        <v>47</v>
      </c>
    </row>
    <row r="277" spans="1:3" ht="14.6" x14ac:dyDescent="0.4">
      <c r="A277" s="3" t="s">
        <v>473</v>
      </c>
      <c r="B277" s="4" t="s">
        <v>474</v>
      </c>
      <c r="C277" s="4" t="s">
        <v>12</v>
      </c>
    </row>
    <row r="278" spans="1:3" ht="14.6" x14ac:dyDescent="0.4">
      <c r="A278" s="3" t="s">
        <v>475</v>
      </c>
      <c r="B278" s="4" t="s">
        <v>476</v>
      </c>
      <c r="C278" s="4" t="s">
        <v>12</v>
      </c>
    </row>
    <row r="279" spans="1:3" ht="14.6" x14ac:dyDescent="0.4">
      <c r="A279" s="3" t="s">
        <v>477</v>
      </c>
      <c r="B279" s="4" t="s">
        <v>74</v>
      </c>
      <c r="C279" s="4" t="s">
        <v>24</v>
      </c>
    </row>
    <row r="280" spans="1:3" ht="14.6" x14ac:dyDescent="0.4">
      <c r="A280" s="3" t="s">
        <v>478</v>
      </c>
      <c r="B280" s="4" t="s">
        <v>479</v>
      </c>
      <c r="C280" s="4" t="s">
        <v>58</v>
      </c>
    </row>
    <row r="281" spans="1:3" ht="14.6" x14ac:dyDescent="0.4">
      <c r="A281" s="3" t="s">
        <v>480</v>
      </c>
      <c r="B281" s="4" t="s">
        <v>20</v>
      </c>
      <c r="C281" s="4" t="s">
        <v>55</v>
      </c>
    </row>
    <row r="282" spans="1:3" ht="14.6" x14ac:dyDescent="0.4">
      <c r="A282" s="3" t="s">
        <v>481</v>
      </c>
      <c r="B282" s="4" t="s">
        <v>482</v>
      </c>
      <c r="C282" s="4" t="s">
        <v>68</v>
      </c>
    </row>
    <row r="283" spans="1:3" ht="14.6" x14ac:dyDescent="0.4">
      <c r="A283" s="3" t="s">
        <v>483</v>
      </c>
      <c r="B283" s="4" t="s">
        <v>209</v>
      </c>
      <c r="C283" s="4" t="s">
        <v>18</v>
      </c>
    </row>
    <row r="284" spans="1:3" ht="14.6" x14ac:dyDescent="0.4">
      <c r="A284" s="3" t="s">
        <v>484</v>
      </c>
      <c r="B284" s="4" t="s">
        <v>485</v>
      </c>
      <c r="C284" s="4" t="s">
        <v>68</v>
      </c>
    </row>
    <row r="285" spans="1:3" ht="14.6" x14ac:dyDescent="0.4">
      <c r="A285" s="3" t="s">
        <v>486</v>
      </c>
      <c r="B285" s="4" t="s">
        <v>213</v>
      </c>
      <c r="C285" s="4" t="s">
        <v>68</v>
      </c>
    </row>
    <row r="286" spans="1:3" ht="14.6" x14ac:dyDescent="0.4">
      <c r="A286" s="3" t="s">
        <v>487</v>
      </c>
      <c r="B286" s="4" t="s">
        <v>224</v>
      </c>
      <c r="C286" s="4" t="s">
        <v>68</v>
      </c>
    </row>
    <row r="287" spans="1:3" ht="14.6" x14ac:dyDescent="0.4">
      <c r="A287" s="3" t="s">
        <v>488</v>
      </c>
      <c r="B287" s="4" t="s">
        <v>213</v>
      </c>
      <c r="C287" s="4" t="s">
        <v>9</v>
      </c>
    </row>
    <row r="288" spans="1:3" ht="14.6" x14ac:dyDescent="0.4">
      <c r="A288" s="3" t="s">
        <v>489</v>
      </c>
      <c r="B288" s="4" t="s">
        <v>490</v>
      </c>
      <c r="C288" s="4" t="s">
        <v>6</v>
      </c>
    </row>
    <row r="289" spans="1:3" ht="14.6" x14ac:dyDescent="0.4">
      <c r="A289" s="3" t="s">
        <v>491</v>
      </c>
      <c r="B289" s="4" t="s">
        <v>492</v>
      </c>
      <c r="C289" s="4" t="s">
        <v>21</v>
      </c>
    </row>
    <row r="290" spans="1:3" ht="14.6" x14ac:dyDescent="0.4">
      <c r="A290" s="3" t="s">
        <v>493</v>
      </c>
      <c r="B290" s="4" t="s">
        <v>494</v>
      </c>
      <c r="C290" s="4" t="s">
        <v>47</v>
      </c>
    </row>
    <row r="291" spans="1:3" ht="14.6" x14ac:dyDescent="0.4">
      <c r="A291" s="3" t="s">
        <v>495</v>
      </c>
      <c r="B291" s="4" t="s">
        <v>86</v>
      </c>
      <c r="C291" s="4" t="s">
        <v>34</v>
      </c>
    </row>
    <row r="292" spans="1:3" ht="14.6" x14ac:dyDescent="0.4">
      <c r="A292" s="3" t="s">
        <v>496</v>
      </c>
      <c r="B292" s="4" t="s">
        <v>413</v>
      </c>
      <c r="C292" s="4" t="s">
        <v>65</v>
      </c>
    </row>
    <row r="293" spans="1:3" ht="14.6" x14ac:dyDescent="0.4">
      <c r="A293" s="3" t="s">
        <v>497</v>
      </c>
      <c r="B293" s="4" t="s">
        <v>498</v>
      </c>
      <c r="C293" s="4" t="s">
        <v>9</v>
      </c>
    </row>
    <row r="294" spans="1:3" ht="14.6" x14ac:dyDescent="0.4">
      <c r="A294" s="3" t="s">
        <v>499</v>
      </c>
      <c r="B294" s="4" t="s">
        <v>500</v>
      </c>
      <c r="C294" s="4" t="s">
        <v>52</v>
      </c>
    </row>
    <row r="295" spans="1:3" ht="14.6" x14ac:dyDescent="0.4">
      <c r="A295" s="3" t="s">
        <v>501</v>
      </c>
      <c r="B295" s="4" t="s">
        <v>14</v>
      </c>
      <c r="C295" s="4" t="s">
        <v>29</v>
      </c>
    </row>
    <row r="296" spans="1:3" ht="14.6" x14ac:dyDescent="0.4">
      <c r="A296" s="3" t="s">
        <v>502</v>
      </c>
      <c r="B296" s="4" t="s">
        <v>322</v>
      </c>
      <c r="C296" s="4" t="s">
        <v>24</v>
      </c>
    </row>
    <row r="297" spans="1:3" ht="14.6" x14ac:dyDescent="0.4">
      <c r="A297" s="3" t="s">
        <v>503</v>
      </c>
      <c r="B297" s="4" t="s">
        <v>504</v>
      </c>
      <c r="C297" s="4" t="s">
        <v>65</v>
      </c>
    </row>
    <row r="298" spans="1:3" ht="14.6" x14ac:dyDescent="0.4">
      <c r="A298" s="3" t="s">
        <v>505</v>
      </c>
      <c r="B298" s="4" t="s">
        <v>506</v>
      </c>
      <c r="C298" s="4" t="s">
        <v>15</v>
      </c>
    </row>
    <row r="299" spans="1:3" ht="14.6" x14ac:dyDescent="0.4">
      <c r="A299" s="3" t="s">
        <v>507</v>
      </c>
      <c r="B299" s="4" t="s">
        <v>176</v>
      </c>
      <c r="C299" s="4" t="s">
        <v>24</v>
      </c>
    </row>
    <row r="300" spans="1:3" ht="14.6" x14ac:dyDescent="0.4">
      <c r="A300" s="3" t="s">
        <v>508</v>
      </c>
      <c r="B300" s="4" t="s">
        <v>252</v>
      </c>
      <c r="C300" s="4" t="s">
        <v>65</v>
      </c>
    </row>
    <row r="301" spans="1:3" ht="14.6" x14ac:dyDescent="0.4">
      <c r="A301" s="3" t="s">
        <v>509</v>
      </c>
      <c r="B301" s="4" t="s">
        <v>176</v>
      </c>
      <c r="C301" s="4" t="s">
        <v>47</v>
      </c>
    </row>
    <row r="302" spans="1:3" ht="14.6" x14ac:dyDescent="0.4">
      <c r="A302" s="3" t="s">
        <v>510</v>
      </c>
      <c r="B302" s="4" t="s">
        <v>511</v>
      </c>
      <c r="C302" s="4" t="s">
        <v>29</v>
      </c>
    </row>
    <row r="303" spans="1:3" ht="14.6" x14ac:dyDescent="0.4">
      <c r="A303" s="3" t="s">
        <v>512</v>
      </c>
      <c r="B303" s="4" t="s">
        <v>318</v>
      </c>
      <c r="C303" s="4" t="s">
        <v>21</v>
      </c>
    </row>
    <row r="304" spans="1:3" ht="14.6" x14ac:dyDescent="0.4">
      <c r="A304" s="3" t="s">
        <v>513</v>
      </c>
      <c r="B304" s="4" t="s">
        <v>335</v>
      </c>
      <c r="C304" s="4" t="s">
        <v>68</v>
      </c>
    </row>
    <row r="305" spans="1:3" ht="14.6" x14ac:dyDescent="0.4">
      <c r="A305" s="3" t="s">
        <v>514</v>
      </c>
      <c r="B305" s="4" t="s">
        <v>146</v>
      </c>
      <c r="C305" s="4" t="s">
        <v>6</v>
      </c>
    </row>
    <row r="306" spans="1:3" ht="14.6" x14ac:dyDescent="0.4">
      <c r="A306" s="3" t="s">
        <v>515</v>
      </c>
      <c r="B306" s="4" t="s">
        <v>174</v>
      </c>
      <c r="C306" s="4" t="s">
        <v>65</v>
      </c>
    </row>
    <row r="307" spans="1:3" ht="14.6" x14ac:dyDescent="0.4">
      <c r="A307" s="3" t="s">
        <v>516</v>
      </c>
      <c r="B307" s="4" t="s">
        <v>232</v>
      </c>
      <c r="C307" s="4" t="s">
        <v>9</v>
      </c>
    </row>
    <row r="308" spans="1:3" ht="14.6" x14ac:dyDescent="0.4">
      <c r="A308" s="3" t="s">
        <v>517</v>
      </c>
      <c r="B308" s="4" t="s">
        <v>202</v>
      </c>
      <c r="C308" s="4" t="s">
        <v>55</v>
      </c>
    </row>
    <row r="309" spans="1:3" ht="14.6" x14ac:dyDescent="0.4">
      <c r="A309" s="3" t="s">
        <v>518</v>
      </c>
      <c r="B309" s="4" t="s">
        <v>519</v>
      </c>
      <c r="C309" s="4" t="s">
        <v>34</v>
      </c>
    </row>
    <row r="310" spans="1:3" ht="14.6" x14ac:dyDescent="0.4">
      <c r="A310" s="3" t="s">
        <v>520</v>
      </c>
      <c r="B310" s="4" t="s">
        <v>98</v>
      </c>
      <c r="C310" s="4" t="s">
        <v>9</v>
      </c>
    </row>
    <row r="311" spans="1:3" ht="14.6" x14ac:dyDescent="0.4">
      <c r="A311" s="3" t="s">
        <v>521</v>
      </c>
      <c r="B311" s="4" t="s">
        <v>522</v>
      </c>
      <c r="C311" s="4" t="s">
        <v>21</v>
      </c>
    </row>
    <row r="312" spans="1:3" ht="14.6" x14ac:dyDescent="0.4">
      <c r="A312" s="3" t="s">
        <v>523</v>
      </c>
      <c r="B312" s="4" t="s">
        <v>232</v>
      </c>
      <c r="C312" s="4" t="s">
        <v>15</v>
      </c>
    </row>
    <row r="313" spans="1:3" ht="14.6" x14ac:dyDescent="0.4">
      <c r="A313" s="3" t="s">
        <v>524</v>
      </c>
      <c r="B313" s="4" t="s">
        <v>14</v>
      </c>
      <c r="C313" s="4" t="s">
        <v>65</v>
      </c>
    </row>
    <row r="314" spans="1:3" ht="14.6" x14ac:dyDescent="0.4">
      <c r="A314" s="3" t="s">
        <v>525</v>
      </c>
      <c r="B314" s="4" t="s">
        <v>433</v>
      </c>
      <c r="C314" s="4" t="s">
        <v>47</v>
      </c>
    </row>
    <row r="315" spans="1:3" ht="14.6" x14ac:dyDescent="0.4">
      <c r="A315" s="3" t="s">
        <v>526</v>
      </c>
      <c r="B315" s="4" t="s">
        <v>82</v>
      </c>
      <c r="C315" s="4" t="s">
        <v>29</v>
      </c>
    </row>
    <row r="316" spans="1:3" ht="14.6" x14ac:dyDescent="0.4">
      <c r="A316" s="3" t="s">
        <v>527</v>
      </c>
      <c r="B316" s="4" t="s">
        <v>158</v>
      </c>
      <c r="C316" s="4" t="s">
        <v>9</v>
      </c>
    </row>
    <row r="317" spans="1:3" ht="14.6" x14ac:dyDescent="0.4">
      <c r="A317" s="3" t="s">
        <v>528</v>
      </c>
      <c r="B317" s="4" t="s">
        <v>529</v>
      </c>
      <c r="C317" s="4" t="s">
        <v>65</v>
      </c>
    </row>
    <row r="318" spans="1:3" ht="14.6" x14ac:dyDescent="0.4">
      <c r="A318" s="3" t="s">
        <v>530</v>
      </c>
      <c r="B318" s="4" t="s">
        <v>28</v>
      </c>
      <c r="C318" s="4" t="s">
        <v>18</v>
      </c>
    </row>
    <row r="319" spans="1:3" ht="14.6" x14ac:dyDescent="0.4">
      <c r="A319" s="3" t="s">
        <v>531</v>
      </c>
      <c r="B319" s="4" t="s">
        <v>329</v>
      </c>
      <c r="C319" s="4" t="s">
        <v>65</v>
      </c>
    </row>
    <row r="320" spans="1:3" ht="14.6" x14ac:dyDescent="0.4">
      <c r="A320" s="3" t="s">
        <v>532</v>
      </c>
      <c r="B320" s="4" t="s">
        <v>202</v>
      </c>
      <c r="C320" s="4" t="s">
        <v>12</v>
      </c>
    </row>
    <row r="321" spans="1:3" ht="14.6" x14ac:dyDescent="0.4">
      <c r="A321" s="3" t="s">
        <v>533</v>
      </c>
      <c r="B321" s="4" t="s">
        <v>367</v>
      </c>
      <c r="C321" s="4" t="s">
        <v>58</v>
      </c>
    </row>
    <row r="322" spans="1:3" ht="14.6" x14ac:dyDescent="0.4">
      <c r="A322" s="3" t="s">
        <v>534</v>
      </c>
      <c r="B322" s="4" t="s">
        <v>359</v>
      </c>
      <c r="C322" s="4" t="s">
        <v>12</v>
      </c>
    </row>
    <row r="323" spans="1:3" ht="14.6" x14ac:dyDescent="0.4">
      <c r="A323" s="3" t="s">
        <v>535</v>
      </c>
      <c r="B323" s="4" t="s">
        <v>439</v>
      </c>
      <c r="C323" s="4" t="s">
        <v>47</v>
      </c>
    </row>
    <row r="324" spans="1:3" ht="14.6" x14ac:dyDescent="0.4">
      <c r="A324" s="3" t="s">
        <v>536</v>
      </c>
      <c r="B324" s="4" t="s">
        <v>537</v>
      </c>
      <c r="C324" s="4" t="s">
        <v>21</v>
      </c>
    </row>
    <row r="325" spans="1:3" ht="14.6" x14ac:dyDescent="0.4">
      <c r="A325" s="3" t="s">
        <v>538</v>
      </c>
      <c r="B325" s="4" t="s">
        <v>539</v>
      </c>
      <c r="C325" s="4" t="s">
        <v>68</v>
      </c>
    </row>
    <row r="326" spans="1:3" ht="14.6" x14ac:dyDescent="0.4">
      <c r="A326" s="3" t="s">
        <v>540</v>
      </c>
      <c r="B326" s="4" t="s">
        <v>406</v>
      </c>
      <c r="C326" s="4" t="s">
        <v>12</v>
      </c>
    </row>
    <row r="327" spans="1:3" ht="14.6" x14ac:dyDescent="0.4">
      <c r="A327" s="3" t="s">
        <v>541</v>
      </c>
      <c r="B327" s="4" t="s">
        <v>542</v>
      </c>
      <c r="C327" s="4" t="s">
        <v>68</v>
      </c>
    </row>
    <row r="328" spans="1:3" ht="14.6" x14ac:dyDescent="0.4">
      <c r="A328" s="3" t="s">
        <v>543</v>
      </c>
      <c r="B328" s="4" t="s">
        <v>31</v>
      </c>
      <c r="C328" s="4" t="s">
        <v>47</v>
      </c>
    </row>
    <row r="329" spans="1:3" ht="14.6" x14ac:dyDescent="0.4">
      <c r="A329" s="3" t="s">
        <v>544</v>
      </c>
      <c r="B329" s="4" t="s">
        <v>545</v>
      </c>
      <c r="C329" s="4" t="s">
        <v>15</v>
      </c>
    </row>
    <row r="330" spans="1:3" ht="14.6" x14ac:dyDescent="0.4">
      <c r="A330" s="3" t="s">
        <v>546</v>
      </c>
      <c r="B330" s="4" t="s">
        <v>259</v>
      </c>
      <c r="C330" s="4" t="s">
        <v>18</v>
      </c>
    </row>
    <row r="331" spans="1:3" ht="14.6" x14ac:dyDescent="0.4">
      <c r="A331" s="3" t="s">
        <v>547</v>
      </c>
      <c r="B331" s="4" t="s">
        <v>548</v>
      </c>
      <c r="C331" s="4" t="s">
        <v>18</v>
      </c>
    </row>
    <row r="332" spans="1:3" ht="14.6" x14ac:dyDescent="0.4">
      <c r="A332" s="3" t="s">
        <v>549</v>
      </c>
      <c r="B332" s="4" t="s">
        <v>90</v>
      </c>
      <c r="C332" s="4" t="s">
        <v>65</v>
      </c>
    </row>
    <row r="333" spans="1:3" ht="14.6" x14ac:dyDescent="0.4">
      <c r="A333" s="3" t="s">
        <v>550</v>
      </c>
      <c r="B333" s="4" t="s">
        <v>545</v>
      </c>
      <c r="C333" s="4" t="s">
        <v>55</v>
      </c>
    </row>
    <row r="334" spans="1:3" ht="14.6" x14ac:dyDescent="0.4">
      <c r="A334" s="3" t="s">
        <v>551</v>
      </c>
      <c r="B334" s="4" t="s">
        <v>552</v>
      </c>
      <c r="C334" s="4" t="s">
        <v>34</v>
      </c>
    </row>
    <row r="335" spans="1:3" ht="14.6" x14ac:dyDescent="0.4">
      <c r="A335" s="3" t="s">
        <v>553</v>
      </c>
      <c r="B335" s="4" t="s">
        <v>554</v>
      </c>
      <c r="C335" s="4" t="s">
        <v>12</v>
      </c>
    </row>
    <row r="336" spans="1:3" ht="14.6" x14ac:dyDescent="0.4">
      <c r="A336" s="3" t="s">
        <v>555</v>
      </c>
      <c r="B336" s="4" t="s">
        <v>506</v>
      </c>
      <c r="C336" s="4" t="s">
        <v>21</v>
      </c>
    </row>
    <row r="337" spans="1:3" ht="14.6" x14ac:dyDescent="0.4">
      <c r="A337" s="3" t="s">
        <v>556</v>
      </c>
      <c r="B337" s="4" t="s">
        <v>557</v>
      </c>
      <c r="C337" s="4" t="s">
        <v>9</v>
      </c>
    </row>
    <row r="338" spans="1:3" ht="14.6" x14ac:dyDescent="0.4">
      <c r="A338" s="3" t="s">
        <v>558</v>
      </c>
      <c r="B338" s="4" t="s">
        <v>14</v>
      </c>
      <c r="C338" s="4" t="s">
        <v>9</v>
      </c>
    </row>
    <row r="339" spans="1:3" ht="14.6" x14ac:dyDescent="0.4">
      <c r="A339" s="3" t="s">
        <v>559</v>
      </c>
      <c r="B339" s="4" t="s">
        <v>560</v>
      </c>
      <c r="C339" s="4" t="s">
        <v>47</v>
      </c>
    </row>
    <row r="340" spans="1:3" ht="14.6" x14ac:dyDescent="0.4">
      <c r="A340" s="3" t="s">
        <v>561</v>
      </c>
      <c r="B340" s="4" t="s">
        <v>562</v>
      </c>
      <c r="C340" s="4" t="s">
        <v>52</v>
      </c>
    </row>
    <row r="341" spans="1:3" ht="14.6" x14ac:dyDescent="0.4">
      <c r="A341" s="3" t="s">
        <v>563</v>
      </c>
      <c r="B341" s="4" t="s">
        <v>564</v>
      </c>
      <c r="C341" s="4" t="s">
        <v>29</v>
      </c>
    </row>
    <row r="342" spans="1:3" ht="14.6" x14ac:dyDescent="0.4">
      <c r="A342" s="3" t="s">
        <v>565</v>
      </c>
      <c r="B342" s="4" t="s">
        <v>84</v>
      </c>
      <c r="C342" s="4" t="s">
        <v>47</v>
      </c>
    </row>
    <row r="343" spans="1:3" ht="14.6" x14ac:dyDescent="0.4">
      <c r="A343" s="3" t="s">
        <v>566</v>
      </c>
      <c r="B343" s="4" t="s">
        <v>567</v>
      </c>
      <c r="C343" s="4" t="s">
        <v>34</v>
      </c>
    </row>
    <row r="344" spans="1:3" ht="14.6" x14ac:dyDescent="0.4">
      <c r="A344" s="3" t="s">
        <v>568</v>
      </c>
      <c r="B344" s="4" t="s">
        <v>569</v>
      </c>
      <c r="C344" s="4" t="s">
        <v>58</v>
      </c>
    </row>
    <row r="345" spans="1:3" ht="14.6" x14ac:dyDescent="0.4">
      <c r="A345" s="3" t="s">
        <v>570</v>
      </c>
      <c r="B345" s="4" t="s">
        <v>318</v>
      </c>
      <c r="C345" s="4" t="s">
        <v>52</v>
      </c>
    </row>
    <row r="346" spans="1:3" ht="14.6" x14ac:dyDescent="0.4">
      <c r="A346" s="3" t="s">
        <v>571</v>
      </c>
      <c r="B346" s="4" t="s">
        <v>213</v>
      </c>
      <c r="C346" s="4" t="s">
        <v>6</v>
      </c>
    </row>
    <row r="347" spans="1:3" ht="14.6" x14ac:dyDescent="0.4">
      <c r="A347" s="3" t="s">
        <v>572</v>
      </c>
      <c r="B347" s="4" t="s">
        <v>573</v>
      </c>
      <c r="C347" s="4" t="s">
        <v>15</v>
      </c>
    </row>
    <row r="348" spans="1:3" ht="14.6" x14ac:dyDescent="0.4">
      <c r="A348" s="3" t="s">
        <v>574</v>
      </c>
      <c r="B348" s="4" t="s">
        <v>246</v>
      </c>
      <c r="C348" s="4" t="s">
        <v>15</v>
      </c>
    </row>
    <row r="349" spans="1:3" ht="14.6" x14ac:dyDescent="0.4">
      <c r="A349" s="3" t="s">
        <v>575</v>
      </c>
      <c r="B349" s="4" t="s">
        <v>567</v>
      </c>
      <c r="C349" s="4" t="s">
        <v>65</v>
      </c>
    </row>
    <row r="350" spans="1:3" ht="14.6" x14ac:dyDescent="0.4">
      <c r="A350" s="3" t="s">
        <v>576</v>
      </c>
      <c r="B350" s="4" t="s">
        <v>44</v>
      </c>
      <c r="C350" s="4" t="s">
        <v>9</v>
      </c>
    </row>
    <row r="351" spans="1:3" ht="14.6" x14ac:dyDescent="0.4">
      <c r="A351" s="3" t="s">
        <v>577</v>
      </c>
      <c r="B351" s="4" t="s">
        <v>578</v>
      </c>
      <c r="C351" s="4" t="s">
        <v>21</v>
      </c>
    </row>
    <row r="352" spans="1:3" ht="14.6" x14ac:dyDescent="0.4">
      <c r="A352" s="3" t="s">
        <v>579</v>
      </c>
      <c r="B352" s="4" t="s">
        <v>369</v>
      </c>
      <c r="C352" s="4" t="s">
        <v>18</v>
      </c>
    </row>
    <row r="353" spans="1:3" ht="14.6" x14ac:dyDescent="0.4">
      <c r="A353" s="3" t="s">
        <v>580</v>
      </c>
      <c r="B353" s="4" t="s">
        <v>545</v>
      </c>
      <c r="C353" s="4" t="s">
        <v>18</v>
      </c>
    </row>
    <row r="354" spans="1:3" ht="14.6" x14ac:dyDescent="0.4">
      <c r="A354" s="3" t="s">
        <v>581</v>
      </c>
      <c r="B354" s="4" t="s">
        <v>101</v>
      </c>
      <c r="C354" s="4" t="s">
        <v>52</v>
      </c>
    </row>
    <row r="355" spans="1:3" ht="14.6" x14ac:dyDescent="0.4">
      <c r="A355" s="3" t="s">
        <v>582</v>
      </c>
      <c r="B355" s="4" t="s">
        <v>583</v>
      </c>
      <c r="C355" s="4" t="s">
        <v>24</v>
      </c>
    </row>
    <row r="356" spans="1:3" ht="14.6" x14ac:dyDescent="0.4">
      <c r="A356" s="3" t="s">
        <v>584</v>
      </c>
      <c r="B356" s="4" t="s">
        <v>131</v>
      </c>
      <c r="C356" s="4" t="s">
        <v>15</v>
      </c>
    </row>
    <row r="357" spans="1:3" ht="14.6" x14ac:dyDescent="0.4">
      <c r="A357" s="3" t="s">
        <v>585</v>
      </c>
      <c r="B357" s="4" t="s">
        <v>586</v>
      </c>
      <c r="C357" s="4" t="s">
        <v>29</v>
      </c>
    </row>
    <row r="358" spans="1:3" ht="14.6" x14ac:dyDescent="0.4">
      <c r="A358" s="3" t="s">
        <v>587</v>
      </c>
      <c r="B358" s="4" t="s">
        <v>406</v>
      </c>
      <c r="C358" s="4" t="s">
        <v>65</v>
      </c>
    </row>
    <row r="359" spans="1:3" ht="14.6" x14ac:dyDescent="0.4">
      <c r="A359" s="3" t="s">
        <v>588</v>
      </c>
      <c r="B359" s="4" t="s">
        <v>564</v>
      </c>
      <c r="C359" s="4" t="s">
        <v>12</v>
      </c>
    </row>
    <row r="360" spans="1:3" ht="14.6" x14ac:dyDescent="0.4">
      <c r="A360" s="3" t="s">
        <v>589</v>
      </c>
      <c r="B360" s="4" t="s">
        <v>31</v>
      </c>
      <c r="C360" s="4" t="s">
        <v>58</v>
      </c>
    </row>
    <row r="361" spans="1:3" ht="14.6" x14ac:dyDescent="0.4">
      <c r="A361" s="3" t="s">
        <v>590</v>
      </c>
      <c r="B361" s="4" t="s">
        <v>195</v>
      </c>
      <c r="C361" s="4" t="s">
        <v>58</v>
      </c>
    </row>
    <row r="362" spans="1:3" ht="14.6" x14ac:dyDescent="0.4">
      <c r="A362" s="3" t="s">
        <v>591</v>
      </c>
      <c r="B362" s="4" t="s">
        <v>46</v>
      </c>
      <c r="C362" s="4" t="s">
        <v>21</v>
      </c>
    </row>
    <row r="363" spans="1:3" ht="14.6" x14ac:dyDescent="0.4">
      <c r="A363" s="3" t="s">
        <v>592</v>
      </c>
      <c r="B363" s="4" t="s">
        <v>593</v>
      </c>
      <c r="C363" s="4" t="s">
        <v>18</v>
      </c>
    </row>
    <row r="364" spans="1:3" ht="14.6" x14ac:dyDescent="0.4">
      <c r="A364" s="3" t="s">
        <v>594</v>
      </c>
      <c r="B364" s="4" t="s">
        <v>595</v>
      </c>
      <c r="C364" s="4" t="s">
        <v>21</v>
      </c>
    </row>
    <row r="365" spans="1:3" ht="14.6" x14ac:dyDescent="0.4">
      <c r="A365" s="3" t="s">
        <v>596</v>
      </c>
      <c r="B365" s="4" t="s">
        <v>554</v>
      </c>
      <c r="C365" s="4" t="s">
        <v>34</v>
      </c>
    </row>
    <row r="366" spans="1:3" ht="14.6" x14ac:dyDescent="0.4">
      <c r="A366" s="3" t="s">
        <v>597</v>
      </c>
      <c r="B366" s="4" t="s">
        <v>598</v>
      </c>
      <c r="C366" s="4" t="s">
        <v>65</v>
      </c>
    </row>
    <row r="367" spans="1:3" ht="14.6" x14ac:dyDescent="0.4">
      <c r="A367" s="3" t="s">
        <v>599</v>
      </c>
      <c r="B367" s="4" t="s">
        <v>554</v>
      </c>
      <c r="C367" s="4" t="s">
        <v>34</v>
      </c>
    </row>
    <row r="368" spans="1:3" ht="14.6" x14ac:dyDescent="0.4">
      <c r="A368" s="3" t="s">
        <v>600</v>
      </c>
      <c r="B368" s="4" t="s">
        <v>601</v>
      </c>
      <c r="C368" s="4" t="s">
        <v>9</v>
      </c>
    </row>
    <row r="369" spans="1:3" ht="14.6" x14ac:dyDescent="0.4">
      <c r="A369" s="3" t="s">
        <v>602</v>
      </c>
      <c r="B369" s="4" t="s">
        <v>603</v>
      </c>
      <c r="C369" s="4" t="s">
        <v>68</v>
      </c>
    </row>
    <row r="370" spans="1:3" ht="14.6" x14ac:dyDescent="0.4">
      <c r="A370" s="3" t="s">
        <v>604</v>
      </c>
      <c r="B370" s="4" t="s">
        <v>605</v>
      </c>
      <c r="C370" s="4" t="s">
        <v>34</v>
      </c>
    </row>
    <row r="371" spans="1:3" ht="14.6" x14ac:dyDescent="0.4">
      <c r="A371" s="3" t="s">
        <v>606</v>
      </c>
      <c r="B371" s="4" t="s">
        <v>280</v>
      </c>
      <c r="C371" s="4" t="s">
        <v>15</v>
      </c>
    </row>
    <row r="372" spans="1:3" ht="14.6" x14ac:dyDescent="0.4">
      <c r="A372" s="3" t="s">
        <v>607</v>
      </c>
      <c r="B372" s="4" t="s">
        <v>372</v>
      </c>
      <c r="C372" s="4" t="s">
        <v>15</v>
      </c>
    </row>
    <row r="373" spans="1:3" ht="14.6" x14ac:dyDescent="0.4">
      <c r="A373" s="3" t="s">
        <v>608</v>
      </c>
      <c r="B373" s="4" t="s">
        <v>5</v>
      </c>
      <c r="C373" s="4" t="s">
        <v>65</v>
      </c>
    </row>
    <row r="374" spans="1:3" ht="14.6" x14ac:dyDescent="0.4">
      <c r="A374" s="3" t="s">
        <v>609</v>
      </c>
      <c r="B374" s="4" t="s">
        <v>17</v>
      </c>
      <c r="C374" s="4" t="s">
        <v>24</v>
      </c>
    </row>
    <row r="375" spans="1:3" ht="14.6" x14ac:dyDescent="0.4">
      <c r="A375" s="3" t="s">
        <v>610</v>
      </c>
      <c r="B375" s="4" t="s">
        <v>389</v>
      </c>
      <c r="C375" s="4" t="s">
        <v>15</v>
      </c>
    </row>
    <row r="376" spans="1:3" ht="14.6" x14ac:dyDescent="0.4">
      <c r="A376" s="3" t="s">
        <v>611</v>
      </c>
      <c r="B376" s="4" t="s">
        <v>612</v>
      </c>
      <c r="C376" s="4" t="s">
        <v>21</v>
      </c>
    </row>
    <row r="377" spans="1:3" ht="14.6" x14ac:dyDescent="0.4">
      <c r="A377" s="3" t="s">
        <v>613</v>
      </c>
      <c r="B377" s="4" t="s">
        <v>70</v>
      </c>
      <c r="C377" s="4" t="s">
        <v>52</v>
      </c>
    </row>
    <row r="378" spans="1:3" ht="14.6" x14ac:dyDescent="0.4">
      <c r="A378" s="3" t="s">
        <v>614</v>
      </c>
      <c r="B378" s="4" t="s">
        <v>498</v>
      </c>
      <c r="C378" s="4" t="s">
        <v>52</v>
      </c>
    </row>
    <row r="379" spans="1:3" ht="14.6" x14ac:dyDescent="0.4">
      <c r="A379" s="3" t="s">
        <v>615</v>
      </c>
      <c r="B379" s="4" t="s">
        <v>296</v>
      </c>
      <c r="C379" s="4" t="s">
        <v>12</v>
      </c>
    </row>
    <row r="380" spans="1:3" ht="14.6" x14ac:dyDescent="0.4">
      <c r="A380" s="3" t="s">
        <v>616</v>
      </c>
      <c r="B380" s="4" t="s">
        <v>617</v>
      </c>
      <c r="C380" s="4" t="s">
        <v>65</v>
      </c>
    </row>
    <row r="381" spans="1:3" ht="14.6" x14ac:dyDescent="0.4">
      <c r="A381" s="3" t="s">
        <v>618</v>
      </c>
      <c r="B381" s="4" t="s">
        <v>612</v>
      </c>
      <c r="C381" s="4" t="s">
        <v>55</v>
      </c>
    </row>
    <row r="382" spans="1:3" ht="14.6" x14ac:dyDescent="0.4">
      <c r="A382" s="3" t="s">
        <v>619</v>
      </c>
      <c r="B382" s="4" t="s">
        <v>620</v>
      </c>
      <c r="C382" s="4" t="s">
        <v>52</v>
      </c>
    </row>
    <row r="383" spans="1:3" ht="14.6" x14ac:dyDescent="0.4">
      <c r="A383" s="3" t="s">
        <v>621</v>
      </c>
      <c r="B383" s="4" t="s">
        <v>444</v>
      </c>
      <c r="C383" s="4" t="s">
        <v>24</v>
      </c>
    </row>
    <row r="384" spans="1:3" ht="14.6" x14ac:dyDescent="0.4">
      <c r="A384" s="3" t="s">
        <v>622</v>
      </c>
      <c r="B384" s="4" t="s">
        <v>124</v>
      </c>
      <c r="C384" s="4" t="s">
        <v>34</v>
      </c>
    </row>
    <row r="385" spans="1:3" ht="14.6" x14ac:dyDescent="0.4">
      <c r="A385" s="3" t="s">
        <v>623</v>
      </c>
      <c r="B385" s="4" t="s">
        <v>460</v>
      </c>
      <c r="C385" s="4" t="s">
        <v>34</v>
      </c>
    </row>
    <row r="386" spans="1:3" ht="14.6" x14ac:dyDescent="0.4">
      <c r="A386" s="3" t="s">
        <v>624</v>
      </c>
      <c r="B386" s="4" t="s">
        <v>383</v>
      </c>
      <c r="C386" s="4" t="s">
        <v>24</v>
      </c>
    </row>
    <row r="387" spans="1:3" ht="14.6" x14ac:dyDescent="0.4">
      <c r="A387" s="3" t="s">
        <v>625</v>
      </c>
      <c r="B387" s="4" t="s">
        <v>139</v>
      </c>
      <c r="C387" s="4" t="s">
        <v>58</v>
      </c>
    </row>
    <row r="388" spans="1:3" ht="14.6" x14ac:dyDescent="0.4">
      <c r="A388" s="3" t="s">
        <v>626</v>
      </c>
      <c r="B388" s="4" t="s">
        <v>617</v>
      </c>
      <c r="C388" s="4" t="s">
        <v>52</v>
      </c>
    </row>
    <row r="389" spans="1:3" ht="14.6" x14ac:dyDescent="0.4">
      <c r="A389" s="3" t="s">
        <v>627</v>
      </c>
      <c r="B389" s="4" t="s">
        <v>26</v>
      </c>
      <c r="C389" s="4" t="s">
        <v>29</v>
      </c>
    </row>
    <row r="390" spans="1:3" ht="14.6" x14ac:dyDescent="0.4">
      <c r="A390" s="3" t="s">
        <v>628</v>
      </c>
      <c r="B390" s="4" t="s">
        <v>240</v>
      </c>
      <c r="C390" s="4" t="s">
        <v>18</v>
      </c>
    </row>
    <row r="391" spans="1:3" ht="14.6" x14ac:dyDescent="0.4">
      <c r="A391" s="3" t="s">
        <v>629</v>
      </c>
      <c r="B391" s="4" t="s">
        <v>257</v>
      </c>
      <c r="C391" s="4" t="s">
        <v>18</v>
      </c>
    </row>
    <row r="392" spans="1:3" ht="14.6" x14ac:dyDescent="0.4">
      <c r="A392" s="3" t="s">
        <v>630</v>
      </c>
      <c r="B392" s="4" t="s">
        <v>631</v>
      </c>
      <c r="C392" s="4" t="s">
        <v>68</v>
      </c>
    </row>
    <row r="393" spans="1:3" ht="14.6" x14ac:dyDescent="0.4">
      <c r="A393" s="3" t="s">
        <v>632</v>
      </c>
      <c r="B393" s="4" t="s">
        <v>28</v>
      </c>
      <c r="C393" s="4" t="s">
        <v>34</v>
      </c>
    </row>
    <row r="394" spans="1:3" ht="14.6" x14ac:dyDescent="0.4">
      <c r="A394" s="3" t="s">
        <v>633</v>
      </c>
      <c r="B394" s="4" t="s">
        <v>634</v>
      </c>
      <c r="C394" s="4" t="s">
        <v>21</v>
      </c>
    </row>
    <row r="395" spans="1:3" ht="14.6" x14ac:dyDescent="0.4">
      <c r="A395" s="3" t="s">
        <v>635</v>
      </c>
      <c r="B395" s="4" t="s">
        <v>178</v>
      </c>
      <c r="C395" s="4" t="s">
        <v>15</v>
      </c>
    </row>
    <row r="396" spans="1:3" ht="14.6" x14ac:dyDescent="0.4">
      <c r="A396" s="3" t="s">
        <v>636</v>
      </c>
      <c r="B396" s="4" t="s">
        <v>637</v>
      </c>
      <c r="C396" s="4" t="s">
        <v>47</v>
      </c>
    </row>
    <row r="397" spans="1:3" ht="14.6" x14ac:dyDescent="0.4">
      <c r="A397" s="3" t="s">
        <v>638</v>
      </c>
      <c r="B397" s="4" t="s">
        <v>60</v>
      </c>
      <c r="C397" s="4" t="s">
        <v>52</v>
      </c>
    </row>
    <row r="398" spans="1:3" ht="14.6" x14ac:dyDescent="0.4">
      <c r="A398" s="3" t="s">
        <v>639</v>
      </c>
      <c r="B398" s="4" t="s">
        <v>280</v>
      </c>
      <c r="C398" s="4" t="s">
        <v>18</v>
      </c>
    </row>
    <row r="399" spans="1:3" ht="14.6" x14ac:dyDescent="0.4">
      <c r="A399" s="3" t="s">
        <v>640</v>
      </c>
      <c r="B399" s="4" t="s">
        <v>641</v>
      </c>
      <c r="C399" s="4" t="s">
        <v>52</v>
      </c>
    </row>
    <row r="400" spans="1:3" ht="14.6" x14ac:dyDescent="0.4">
      <c r="A400" s="3" t="s">
        <v>642</v>
      </c>
      <c r="B400" s="4" t="s">
        <v>643</v>
      </c>
      <c r="C400" s="4" t="s">
        <v>18</v>
      </c>
    </row>
    <row r="401" spans="1:3" ht="14.6" x14ac:dyDescent="0.4">
      <c r="A401" s="3" t="s">
        <v>644</v>
      </c>
      <c r="B401" s="4" t="s">
        <v>645</v>
      </c>
      <c r="C401" s="4" t="s">
        <v>65</v>
      </c>
    </row>
    <row r="402" spans="1:3" ht="14.6" x14ac:dyDescent="0.4">
      <c r="A402" s="3" t="s">
        <v>646</v>
      </c>
      <c r="B402" s="4" t="s">
        <v>647</v>
      </c>
      <c r="C402" s="4" t="s">
        <v>52</v>
      </c>
    </row>
    <row r="403" spans="1:3" ht="14.6" x14ac:dyDescent="0.4">
      <c r="A403" s="3" t="s">
        <v>648</v>
      </c>
      <c r="B403" s="4" t="s">
        <v>649</v>
      </c>
      <c r="C403" s="4" t="s">
        <v>15</v>
      </c>
    </row>
    <row r="404" spans="1:3" ht="14.6" x14ac:dyDescent="0.4">
      <c r="A404" s="3" t="s">
        <v>650</v>
      </c>
      <c r="B404" s="4" t="s">
        <v>57</v>
      </c>
      <c r="C404" s="4" t="s">
        <v>47</v>
      </c>
    </row>
    <row r="405" spans="1:3" ht="14.6" x14ac:dyDescent="0.4">
      <c r="A405" s="3" t="s">
        <v>651</v>
      </c>
      <c r="B405" s="4" t="s">
        <v>395</v>
      </c>
      <c r="C405" s="4" t="s">
        <v>55</v>
      </c>
    </row>
    <row r="406" spans="1:3" ht="14.6" x14ac:dyDescent="0.4">
      <c r="A406" s="3" t="s">
        <v>652</v>
      </c>
      <c r="B406" s="4" t="s">
        <v>60</v>
      </c>
      <c r="C406" s="4" t="s">
        <v>68</v>
      </c>
    </row>
    <row r="407" spans="1:3" ht="14.6" x14ac:dyDescent="0.4">
      <c r="A407" s="3" t="s">
        <v>653</v>
      </c>
      <c r="B407" s="4" t="s">
        <v>221</v>
      </c>
      <c r="C407" s="4" t="s">
        <v>68</v>
      </c>
    </row>
    <row r="408" spans="1:3" ht="14.6" x14ac:dyDescent="0.4">
      <c r="A408" s="3" t="s">
        <v>654</v>
      </c>
      <c r="B408" s="4" t="s">
        <v>98</v>
      </c>
      <c r="C408" s="4" t="s">
        <v>6</v>
      </c>
    </row>
    <row r="409" spans="1:3" ht="14.6" x14ac:dyDescent="0.4">
      <c r="A409" s="3" t="s">
        <v>655</v>
      </c>
      <c r="B409" s="4" t="s">
        <v>511</v>
      </c>
      <c r="C409" s="4" t="s">
        <v>6</v>
      </c>
    </row>
    <row r="410" spans="1:3" ht="14.6" x14ac:dyDescent="0.4">
      <c r="A410" s="3" t="s">
        <v>656</v>
      </c>
      <c r="B410" s="4" t="s">
        <v>5</v>
      </c>
      <c r="C410" s="4" t="s">
        <v>55</v>
      </c>
    </row>
    <row r="411" spans="1:3" ht="14.6" x14ac:dyDescent="0.4">
      <c r="A411" s="3" t="s">
        <v>657</v>
      </c>
      <c r="B411" s="4" t="s">
        <v>658</v>
      </c>
      <c r="C411" s="4" t="s">
        <v>21</v>
      </c>
    </row>
    <row r="412" spans="1:3" ht="14.6" x14ac:dyDescent="0.4">
      <c r="A412" s="3" t="s">
        <v>659</v>
      </c>
      <c r="B412" s="4" t="s">
        <v>406</v>
      </c>
      <c r="C412" s="4" t="s">
        <v>29</v>
      </c>
    </row>
    <row r="413" spans="1:3" ht="14.6" x14ac:dyDescent="0.4">
      <c r="A413" s="3" t="s">
        <v>660</v>
      </c>
      <c r="B413" s="4" t="s">
        <v>661</v>
      </c>
      <c r="C413" s="4" t="s">
        <v>15</v>
      </c>
    </row>
    <row r="414" spans="1:3" ht="14.6" x14ac:dyDescent="0.4">
      <c r="A414" s="3" t="s">
        <v>662</v>
      </c>
      <c r="B414" s="4" t="s">
        <v>663</v>
      </c>
      <c r="C414" s="4" t="s">
        <v>52</v>
      </c>
    </row>
    <row r="415" spans="1:3" ht="14.6" x14ac:dyDescent="0.4">
      <c r="A415" s="3" t="s">
        <v>664</v>
      </c>
      <c r="B415" s="4" t="s">
        <v>112</v>
      </c>
      <c r="C415" s="4" t="s">
        <v>18</v>
      </c>
    </row>
    <row r="416" spans="1:3" ht="14.6" x14ac:dyDescent="0.4">
      <c r="A416" s="3" t="s">
        <v>665</v>
      </c>
      <c r="B416" s="4" t="s">
        <v>84</v>
      </c>
      <c r="C416" s="4" t="s">
        <v>9</v>
      </c>
    </row>
    <row r="417" spans="1:3" ht="14.6" x14ac:dyDescent="0.4">
      <c r="A417" s="3" t="s">
        <v>666</v>
      </c>
      <c r="B417" s="4" t="s">
        <v>667</v>
      </c>
      <c r="C417" s="4" t="s">
        <v>47</v>
      </c>
    </row>
    <row r="418" spans="1:3" ht="14.6" x14ac:dyDescent="0.4">
      <c r="A418" s="3" t="s">
        <v>668</v>
      </c>
      <c r="B418" s="4" t="s">
        <v>42</v>
      </c>
      <c r="C418" s="4" t="s">
        <v>58</v>
      </c>
    </row>
    <row r="419" spans="1:3" ht="14.6" x14ac:dyDescent="0.4">
      <c r="A419" s="3" t="s">
        <v>669</v>
      </c>
      <c r="B419" s="4" t="s">
        <v>272</v>
      </c>
      <c r="C419" s="4" t="s">
        <v>6</v>
      </c>
    </row>
    <row r="420" spans="1:3" ht="14.6" x14ac:dyDescent="0.4">
      <c r="A420" s="3" t="s">
        <v>670</v>
      </c>
      <c r="B420" s="4" t="s">
        <v>671</v>
      </c>
      <c r="C420" s="4" t="s">
        <v>15</v>
      </c>
    </row>
    <row r="421" spans="1:3" ht="14.6" x14ac:dyDescent="0.4">
      <c r="A421" s="3" t="s">
        <v>672</v>
      </c>
      <c r="B421" s="4" t="s">
        <v>149</v>
      </c>
      <c r="C421" s="4" t="s">
        <v>58</v>
      </c>
    </row>
    <row r="422" spans="1:3" ht="14.6" x14ac:dyDescent="0.4">
      <c r="A422" s="3" t="s">
        <v>673</v>
      </c>
      <c r="B422" s="4" t="s">
        <v>259</v>
      </c>
      <c r="C422" s="4" t="s">
        <v>29</v>
      </c>
    </row>
    <row r="423" spans="1:3" ht="14.6" x14ac:dyDescent="0.4">
      <c r="A423" s="3" t="s">
        <v>674</v>
      </c>
      <c r="B423" s="4" t="s">
        <v>675</v>
      </c>
      <c r="C423" s="4" t="s">
        <v>12</v>
      </c>
    </row>
    <row r="424" spans="1:3" ht="14.6" x14ac:dyDescent="0.4">
      <c r="A424" s="3" t="s">
        <v>676</v>
      </c>
      <c r="B424" s="4" t="s">
        <v>98</v>
      </c>
      <c r="C424" s="4" t="s">
        <v>18</v>
      </c>
    </row>
    <row r="425" spans="1:3" ht="14.6" x14ac:dyDescent="0.4">
      <c r="A425" s="3" t="s">
        <v>677</v>
      </c>
      <c r="B425" s="4" t="s">
        <v>562</v>
      </c>
      <c r="C425" s="4" t="s">
        <v>34</v>
      </c>
    </row>
    <row r="426" spans="1:3" ht="14.6" x14ac:dyDescent="0.4">
      <c r="A426" s="3" t="s">
        <v>678</v>
      </c>
      <c r="B426" s="4" t="s">
        <v>679</v>
      </c>
      <c r="C426" s="4" t="s">
        <v>18</v>
      </c>
    </row>
    <row r="427" spans="1:3" ht="14.6" x14ac:dyDescent="0.4">
      <c r="A427" s="3" t="s">
        <v>680</v>
      </c>
      <c r="B427" s="4" t="s">
        <v>586</v>
      </c>
      <c r="C427" s="4" t="s">
        <v>58</v>
      </c>
    </row>
    <row r="428" spans="1:3" ht="14.6" x14ac:dyDescent="0.4">
      <c r="A428" s="3" t="s">
        <v>681</v>
      </c>
      <c r="B428" s="4" t="s">
        <v>682</v>
      </c>
      <c r="C428" s="4" t="s">
        <v>58</v>
      </c>
    </row>
    <row r="429" spans="1:3" ht="14.6" x14ac:dyDescent="0.4">
      <c r="A429" s="3" t="s">
        <v>683</v>
      </c>
      <c r="B429" s="4" t="s">
        <v>684</v>
      </c>
      <c r="C429" s="4" t="s">
        <v>52</v>
      </c>
    </row>
    <row r="430" spans="1:3" ht="14.6" x14ac:dyDescent="0.4">
      <c r="A430" s="3" t="s">
        <v>685</v>
      </c>
      <c r="B430" s="4" t="s">
        <v>250</v>
      </c>
      <c r="C430" s="4" t="s">
        <v>21</v>
      </c>
    </row>
    <row r="431" spans="1:3" ht="14.6" x14ac:dyDescent="0.4">
      <c r="A431" s="3" t="s">
        <v>686</v>
      </c>
      <c r="B431" s="4" t="s">
        <v>426</v>
      </c>
      <c r="C431" s="4" t="s">
        <v>65</v>
      </c>
    </row>
    <row r="432" spans="1:3" ht="14.6" x14ac:dyDescent="0.4">
      <c r="A432" s="3" t="s">
        <v>687</v>
      </c>
      <c r="B432" s="4" t="s">
        <v>169</v>
      </c>
      <c r="C432" s="4" t="s">
        <v>55</v>
      </c>
    </row>
    <row r="433" spans="1:3" ht="14.6" x14ac:dyDescent="0.4">
      <c r="A433" s="3" t="s">
        <v>688</v>
      </c>
      <c r="B433" s="4" t="s">
        <v>617</v>
      </c>
      <c r="C433" s="4" t="s">
        <v>29</v>
      </c>
    </row>
    <row r="434" spans="1:3" ht="14.6" x14ac:dyDescent="0.4">
      <c r="A434" s="3" t="s">
        <v>689</v>
      </c>
      <c r="B434" s="4" t="s">
        <v>690</v>
      </c>
      <c r="C434" s="4" t="s">
        <v>34</v>
      </c>
    </row>
    <row r="435" spans="1:3" ht="14.6" x14ac:dyDescent="0.4">
      <c r="A435" s="3" t="s">
        <v>691</v>
      </c>
      <c r="B435" s="4" t="s">
        <v>603</v>
      </c>
      <c r="C435" s="4" t="s">
        <v>55</v>
      </c>
    </row>
    <row r="436" spans="1:3" ht="14.6" x14ac:dyDescent="0.4">
      <c r="A436" s="3" t="s">
        <v>692</v>
      </c>
      <c r="B436" s="4" t="s">
        <v>78</v>
      </c>
      <c r="C436" s="4" t="s">
        <v>34</v>
      </c>
    </row>
    <row r="437" spans="1:3" ht="14.6" x14ac:dyDescent="0.4">
      <c r="A437" s="3" t="s">
        <v>693</v>
      </c>
      <c r="B437" s="4" t="s">
        <v>694</v>
      </c>
      <c r="C437" s="4" t="s">
        <v>68</v>
      </c>
    </row>
    <row r="438" spans="1:3" ht="14.6" x14ac:dyDescent="0.4">
      <c r="A438" s="3" t="s">
        <v>695</v>
      </c>
      <c r="B438" s="4" t="s">
        <v>291</v>
      </c>
      <c r="C438" s="4" t="s">
        <v>6</v>
      </c>
    </row>
    <row r="439" spans="1:3" ht="14.6" x14ac:dyDescent="0.4">
      <c r="A439" s="3" t="s">
        <v>696</v>
      </c>
      <c r="B439" s="4" t="s">
        <v>324</v>
      </c>
      <c r="C439" s="4" t="s">
        <v>6</v>
      </c>
    </row>
    <row r="440" spans="1:3" ht="14.6" x14ac:dyDescent="0.4">
      <c r="A440" s="3" t="s">
        <v>697</v>
      </c>
      <c r="B440" s="4" t="s">
        <v>219</v>
      </c>
      <c r="C440" s="4" t="s">
        <v>65</v>
      </c>
    </row>
    <row r="441" spans="1:3" ht="14.6" x14ac:dyDescent="0.4">
      <c r="A441" s="3" t="s">
        <v>698</v>
      </c>
      <c r="B441" s="4" t="s">
        <v>699</v>
      </c>
      <c r="C441" s="4" t="s">
        <v>68</v>
      </c>
    </row>
    <row r="442" spans="1:3" ht="14.6" x14ac:dyDescent="0.4">
      <c r="A442" s="3" t="s">
        <v>700</v>
      </c>
      <c r="B442" s="4" t="s">
        <v>701</v>
      </c>
      <c r="C442" s="4" t="s">
        <v>18</v>
      </c>
    </row>
    <row r="443" spans="1:3" ht="14.6" x14ac:dyDescent="0.4">
      <c r="A443" s="3" t="s">
        <v>702</v>
      </c>
      <c r="B443" s="4" t="s">
        <v>467</v>
      </c>
      <c r="C443" s="4" t="s">
        <v>58</v>
      </c>
    </row>
    <row r="444" spans="1:3" ht="14.6" x14ac:dyDescent="0.4">
      <c r="A444" s="3" t="s">
        <v>703</v>
      </c>
      <c r="B444" s="4" t="s">
        <v>479</v>
      </c>
      <c r="C444" s="4" t="s">
        <v>68</v>
      </c>
    </row>
    <row r="445" spans="1:3" ht="14.6" x14ac:dyDescent="0.4">
      <c r="A445" s="3" t="s">
        <v>704</v>
      </c>
      <c r="B445" s="4" t="s">
        <v>90</v>
      </c>
      <c r="C445" s="4" t="s">
        <v>65</v>
      </c>
    </row>
    <row r="446" spans="1:3" ht="14.6" x14ac:dyDescent="0.4">
      <c r="A446" s="3" t="s">
        <v>705</v>
      </c>
      <c r="B446" s="4" t="s">
        <v>219</v>
      </c>
      <c r="C446" s="4" t="s">
        <v>12</v>
      </c>
    </row>
    <row r="447" spans="1:3" ht="14.6" x14ac:dyDescent="0.4">
      <c r="A447" s="3" t="s">
        <v>706</v>
      </c>
      <c r="B447" s="4" t="s">
        <v>707</v>
      </c>
      <c r="C447" s="4" t="s">
        <v>24</v>
      </c>
    </row>
    <row r="448" spans="1:3" ht="14.6" x14ac:dyDescent="0.4">
      <c r="A448" s="3" t="s">
        <v>708</v>
      </c>
      <c r="B448" s="4" t="s">
        <v>26</v>
      </c>
      <c r="C448" s="4" t="s">
        <v>34</v>
      </c>
    </row>
    <row r="449" spans="1:3" ht="14.6" x14ac:dyDescent="0.4">
      <c r="A449" s="3" t="s">
        <v>709</v>
      </c>
      <c r="B449" s="4" t="s">
        <v>684</v>
      </c>
      <c r="C449" s="4" t="s">
        <v>12</v>
      </c>
    </row>
    <row r="450" spans="1:3" ht="14.6" x14ac:dyDescent="0.4">
      <c r="A450" s="3" t="s">
        <v>710</v>
      </c>
      <c r="B450" s="4" t="s">
        <v>284</v>
      </c>
      <c r="C450" s="4" t="s">
        <v>29</v>
      </c>
    </row>
    <row r="451" spans="1:3" ht="14.6" x14ac:dyDescent="0.4">
      <c r="A451" s="3" t="s">
        <v>711</v>
      </c>
      <c r="B451" s="4" t="s">
        <v>448</v>
      </c>
      <c r="C451" s="4" t="s">
        <v>47</v>
      </c>
    </row>
    <row r="452" spans="1:3" ht="14.6" x14ac:dyDescent="0.4">
      <c r="A452" s="3" t="s">
        <v>712</v>
      </c>
      <c r="B452" s="4" t="s">
        <v>363</v>
      </c>
      <c r="C452" s="4" t="s">
        <v>68</v>
      </c>
    </row>
    <row r="453" spans="1:3" ht="14.6" x14ac:dyDescent="0.4">
      <c r="A453" s="3" t="s">
        <v>713</v>
      </c>
      <c r="B453" s="4" t="s">
        <v>714</v>
      </c>
      <c r="C453" s="4" t="s">
        <v>47</v>
      </c>
    </row>
    <row r="454" spans="1:3" ht="14.6" x14ac:dyDescent="0.4">
      <c r="A454" s="3" t="s">
        <v>715</v>
      </c>
      <c r="B454" s="4" t="s">
        <v>522</v>
      </c>
      <c r="C454" s="4" t="s">
        <v>58</v>
      </c>
    </row>
    <row r="455" spans="1:3" ht="14.6" x14ac:dyDescent="0.4">
      <c r="A455" s="3" t="s">
        <v>716</v>
      </c>
      <c r="B455" s="4" t="s">
        <v>717</v>
      </c>
      <c r="C455" s="4" t="s">
        <v>29</v>
      </c>
    </row>
    <row r="456" spans="1:3" ht="14.6" x14ac:dyDescent="0.4">
      <c r="A456" s="3" t="s">
        <v>718</v>
      </c>
      <c r="B456" s="4" t="s">
        <v>213</v>
      </c>
      <c r="C456" s="4" t="s">
        <v>52</v>
      </c>
    </row>
    <row r="457" spans="1:3" ht="14.6" x14ac:dyDescent="0.4">
      <c r="A457" s="3" t="s">
        <v>719</v>
      </c>
      <c r="B457" s="4" t="s">
        <v>289</v>
      </c>
      <c r="C457" s="4" t="s">
        <v>68</v>
      </c>
    </row>
    <row r="458" spans="1:3" ht="14.6" x14ac:dyDescent="0.4">
      <c r="A458" s="3" t="s">
        <v>720</v>
      </c>
      <c r="B458" s="4" t="s">
        <v>128</v>
      </c>
      <c r="C458" s="4" t="s">
        <v>21</v>
      </c>
    </row>
    <row r="459" spans="1:3" ht="14.6" x14ac:dyDescent="0.4">
      <c r="A459" s="3" t="s">
        <v>721</v>
      </c>
      <c r="B459" s="4" t="s">
        <v>46</v>
      </c>
      <c r="C459" s="4" t="s">
        <v>65</v>
      </c>
    </row>
    <row r="460" spans="1:3" ht="14.6" x14ac:dyDescent="0.4">
      <c r="A460" s="3" t="s">
        <v>722</v>
      </c>
      <c r="B460" s="4" t="s">
        <v>191</v>
      </c>
      <c r="C460" s="4" t="s">
        <v>18</v>
      </c>
    </row>
    <row r="461" spans="1:3" ht="14.6" x14ac:dyDescent="0.4">
      <c r="A461" s="3" t="s">
        <v>723</v>
      </c>
      <c r="B461" s="4" t="s">
        <v>724</v>
      </c>
      <c r="C461" s="4" t="s">
        <v>15</v>
      </c>
    </row>
    <row r="462" spans="1:3" ht="14.6" x14ac:dyDescent="0.4">
      <c r="A462" s="3" t="s">
        <v>725</v>
      </c>
      <c r="B462" s="4" t="s">
        <v>671</v>
      </c>
      <c r="C462" s="4" t="s">
        <v>65</v>
      </c>
    </row>
    <row r="463" spans="1:3" ht="14.6" x14ac:dyDescent="0.4">
      <c r="A463" s="3" t="s">
        <v>726</v>
      </c>
      <c r="B463" s="4" t="s">
        <v>727</v>
      </c>
      <c r="C463" s="4" t="s">
        <v>29</v>
      </c>
    </row>
    <row r="464" spans="1:3" ht="14.6" x14ac:dyDescent="0.4">
      <c r="A464" s="3" t="s">
        <v>728</v>
      </c>
      <c r="B464" s="4" t="s">
        <v>5</v>
      </c>
      <c r="C464" s="4" t="s">
        <v>29</v>
      </c>
    </row>
    <row r="465" spans="1:3" ht="14.6" x14ac:dyDescent="0.4">
      <c r="A465" s="3" t="s">
        <v>729</v>
      </c>
      <c r="B465" s="4" t="s">
        <v>133</v>
      </c>
      <c r="C465" s="4" t="s">
        <v>12</v>
      </c>
    </row>
    <row r="466" spans="1:3" ht="14.6" x14ac:dyDescent="0.4">
      <c r="A466" s="3" t="s">
        <v>730</v>
      </c>
      <c r="B466" s="4" t="s">
        <v>139</v>
      </c>
      <c r="C466" s="4" t="s">
        <v>21</v>
      </c>
    </row>
    <row r="467" spans="1:3" ht="14.6" x14ac:dyDescent="0.4">
      <c r="A467" s="3" t="s">
        <v>731</v>
      </c>
      <c r="B467" s="4" t="s">
        <v>11</v>
      </c>
      <c r="C467" s="4" t="s">
        <v>52</v>
      </c>
    </row>
    <row r="468" spans="1:3" ht="14.6" x14ac:dyDescent="0.4">
      <c r="A468" s="3" t="s">
        <v>732</v>
      </c>
      <c r="B468" s="4" t="s">
        <v>733</v>
      </c>
      <c r="C468" s="4" t="s">
        <v>34</v>
      </c>
    </row>
    <row r="469" spans="1:3" ht="14.6" x14ac:dyDescent="0.4">
      <c r="A469" s="3" t="s">
        <v>734</v>
      </c>
      <c r="B469" s="4" t="s">
        <v>118</v>
      </c>
      <c r="C469" s="4" t="s">
        <v>34</v>
      </c>
    </row>
    <row r="470" spans="1:3" ht="14.6" x14ac:dyDescent="0.4">
      <c r="A470" s="3" t="s">
        <v>735</v>
      </c>
      <c r="B470" s="4" t="s">
        <v>383</v>
      </c>
      <c r="C470" s="4" t="s">
        <v>12</v>
      </c>
    </row>
    <row r="471" spans="1:3" ht="14.6" x14ac:dyDescent="0.4">
      <c r="A471" s="3" t="s">
        <v>736</v>
      </c>
      <c r="B471" s="4" t="s">
        <v>451</v>
      </c>
      <c r="C471" s="4" t="s">
        <v>68</v>
      </c>
    </row>
    <row r="472" spans="1:3" ht="14.6" x14ac:dyDescent="0.4">
      <c r="A472" s="3" t="s">
        <v>737</v>
      </c>
      <c r="B472" s="4" t="s">
        <v>738</v>
      </c>
      <c r="C472" s="4" t="s">
        <v>21</v>
      </c>
    </row>
    <row r="473" spans="1:3" ht="14.6" x14ac:dyDescent="0.4">
      <c r="A473" s="3" t="s">
        <v>739</v>
      </c>
      <c r="B473" s="4" t="s">
        <v>182</v>
      </c>
      <c r="C473" s="4" t="s">
        <v>6</v>
      </c>
    </row>
    <row r="474" spans="1:3" ht="14.6" x14ac:dyDescent="0.4">
      <c r="A474" s="3" t="s">
        <v>740</v>
      </c>
      <c r="B474" s="4" t="s">
        <v>343</v>
      </c>
      <c r="C474" s="4" t="s">
        <v>68</v>
      </c>
    </row>
    <row r="475" spans="1:3" ht="14.6" x14ac:dyDescent="0.4">
      <c r="A475" s="3" t="s">
        <v>741</v>
      </c>
      <c r="B475" s="4" t="s">
        <v>31</v>
      </c>
      <c r="C475" s="4" t="s">
        <v>24</v>
      </c>
    </row>
    <row r="476" spans="1:3" ht="14.6" x14ac:dyDescent="0.4">
      <c r="A476" s="3" t="s">
        <v>742</v>
      </c>
      <c r="B476" s="4" t="s">
        <v>419</v>
      </c>
      <c r="C476" s="4" t="s">
        <v>29</v>
      </c>
    </row>
    <row r="477" spans="1:3" ht="14.6" x14ac:dyDescent="0.4">
      <c r="A477" s="3" t="s">
        <v>743</v>
      </c>
      <c r="B477" s="4" t="s">
        <v>343</v>
      </c>
      <c r="C477" s="4" t="s">
        <v>6</v>
      </c>
    </row>
    <row r="478" spans="1:3" ht="14.6" x14ac:dyDescent="0.4">
      <c r="A478" s="3" t="s">
        <v>744</v>
      </c>
      <c r="B478" s="4" t="s">
        <v>28</v>
      </c>
      <c r="C478" s="4" t="s">
        <v>29</v>
      </c>
    </row>
    <row r="479" spans="1:3" ht="14.6" x14ac:dyDescent="0.4">
      <c r="A479" s="3" t="s">
        <v>745</v>
      </c>
      <c r="B479" s="4" t="s">
        <v>42</v>
      </c>
      <c r="C479" s="4" t="s">
        <v>29</v>
      </c>
    </row>
    <row r="480" spans="1:3" ht="14.6" x14ac:dyDescent="0.4">
      <c r="A480" s="3" t="s">
        <v>746</v>
      </c>
      <c r="B480" s="4" t="s">
        <v>747</v>
      </c>
      <c r="C480" s="4" t="s">
        <v>58</v>
      </c>
    </row>
    <row r="481" spans="1:3" ht="14.6" x14ac:dyDescent="0.4">
      <c r="A481" s="3" t="s">
        <v>748</v>
      </c>
      <c r="B481" s="4" t="s">
        <v>699</v>
      </c>
      <c r="C481" s="4" t="s">
        <v>21</v>
      </c>
    </row>
    <row r="482" spans="1:3" ht="14.6" x14ac:dyDescent="0.4">
      <c r="A482" s="3" t="s">
        <v>749</v>
      </c>
      <c r="B482" s="4" t="s">
        <v>631</v>
      </c>
      <c r="C482" s="4" t="s">
        <v>9</v>
      </c>
    </row>
    <row r="483" spans="1:3" ht="14.6" x14ac:dyDescent="0.4">
      <c r="A483" s="3" t="s">
        <v>750</v>
      </c>
      <c r="B483" s="4" t="s">
        <v>751</v>
      </c>
      <c r="C483" s="4" t="s">
        <v>58</v>
      </c>
    </row>
    <row r="484" spans="1:3" ht="14.6" x14ac:dyDescent="0.4">
      <c r="A484" s="3" t="s">
        <v>752</v>
      </c>
      <c r="B484" s="4" t="s">
        <v>40</v>
      </c>
      <c r="C484" s="4" t="s">
        <v>12</v>
      </c>
    </row>
    <row r="485" spans="1:3" ht="14.6" x14ac:dyDescent="0.4">
      <c r="A485" s="3" t="s">
        <v>753</v>
      </c>
      <c r="B485" s="4" t="s">
        <v>439</v>
      </c>
      <c r="C485" s="4" t="s">
        <v>47</v>
      </c>
    </row>
    <row r="486" spans="1:3" ht="14.6" x14ac:dyDescent="0.4">
      <c r="A486" s="3" t="s">
        <v>754</v>
      </c>
      <c r="B486" s="4" t="s">
        <v>300</v>
      </c>
      <c r="C486" s="4" t="s">
        <v>24</v>
      </c>
    </row>
    <row r="487" spans="1:3" ht="14.6" x14ac:dyDescent="0.4">
      <c r="A487" s="3" t="s">
        <v>755</v>
      </c>
      <c r="B487" s="4" t="s">
        <v>126</v>
      </c>
      <c r="C487" s="4" t="s">
        <v>65</v>
      </c>
    </row>
    <row r="488" spans="1:3" ht="14.6" x14ac:dyDescent="0.4">
      <c r="A488" s="3" t="s">
        <v>756</v>
      </c>
      <c r="B488" s="4" t="s">
        <v>757</v>
      </c>
      <c r="C488" s="4" t="s">
        <v>18</v>
      </c>
    </row>
    <row r="489" spans="1:3" ht="14.6" x14ac:dyDescent="0.4">
      <c r="A489" s="3" t="s">
        <v>758</v>
      </c>
      <c r="B489" s="4" t="s">
        <v>204</v>
      </c>
      <c r="C489" s="4" t="s">
        <v>6</v>
      </c>
    </row>
    <row r="490" spans="1:3" ht="14.6" x14ac:dyDescent="0.4">
      <c r="A490" s="3" t="s">
        <v>759</v>
      </c>
      <c r="B490" s="4" t="s">
        <v>760</v>
      </c>
      <c r="C490" s="4" t="s">
        <v>15</v>
      </c>
    </row>
    <row r="491" spans="1:3" ht="14.6" x14ac:dyDescent="0.4">
      <c r="A491" s="3" t="s">
        <v>761</v>
      </c>
      <c r="B491" s="4" t="s">
        <v>649</v>
      </c>
      <c r="C491" s="4" t="s">
        <v>34</v>
      </c>
    </row>
    <row r="492" spans="1:3" ht="14.6" x14ac:dyDescent="0.4">
      <c r="A492" s="3" t="s">
        <v>762</v>
      </c>
      <c r="B492" s="4" t="s">
        <v>300</v>
      </c>
      <c r="C492" s="4" t="s">
        <v>15</v>
      </c>
    </row>
    <row r="493" spans="1:3" ht="14.6" x14ac:dyDescent="0.4">
      <c r="A493" s="3" t="s">
        <v>763</v>
      </c>
      <c r="B493" s="4" t="s">
        <v>522</v>
      </c>
      <c r="C493" s="4" t="s">
        <v>21</v>
      </c>
    </row>
    <row r="494" spans="1:3" ht="14.6" x14ac:dyDescent="0.4">
      <c r="A494" s="3" t="s">
        <v>764</v>
      </c>
      <c r="B494" s="4" t="s">
        <v>751</v>
      </c>
      <c r="C494" s="4" t="s">
        <v>6</v>
      </c>
    </row>
    <row r="495" spans="1:3" ht="14.6" x14ac:dyDescent="0.4">
      <c r="A495" s="3" t="s">
        <v>765</v>
      </c>
      <c r="B495" s="4" t="s">
        <v>156</v>
      </c>
      <c r="C495" s="4" t="s">
        <v>65</v>
      </c>
    </row>
    <row r="496" spans="1:3" ht="14.6" x14ac:dyDescent="0.4">
      <c r="A496" s="3" t="s">
        <v>766</v>
      </c>
      <c r="B496" s="4" t="s">
        <v>17</v>
      </c>
      <c r="C496" s="4" t="s">
        <v>58</v>
      </c>
    </row>
    <row r="497" spans="1:3" ht="14.6" x14ac:dyDescent="0.4">
      <c r="A497" s="3" t="s">
        <v>767</v>
      </c>
      <c r="B497" s="4" t="s">
        <v>768</v>
      </c>
      <c r="C497" s="4" t="s">
        <v>68</v>
      </c>
    </row>
    <row r="498" spans="1:3" ht="14.6" x14ac:dyDescent="0.4">
      <c r="A498" s="3" t="s">
        <v>769</v>
      </c>
      <c r="B498" s="4" t="s">
        <v>74</v>
      </c>
      <c r="C498" s="4" t="s">
        <v>18</v>
      </c>
    </row>
    <row r="499" spans="1:3" ht="14.6" x14ac:dyDescent="0.4">
      <c r="A499" s="3" t="s">
        <v>770</v>
      </c>
      <c r="B499" s="4" t="s">
        <v>254</v>
      </c>
      <c r="C499" s="4" t="s">
        <v>55</v>
      </c>
    </row>
    <row r="500" spans="1:3" ht="14.6" x14ac:dyDescent="0.4">
      <c r="A500" s="3" t="s">
        <v>771</v>
      </c>
      <c r="B500" s="4" t="s">
        <v>224</v>
      </c>
      <c r="C500" s="4" t="s">
        <v>47</v>
      </c>
    </row>
    <row r="501" spans="1:3" ht="14.6" x14ac:dyDescent="0.4">
      <c r="A501" s="3" t="s">
        <v>772</v>
      </c>
      <c r="B501" s="4" t="s">
        <v>195</v>
      </c>
      <c r="C501" s="4" t="s">
        <v>15</v>
      </c>
    </row>
    <row r="502" spans="1:3" ht="14.6" x14ac:dyDescent="0.4">
      <c r="A502" s="3" t="s">
        <v>773</v>
      </c>
      <c r="B502" s="4" t="s">
        <v>118</v>
      </c>
      <c r="C502" s="4" t="s">
        <v>12</v>
      </c>
    </row>
    <row r="503" spans="1:3" ht="14.6" x14ac:dyDescent="0.4">
      <c r="A503" s="3" t="s">
        <v>774</v>
      </c>
      <c r="B503" s="4" t="s">
        <v>775</v>
      </c>
      <c r="C503" s="4" t="s">
        <v>65</v>
      </c>
    </row>
    <row r="504" spans="1:3" ht="14.6" x14ac:dyDescent="0.4">
      <c r="A504" s="3" t="s">
        <v>776</v>
      </c>
      <c r="B504" s="4" t="s">
        <v>200</v>
      </c>
      <c r="C504" s="4" t="s">
        <v>52</v>
      </c>
    </row>
    <row r="505" spans="1:3" ht="14.6" x14ac:dyDescent="0.4">
      <c r="A505" s="3" t="s">
        <v>777</v>
      </c>
      <c r="B505" s="4" t="s">
        <v>778</v>
      </c>
      <c r="C505" s="4" t="s">
        <v>9</v>
      </c>
    </row>
    <row r="506" spans="1:3" ht="14.6" x14ac:dyDescent="0.4">
      <c r="A506" s="3" t="s">
        <v>779</v>
      </c>
      <c r="B506" s="4" t="s">
        <v>694</v>
      </c>
      <c r="C506" s="4" t="s">
        <v>34</v>
      </c>
    </row>
    <row r="507" spans="1:3" ht="14.6" x14ac:dyDescent="0.4">
      <c r="A507" s="3" t="s">
        <v>780</v>
      </c>
      <c r="B507" s="4" t="s">
        <v>112</v>
      </c>
      <c r="C507" s="4" t="s">
        <v>29</v>
      </c>
    </row>
    <row r="508" spans="1:3" ht="14.6" x14ac:dyDescent="0.4">
      <c r="A508" s="3" t="s">
        <v>781</v>
      </c>
      <c r="B508" s="4" t="s">
        <v>23</v>
      </c>
      <c r="C508" s="4" t="s">
        <v>52</v>
      </c>
    </row>
    <row r="509" spans="1:3" ht="14.6" x14ac:dyDescent="0.4">
      <c r="A509" s="3" t="s">
        <v>782</v>
      </c>
      <c r="B509" s="4" t="s">
        <v>356</v>
      </c>
      <c r="C509" s="4" t="s">
        <v>24</v>
      </c>
    </row>
    <row r="510" spans="1:3" ht="14.6" x14ac:dyDescent="0.4">
      <c r="A510" s="3" t="s">
        <v>783</v>
      </c>
      <c r="B510" s="4" t="s">
        <v>682</v>
      </c>
      <c r="C510" s="4" t="s">
        <v>21</v>
      </c>
    </row>
    <row r="511" spans="1:3" ht="14.6" x14ac:dyDescent="0.4">
      <c r="A511" s="3" t="s">
        <v>784</v>
      </c>
      <c r="B511" s="4" t="s">
        <v>195</v>
      </c>
      <c r="C511" s="4" t="s">
        <v>15</v>
      </c>
    </row>
    <row r="512" spans="1:3" ht="14.6" x14ac:dyDescent="0.4">
      <c r="A512" s="3" t="s">
        <v>785</v>
      </c>
      <c r="B512" s="4" t="s">
        <v>176</v>
      </c>
      <c r="C512" s="4" t="s">
        <v>29</v>
      </c>
    </row>
    <row r="513" spans="1:3" ht="14.6" x14ac:dyDescent="0.4">
      <c r="A513" s="3" t="s">
        <v>786</v>
      </c>
      <c r="B513" s="4" t="s">
        <v>246</v>
      </c>
      <c r="C513" s="4" t="s">
        <v>68</v>
      </c>
    </row>
    <row r="514" spans="1:3" ht="14.6" x14ac:dyDescent="0.4">
      <c r="A514" s="3" t="s">
        <v>787</v>
      </c>
      <c r="B514" s="4" t="s">
        <v>557</v>
      </c>
      <c r="C514" s="4" t="s">
        <v>65</v>
      </c>
    </row>
    <row r="515" spans="1:3" ht="14.6" x14ac:dyDescent="0.4">
      <c r="A515" s="3" t="s">
        <v>788</v>
      </c>
      <c r="B515" s="4" t="s">
        <v>620</v>
      </c>
      <c r="C515" s="4" t="s">
        <v>52</v>
      </c>
    </row>
    <row r="516" spans="1:3" ht="14.6" x14ac:dyDescent="0.4">
      <c r="A516" s="3" t="s">
        <v>789</v>
      </c>
      <c r="B516" s="4" t="s">
        <v>490</v>
      </c>
      <c r="C516" s="4" t="s">
        <v>34</v>
      </c>
    </row>
    <row r="517" spans="1:3" ht="14.6" x14ac:dyDescent="0.4">
      <c r="A517" s="3" t="s">
        <v>790</v>
      </c>
      <c r="B517" s="4" t="s">
        <v>160</v>
      </c>
      <c r="C517" s="4" t="s">
        <v>6</v>
      </c>
    </row>
    <row r="518" spans="1:3" ht="14.6" x14ac:dyDescent="0.4">
      <c r="A518" s="3" t="s">
        <v>791</v>
      </c>
      <c r="B518" s="4" t="s">
        <v>792</v>
      </c>
      <c r="C518" s="4" t="s">
        <v>9</v>
      </c>
    </row>
    <row r="519" spans="1:3" ht="14.6" x14ac:dyDescent="0.4">
      <c r="A519" s="3" t="s">
        <v>793</v>
      </c>
      <c r="B519" s="4" t="s">
        <v>537</v>
      </c>
      <c r="C519" s="4" t="s">
        <v>58</v>
      </c>
    </row>
    <row r="520" spans="1:3" ht="14.6" x14ac:dyDescent="0.4">
      <c r="A520" s="3" t="s">
        <v>794</v>
      </c>
      <c r="B520" s="4" t="s">
        <v>795</v>
      </c>
      <c r="C520" s="4" t="s">
        <v>21</v>
      </c>
    </row>
    <row r="521" spans="1:3" ht="14.6" x14ac:dyDescent="0.4">
      <c r="A521" s="3" t="s">
        <v>796</v>
      </c>
      <c r="B521" s="4" t="s">
        <v>671</v>
      </c>
      <c r="C521" s="4" t="s">
        <v>21</v>
      </c>
    </row>
    <row r="522" spans="1:3" ht="14.6" x14ac:dyDescent="0.4">
      <c r="A522" s="3" t="s">
        <v>797</v>
      </c>
      <c r="B522" s="4" t="s">
        <v>144</v>
      </c>
      <c r="C522" s="4" t="s">
        <v>52</v>
      </c>
    </row>
    <row r="523" spans="1:3" ht="14.6" x14ac:dyDescent="0.4">
      <c r="A523" s="3" t="s">
        <v>798</v>
      </c>
      <c r="B523" s="4" t="s">
        <v>248</v>
      </c>
      <c r="C523" s="4" t="s">
        <v>65</v>
      </c>
    </row>
    <row r="524" spans="1:3" ht="14.6" x14ac:dyDescent="0.4">
      <c r="A524" s="3" t="s">
        <v>799</v>
      </c>
      <c r="B524" s="4" t="s">
        <v>240</v>
      </c>
      <c r="C524" s="4" t="s">
        <v>9</v>
      </c>
    </row>
    <row r="525" spans="1:3" ht="14.6" x14ac:dyDescent="0.4">
      <c r="A525" s="3" t="s">
        <v>800</v>
      </c>
      <c r="B525" s="4" t="s">
        <v>470</v>
      </c>
      <c r="C525" s="4" t="s">
        <v>52</v>
      </c>
    </row>
    <row r="526" spans="1:3" ht="14.6" x14ac:dyDescent="0.4">
      <c r="A526" s="3" t="s">
        <v>801</v>
      </c>
      <c r="B526" s="4" t="s">
        <v>354</v>
      </c>
      <c r="C526" s="4" t="s">
        <v>12</v>
      </c>
    </row>
    <row r="527" spans="1:3" ht="14.6" x14ac:dyDescent="0.4">
      <c r="A527" s="3" t="s">
        <v>802</v>
      </c>
      <c r="B527" s="4" t="s">
        <v>254</v>
      </c>
      <c r="C527" s="4" t="s">
        <v>9</v>
      </c>
    </row>
    <row r="528" spans="1:3" ht="14.6" x14ac:dyDescent="0.4">
      <c r="A528" s="3" t="s">
        <v>803</v>
      </c>
      <c r="B528" s="4" t="s">
        <v>804</v>
      </c>
      <c r="C528" s="4" t="s">
        <v>24</v>
      </c>
    </row>
    <row r="529" spans="1:3" ht="14.6" x14ac:dyDescent="0.4">
      <c r="A529" s="3" t="s">
        <v>805</v>
      </c>
      <c r="B529" s="4" t="s">
        <v>369</v>
      </c>
      <c r="C529" s="4" t="s">
        <v>21</v>
      </c>
    </row>
    <row r="530" spans="1:3" ht="14.6" x14ac:dyDescent="0.4">
      <c r="A530" s="3" t="s">
        <v>806</v>
      </c>
      <c r="B530" s="4" t="s">
        <v>807</v>
      </c>
      <c r="C530" s="4" t="s">
        <v>34</v>
      </c>
    </row>
    <row r="531" spans="1:3" ht="14.6" x14ac:dyDescent="0.4">
      <c r="A531" s="3" t="s">
        <v>808</v>
      </c>
      <c r="B531" s="4" t="s">
        <v>809</v>
      </c>
      <c r="C531" s="4" t="s">
        <v>12</v>
      </c>
    </row>
    <row r="532" spans="1:3" ht="14.6" x14ac:dyDescent="0.4">
      <c r="A532" s="3" t="s">
        <v>810</v>
      </c>
      <c r="B532" s="4" t="s">
        <v>811</v>
      </c>
      <c r="C532" s="4" t="s">
        <v>12</v>
      </c>
    </row>
    <row r="533" spans="1:3" ht="14.6" x14ac:dyDescent="0.4">
      <c r="A533" s="3" t="s">
        <v>812</v>
      </c>
      <c r="B533" s="4" t="s">
        <v>232</v>
      </c>
      <c r="C533" s="4" t="s">
        <v>6</v>
      </c>
    </row>
    <row r="534" spans="1:3" ht="14.6" x14ac:dyDescent="0.4">
      <c r="A534" s="3" t="s">
        <v>813</v>
      </c>
      <c r="B534" s="4" t="s">
        <v>154</v>
      </c>
      <c r="C534" s="4" t="s">
        <v>21</v>
      </c>
    </row>
    <row r="535" spans="1:3" ht="14.6" x14ac:dyDescent="0.4">
      <c r="A535" s="3" t="s">
        <v>814</v>
      </c>
      <c r="B535" s="4" t="s">
        <v>259</v>
      </c>
      <c r="C535" s="4" t="s">
        <v>18</v>
      </c>
    </row>
    <row r="536" spans="1:3" ht="14.6" x14ac:dyDescent="0.4">
      <c r="A536" s="3" t="s">
        <v>815</v>
      </c>
      <c r="B536" s="4" t="s">
        <v>816</v>
      </c>
      <c r="C536" s="4" t="s">
        <v>68</v>
      </c>
    </row>
    <row r="537" spans="1:3" ht="14.6" x14ac:dyDescent="0.4">
      <c r="A537" s="3" t="s">
        <v>817</v>
      </c>
      <c r="B537" s="4" t="s">
        <v>500</v>
      </c>
      <c r="C537" s="4" t="s">
        <v>65</v>
      </c>
    </row>
    <row r="538" spans="1:3" ht="14.6" x14ac:dyDescent="0.4">
      <c r="A538" s="3" t="s">
        <v>818</v>
      </c>
      <c r="B538" s="4" t="s">
        <v>62</v>
      </c>
      <c r="C538" s="4" t="s">
        <v>65</v>
      </c>
    </row>
    <row r="539" spans="1:3" ht="14.6" x14ac:dyDescent="0.4">
      <c r="A539" s="3" t="s">
        <v>819</v>
      </c>
      <c r="B539" s="4" t="s">
        <v>620</v>
      </c>
      <c r="C539" s="4" t="s">
        <v>24</v>
      </c>
    </row>
    <row r="540" spans="1:3" ht="14.6" x14ac:dyDescent="0.4">
      <c r="A540" s="3" t="s">
        <v>820</v>
      </c>
      <c r="B540" s="4" t="s">
        <v>144</v>
      </c>
      <c r="C540" s="4" t="s">
        <v>15</v>
      </c>
    </row>
    <row r="541" spans="1:3" ht="14.6" x14ac:dyDescent="0.4">
      <c r="A541" s="3" t="s">
        <v>821</v>
      </c>
      <c r="B541" s="4" t="s">
        <v>822</v>
      </c>
      <c r="C541" s="4" t="s">
        <v>6</v>
      </c>
    </row>
    <row r="542" spans="1:3" ht="14.6" x14ac:dyDescent="0.4">
      <c r="A542" s="3" t="s">
        <v>823</v>
      </c>
      <c r="B542" s="4" t="s">
        <v>409</v>
      </c>
      <c r="C542" s="4" t="s">
        <v>52</v>
      </c>
    </row>
    <row r="543" spans="1:3" ht="14.6" x14ac:dyDescent="0.4">
      <c r="A543" s="3" t="s">
        <v>824</v>
      </c>
      <c r="B543" s="4" t="s">
        <v>365</v>
      </c>
      <c r="C543" s="4" t="s">
        <v>55</v>
      </c>
    </row>
    <row r="544" spans="1:3" ht="14.6" x14ac:dyDescent="0.4">
      <c r="A544" s="3" t="s">
        <v>825</v>
      </c>
      <c r="B544" s="4" t="s">
        <v>426</v>
      </c>
      <c r="C544" s="4" t="s">
        <v>21</v>
      </c>
    </row>
    <row r="545" spans="1:3" ht="14.6" x14ac:dyDescent="0.4">
      <c r="A545" s="3" t="s">
        <v>826</v>
      </c>
      <c r="B545" s="4" t="s">
        <v>383</v>
      </c>
      <c r="C545" s="4" t="s">
        <v>47</v>
      </c>
    </row>
    <row r="546" spans="1:3" ht="14.6" x14ac:dyDescent="0.4">
      <c r="A546" s="3" t="s">
        <v>827</v>
      </c>
      <c r="B546" s="4" t="s">
        <v>101</v>
      </c>
      <c r="C546" s="4" t="s">
        <v>34</v>
      </c>
    </row>
    <row r="547" spans="1:3" ht="14.6" x14ac:dyDescent="0.4">
      <c r="A547" s="3" t="s">
        <v>828</v>
      </c>
      <c r="B547" s="4" t="s">
        <v>451</v>
      </c>
      <c r="C547" s="4" t="s">
        <v>15</v>
      </c>
    </row>
    <row r="548" spans="1:3" ht="14.6" x14ac:dyDescent="0.4">
      <c r="A548" s="3" t="s">
        <v>829</v>
      </c>
      <c r="B548" s="4" t="s">
        <v>506</v>
      </c>
      <c r="C548" s="4" t="s">
        <v>24</v>
      </c>
    </row>
    <row r="549" spans="1:3" ht="14.6" x14ac:dyDescent="0.4">
      <c r="A549" s="3" t="s">
        <v>830</v>
      </c>
      <c r="B549" s="4" t="s">
        <v>49</v>
      </c>
      <c r="C549" s="4" t="s">
        <v>9</v>
      </c>
    </row>
    <row r="550" spans="1:3" ht="14.6" x14ac:dyDescent="0.4">
      <c r="A550" s="3" t="s">
        <v>831</v>
      </c>
      <c r="B550" s="4" t="s">
        <v>193</v>
      </c>
      <c r="C550" s="4" t="s">
        <v>12</v>
      </c>
    </row>
    <row r="551" spans="1:3" ht="14.6" x14ac:dyDescent="0.4">
      <c r="A551" s="3" t="s">
        <v>832</v>
      </c>
      <c r="B551" s="4" t="s">
        <v>578</v>
      </c>
      <c r="C551" s="4" t="s">
        <v>68</v>
      </c>
    </row>
    <row r="552" spans="1:3" ht="14.6" x14ac:dyDescent="0.4">
      <c r="A552" s="3" t="s">
        <v>833</v>
      </c>
      <c r="B552" s="4" t="s">
        <v>834</v>
      </c>
      <c r="C552" s="4" t="s">
        <v>6</v>
      </c>
    </row>
    <row r="553" spans="1:3" ht="14.6" x14ac:dyDescent="0.4">
      <c r="A553" s="3" t="s">
        <v>835</v>
      </c>
      <c r="B553" s="4" t="s">
        <v>372</v>
      </c>
      <c r="C553" s="4" t="s">
        <v>6</v>
      </c>
    </row>
    <row r="554" spans="1:3" ht="14.6" x14ac:dyDescent="0.4">
      <c r="A554" s="3" t="s">
        <v>836</v>
      </c>
      <c r="B554" s="4" t="s">
        <v>263</v>
      </c>
      <c r="C554" s="4" t="s">
        <v>47</v>
      </c>
    </row>
    <row r="555" spans="1:3" ht="14.6" x14ac:dyDescent="0.4">
      <c r="A555" s="3" t="s">
        <v>837</v>
      </c>
      <c r="B555" s="4" t="s">
        <v>286</v>
      </c>
      <c r="C555" s="4" t="s">
        <v>34</v>
      </c>
    </row>
    <row r="556" spans="1:3" ht="14.6" x14ac:dyDescent="0.4">
      <c r="A556" s="3" t="s">
        <v>838</v>
      </c>
      <c r="B556" s="4" t="s">
        <v>839</v>
      </c>
      <c r="C556" s="4" t="s">
        <v>18</v>
      </c>
    </row>
    <row r="557" spans="1:3" ht="14.6" x14ac:dyDescent="0.4">
      <c r="A557" s="3" t="s">
        <v>840</v>
      </c>
      <c r="B557" s="4" t="s">
        <v>356</v>
      </c>
      <c r="C557" s="4" t="s">
        <v>47</v>
      </c>
    </row>
    <row r="558" spans="1:3" ht="14.6" x14ac:dyDescent="0.4">
      <c r="A558" s="3" t="s">
        <v>841</v>
      </c>
      <c r="B558" s="4" t="s">
        <v>842</v>
      </c>
      <c r="C558" s="4" t="s">
        <v>24</v>
      </c>
    </row>
    <row r="559" spans="1:3" ht="14.6" x14ac:dyDescent="0.4">
      <c r="A559" s="3" t="s">
        <v>843</v>
      </c>
      <c r="B559" s="4" t="s">
        <v>456</v>
      </c>
      <c r="C559" s="4" t="s">
        <v>29</v>
      </c>
    </row>
    <row r="560" spans="1:3" ht="14.6" x14ac:dyDescent="0.4">
      <c r="A560" s="3" t="s">
        <v>844</v>
      </c>
      <c r="B560" s="4" t="s">
        <v>545</v>
      </c>
      <c r="C560" s="4" t="s">
        <v>68</v>
      </c>
    </row>
    <row r="561" spans="1:3" ht="14.6" x14ac:dyDescent="0.4">
      <c r="A561" s="3" t="s">
        <v>845</v>
      </c>
      <c r="B561" s="4" t="s">
        <v>246</v>
      </c>
      <c r="C561" s="4" t="s">
        <v>58</v>
      </c>
    </row>
    <row r="562" spans="1:3" ht="14.6" x14ac:dyDescent="0.4">
      <c r="A562" s="3" t="s">
        <v>846</v>
      </c>
      <c r="B562" s="4" t="s">
        <v>160</v>
      </c>
      <c r="C562" s="4" t="s">
        <v>12</v>
      </c>
    </row>
    <row r="563" spans="1:3" ht="14.6" x14ac:dyDescent="0.4">
      <c r="A563" s="3" t="s">
        <v>847</v>
      </c>
      <c r="B563" s="4" t="s">
        <v>848</v>
      </c>
      <c r="C563" s="4" t="s">
        <v>9</v>
      </c>
    </row>
    <row r="564" spans="1:3" ht="14.6" x14ac:dyDescent="0.4">
      <c r="A564" s="3" t="s">
        <v>849</v>
      </c>
      <c r="B564" s="4" t="s">
        <v>347</v>
      </c>
      <c r="C564" s="4" t="s">
        <v>24</v>
      </c>
    </row>
    <row r="565" spans="1:3" ht="14.6" x14ac:dyDescent="0.4">
      <c r="A565" s="3" t="s">
        <v>850</v>
      </c>
      <c r="B565" s="4" t="s">
        <v>60</v>
      </c>
      <c r="C565" s="4" t="s">
        <v>29</v>
      </c>
    </row>
    <row r="566" spans="1:3" ht="14.6" x14ac:dyDescent="0.4">
      <c r="A566" s="3" t="s">
        <v>851</v>
      </c>
      <c r="B566" s="4" t="s">
        <v>211</v>
      </c>
      <c r="C566" s="4" t="s">
        <v>55</v>
      </c>
    </row>
    <row r="567" spans="1:3" ht="14.6" x14ac:dyDescent="0.4">
      <c r="A567" s="3" t="s">
        <v>852</v>
      </c>
      <c r="B567" s="4" t="s">
        <v>757</v>
      </c>
      <c r="C567" s="4" t="s">
        <v>55</v>
      </c>
    </row>
    <row r="568" spans="1:3" ht="14.6" x14ac:dyDescent="0.4">
      <c r="A568" s="3" t="s">
        <v>853</v>
      </c>
      <c r="B568" s="4" t="s">
        <v>552</v>
      </c>
      <c r="C568" s="4" t="s">
        <v>34</v>
      </c>
    </row>
    <row r="569" spans="1:3" ht="14.6" x14ac:dyDescent="0.4">
      <c r="A569" s="3" t="s">
        <v>854</v>
      </c>
      <c r="B569" s="4" t="s">
        <v>252</v>
      </c>
      <c r="C569" s="4" t="s">
        <v>55</v>
      </c>
    </row>
    <row r="570" spans="1:3" ht="14.6" x14ac:dyDescent="0.4">
      <c r="A570" s="3" t="s">
        <v>855</v>
      </c>
      <c r="B570" s="4" t="s">
        <v>856</v>
      </c>
      <c r="C570" s="4" t="s">
        <v>47</v>
      </c>
    </row>
    <row r="571" spans="1:3" ht="14.6" x14ac:dyDescent="0.4">
      <c r="A571" s="3" t="s">
        <v>857</v>
      </c>
      <c r="B571" s="4" t="s">
        <v>300</v>
      </c>
      <c r="C571" s="4" t="s">
        <v>29</v>
      </c>
    </row>
    <row r="572" spans="1:3" ht="14.6" x14ac:dyDescent="0.4">
      <c r="A572" s="3" t="s">
        <v>858</v>
      </c>
      <c r="B572" s="4" t="s">
        <v>269</v>
      </c>
      <c r="C572" s="4" t="s">
        <v>55</v>
      </c>
    </row>
    <row r="573" spans="1:3" ht="14.6" x14ac:dyDescent="0.4">
      <c r="A573" s="3" t="s">
        <v>859</v>
      </c>
      <c r="B573" s="4" t="s">
        <v>141</v>
      </c>
      <c r="C573" s="4" t="s">
        <v>29</v>
      </c>
    </row>
    <row r="574" spans="1:3" ht="14.6" x14ac:dyDescent="0.4">
      <c r="A574" s="3" t="s">
        <v>860</v>
      </c>
      <c r="B574" s="4" t="s">
        <v>620</v>
      </c>
      <c r="C574" s="4" t="s">
        <v>15</v>
      </c>
    </row>
    <row r="575" spans="1:3" ht="14.6" x14ac:dyDescent="0.4">
      <c r="A575" s="3" t="s">
        <v>861</v>
      </c>
      <c r="B575" s="4" t="s">
        <v>213</v>
      </c>
      <c r="C575" s="4" t="s">
        <v>24</v>
      </c>
    </row>
    <row r="576" spans="1:3" ht="14.6" x14ac:dyDescent="0.4">
      <c r="A576" s="3" t="s">
        <v>862</v>
      </c>
      <c r="B576" s="4" t="s">
        <v>291</v>
      </c>
      <c r="C576" s="4" t="s">
        <v>47</v>
      </c>
    </row>
    <row r="577" spans="1:3" ht="14.6" x14ac:dyDescent="0.4">
      <c r="A577" s="3" t="s">
        <v>863</v>
      </c>
      <c r="B577" s="4" t="s">
        <v>864</v>
      </c>
      <c r="C577" s="4" t="s">
        <v>9</v>
      </c>
    </row>
    <row r="578" spans="1:3" ht="14.6" x14ac:dyDescent="0.4">
      <c r="A578" s="3" t="s">
        <v>865</v>
      </c>
      <c r="B578" s="4" t="s">
        <v>411</v>
      </c>
      <c r="C578" s="4" t="s">
        <v>12</v>
      </c>
    </row>
    <row r="579" spans="1:3" ht="14.6" x14ac:dyDescent="0.4">
      <c r="A579" s="3" t="s">
        <v>866</v>
      </c>
      <c r="B579" s="4" t="s">
        <v>511</v>
      </c>
      <c r="C579" s="4" t="s">
        <v>58</v>
      </c>
    </row>
    <row r="580" spans="1:3" ht="14.6" x14ac:dyDescent="0.4">
      <c r="A580" s="3" t="s">
        <v>867</v>
      </c>
      <c r="B580" s="4" t="s">
        <v>311</v>
      </c>
      <c r="C580" s="4" t="s">
        <v>52</v>
      </c>
    </row>
    <row r="581" spans="1:3" ht="14.6" x14ac:dyDescent="0.4">
      <c r="A581" s="3" t="s">
        <v>868</v>
      </c>
      <c r="B581" s="4" t="s">
        <v>430</v>
      </c>
      <c r="C581" s="4" t="s">
        <v>68</v>
      </c>
    </row>
    <row r="582" spans="1:3" ht="14.6" x14ac:dyDescent="0.4">
      <c r="A582" s="3" t="s">
        <v>869</v>
      </c>
      <c r="B582" s="4" t="s">
        <v>690</v>
      </c>
      <c r="C582" s="4" t="s">
        <v>58</v>
      </c>
    </row>
    <row r="583" spans="1:3" ht="14.6" x14ac:dyDescent="0.4">
      <c r="A583" s="3" t="s">
        <v>870</v>
      </c>
      <c r="B583" s="4" t="s">
        <v>78</v>
      </c>
      <c r="C583" s="4" t="s">
        <v>29</v>
      </c>
    </row>
    <row r="584" spans="1:3" ht="14.6" x14ac:dyDescent="0.4">
      <c r="A584" s="3" t="s">
        <v>871</v>
      </c>
      <c r="B584" s="4" t="s">
        <v>158</v>
      </c>
      <c r="C584" s="4" t="s">
        <v>9</v>
      </c>
    </row>
    <row r="585" spans="1:3" ht="14.6" x14ac:dyDescent="0.4">
      <c r="A585" s="3" t="s">
        <v>872</v>
      </c>
      <c r="B585" s="4" t="s">
        <v>105</v>
      </c>
      <c r="C585" s="4" t="s">
        <v>55</v>
      </c>
    </row>
    <row r="586" spans="1:3" ht="14.6" x14ac:dyDescent="0.4">
      <c r="A586" s="3" t="s">
        <v>873</v>
      </c>
      <c r="B586" s="4" t="s">
        <v>263</v>
      </c>
      <c r="C586" s="4" t="s">
        <v>68</v>
      </c>
    </row>
    <row r="587" spans="1:3" ht="14.6" x14ac:dyDescent="0.4">
      <c r="A587" s="3" t="s">
        <v>874</v>
      </c>
      <c r="B587" s="4" t="s">
        <v>44</v>
      </c>
      <c r="C587" s="4" t="s">
        <v>15</v>
      </c>
    </row>
    <row r="588" spans="1:3" ht="14.6" x14ac:dyDescent="0.4">
      <c r="A588" s="3" t="s">
        <v>875</v>
      </c>
      <c r="B588" s="4" t="s">
        <v>542</v>
      </c>
      <c r="C588" s="4" t="s">
        <v>18</v>
      </c>
    </row>
    <row r="589" spans="1:3" ht="14.6" x14ac:dyDescent="0.4">
      <c r="A589" s="3" t="s">
        <v>876</v>
      </c>
      <c r="B589" s="4" t="s">
        <v>139</v>
      </c>
      <c r="C589" s="4" t="s">
        <v>68</v>
      </c>
    </row>
    <row r="590" spans="1:3" ht="14.6" x14ac:dyDescent="0.4">
      <c r="A590" s="3" t="s">
        <v>877</v>
      </c>
      <c r="B590" s="4" t="s">
        <v>522</v>
      </c>
      <c r="C590" s="4" t="s">
        <v>29</v>
      </c>
    </row>
    <row r="591" spans="1:3" ht="14.6" x14ac:dyDescent="0.4">
      <c r="A591" s="3" t="s">
        <v>878</v>
      </c>
      <c r="B591" s="4" t="s">
        <v>879</v>
      </c>
      <c r="C591" s="4" t="s">
        <v>55</v>
      </c>
    </row>
    <row r="592" spans="1:3" ht="14.6" x14ac:dyDescent="0.4">
      <c r="A592" s="3" t="s">
        <v>880</v>
      </c>
      <c r="B592" s="4" t="s">
        <v>881</v>
      </c>
      <c r="C592" s="4" t="s">
        <v>68</v>
      </c>
    </row>
    <row r="593" spans="1:3" ht="14.6" x14ac:dyDescent="0.4">
      <c r="A593" s="3" t="s">
        <v>882</v>
      </c>
      <c r="B593" s="4" t="s">
        <v>504</v>
      </c>
      <c r="C593" s="4" t="s">
        <v>34</v>
      </c>
    </row>
    <row r="594" spans="1:3" ht="14.6" x14ac:dyDescent="0.4">
      <c r="A594" s="3" t="s">
        <v>883</v>
      </c>
      <c r="B594" s="4" t="s">
        <v>76</v>
      </c>
      <c r="C594" s="4" t="s">
        <v>52</v>
      </c>
    </row>
    <row r="595" spans="1:3" ht="14.6" x14ac:dyDescent="0.4">
      <c r="A595" s="3" t="s">
        <v>884</v>
      </c>
      <c r="B595" s="4" t="s">
        <v>162</v>
      </c>
      <c r="C595" s="4" t="s">
        <v>52</v>
      </c>
    </row>
    <row r="596" spans="1:3" ht="14.6" x14ac:dyDescent="0.4">
      <c r="A596" s="3" t="s">
        <v>885</v>
      </c>
      <c r="B596" s="4" t="s">
        <v>593</v>
      </c>
      <c r="C596" s="4" t="s">
        <v>18</v>
      </c>
    </row>
    <row r="597" spans="1:3" ht="14.6" x14ac:dyDescent="0.4">
      <c r="A597" s="3" t="s">
        <v>886</v>
      </c>
      <c r="B597" s="4" t="s">
        <v>202</v>
      </c>
      <c r="C597" s="4" t="s">
        <v>52</v>
      </c>
    </row>
    <row r="598" spans="1:3" ht="14.6" x14ac:dyDescent="0.4">
      <c r="A598" s="3" t="s">
        <v>887</v>
      </c>
      <c r="B598" s="4" t="s">
        <v>146</v>
      </c>
      <c r="C598" s="4" t="s">
        <v>6</v>
      </c>
    </row>
    <row r="599" spans="1:3" ht="14.6" x14ac:dyDescent="0.4">
      <c r="A599" s="3" t="s">
        <v>888</v>
      </c>
      <c r="B599" s="4" t="s">
        <v>116</v>
      </c>
      <c r="C599" s="4" t="s">
        <v>34</v>
      </c>
    </row>
    <row r="600" spans="1:3" ht="14.6" x14ac:dyDescent="0.4">
      <c r="A600" s="3" t="s">
        <v>889</v>
      </c>
      <c r="B600" s="4" t="s">
        <v>300</v>
      </c>
      <c r="C600" s="4" t="s">
        <v>52</v>
      </c>
    </row>
    <row r="601" spans="1:3" ht="14.6" x14ac:dyDescent="0.4">
      <c r="A601" s="3" t="s">
        <v>890</v>
      </c>
      <c r="B601" s="4" t="s">
        <v>98</v>
      </c>
      <c r="C601" s="4" t="s">
        <v>34</v>
      </c>
    </row>
    <row r="602" spans="1:3" ht="14.6" x14ac:dyDescent="0.4">
      <c r="A602" s="3" t="s">
        <v>891</v>
      </c>
      <c r="B602" s="4" t="s">
        <v>892</v>
      </c>
      <c r="C602" s="4" t="s">
        <v>29</v>
      </c>
    </row>
    <row r="603" spans="1:3" ht="14.6" x14ac:dyDescent="0.4">
      <c r="A603" s="3" t="s">
        <v>893</v>
      </c>
      <c r="B603" s="4" t="s">
        <v>154</v>
      </c>
      <c r="C603" s="4" t="s">
        <v>12</v>
      </c>
    </row>
    <row r="604" spans="1:3" ht="14.6" x14ac:dyDescent="0.4">
      <c r="A604" s="3" t="s">
        <v>894</v>
      </c>
      <c r="B604" s="4" t="s">
        <v>554</v>
      </c>
      <c r="C604" s="4" t="s">
        <v>52</v>
      </c>
    </row>
    <row r="605" spans="1:3" ht="14.6" x14ac:dyDescent="0.4">
      <c r="A605" s="3" t="s">
        <v>895</v>
      </c>
      <c r="B605" s="4" t="s">
        <v>105</v>
      </c>
      <c r="C605" s="4" t="s">
        <v>29</v>
      </c>
    </row>
    <row r="606" spans="1:3" ht="14.6" x14ac:dyDescent="0.4">
      <c r="A606" s="3" t="s">
        <v>896</v>
      </c>
      <c r="B606" s="4" t="s">
        <v>180</v>
      </c>
      <c r="C606" s="4" t="s">
        <v>34</v>
      </c>
    </row>
    <row r="607" spans="1:3" ht="14.6" x14ac:dyDescent="0.4">
      <c r="A607" s="3" t="s">
        <v>897</v>
      </c>
      <c r="B607" s="4" t="s">
        <v>511</v>
      </c>
      <c r="C607" s="4" t="s">
        <v>29</v>
      </c>
    </row>
    <row r="608" spans="1:3" ht="14.6" x14ac:dyDescent="0.4">
      <c r="A608" s="3" t="s">
        <v>898</v>
      </c>
      <c r="B608" s="4" t="s">
        <v>38</v>
      </c>
      <c r="C608" s="4" t="s">
        <v>47</v>
      </c>
    </row>
    <row r="609" spans="1:3" ht="14.6" x14ac:dyDescent="0.4">
      <c r="A609" s="3" t="s">
        <v>899</v>
      </c>
      <c r="B609" s="4" t="s">
        <v>14</v>
      </c>
      <c r="C609" s="4" t="s">
        <v>52</v>
      </c>
    </row>
    <row r="610" spans="1:3" ht="14.6" x14ac:dyDescent="0.4">
      <c r="A610" s="3" t="s">
        <v>900</v>
      </c>
      <c r="B610" s="4" t="s">
        <v>154</v>
      </c>
      <c r="C610" s="4" t="s">
        <v>15</v>
      </c>
    </row>
    <row r="611" spans="1:3" ht="14.6" x14ac:dyDescent="0.4">
      <c r="A611" s="3" t="s">
        <v>901</v>
      </c>
      <c r="B611" s="4" t="s">
        <v>724</v>
      </c>
      <c r="C611" s="4" t="s">
        <v>52</v>
      </c>
    </row>
    <row r="612" spans="1:3" ht="14.6" x14ac:dyDescent="0.4">
      <c r="A612" s="3" t="s">
        <v>902</v>
      </c>
      <c r="B612" s="4" t="s">
        <v>839</v>
      </c>
      <c r="C612" s="4" t="s">
        <v>68</v>
      </c>
    </row>
    <row r="613" spans="1:3" ht="14.6" x14ac:dyDescent="0.4">
      <c r="A613" s="3" t="s">
        <v>903</v>
      </c>
      <c r="B613" s="4" t="s">
        <v>733</v>
      </c>
      <c r="C613" s="4" t="s">
        <v>6</v>
      </c>
    </row>
    <row r="614" spans="1:3" ht="14.6" x14ac:dyDescent="0.4">
      <c r="A614" s="3" t="s">
        <v>904</v>
      </c>
      <c r="B614" s="4" t="s">
        <v>291</v>
      </c>
      <c r="C614" s="4" t="s">
        <v>68</v>
      </c>
    </row>
    <row r="615" spans="1:3" ht="14.6" x14ac:dyDescent="0.4">
      <c r="A615" s="3" t="s">
        <v>905</v>
      </c>
      <c r="B615" s="4" t="s">
        <v>221</v>
      </c>
      <c r="C615" s="4" t="s">
        <v>12</v>
      </c>
    </row>
    <row r="616" spans="1:3" ht="14.6" x14ac:dyDescent="0.4">
      <c r="A616" s="3" t="s">
        <v>906</v>
      </c>
      <c r="B616" s="4" t="s">
        <v>182</v>
      </c>
      <c r="C616" s="4" t="s">
        <v>65</v>
      </c>
    </row>
    <row r="617" spans="1:3" ht="14.6" x14ac:dyDescent="0.4">
      <c r="A617" s="3" t="s">
        <v>907</v>
      </c>
      <c r="B617" s="4" t="s">
        <v>133</v>
      </c>
      <c r="C617" s="4" t="s">
        <v>12</v>
      </c>
    </row>
    <row r="618" spans="1:3" ht="14.6" x14ac:dyDescent="0.4">
      <c r="A618" s="3" t="s">
        <v>908</v>
      </c>
      <c r="B618" s="4" t="s">
        <v>909</v>
      </c>
      <c r="C618" s="4" t="s">
        <v>58</v>
      </c>
    </row>
    <row r="619" spans="1:3" ht="14.6" x14ac:dyDescent="0.4">
      <c r="A619" s="3" t="s">
        <v>910</v>
      </c>
      <c r="B619" s="4" t="s">
        <v>335</v>
      </c>
      <c r="C619" s="4" t="s">
        <v>24</v>
      </c>
    </row>
    <row r="620" spans="1:3" ht="14.6" x14ac:dyDescent="0.4">
      <c r="A620" s="3" t="s">
        <v>911</v>
      </c>
      <c r="B620" s="4" t="s">
        <v>545</v>
      </c>
      <c r="C620" s="4" t="s">
        <v>47</v>
      </c>
    </row>
    <row r="621" spans="1:3" ht="14.6" x14ac:dyDescent="0.4">
      <c r="A621" s="3" t="s">
        <v>912</v>
      </c>
      <c r="B621" s="4" t="s">
        <v>316</v>
      </c>
      <c r="C621" s="4" t="s">
        <v>21</v>
      </c>
    </row>
    <row r="622" spans="1:3" ht="14.6" x14ac:dyDescent="0.4">
      <c r="A622" s="3" t="s">
        <v>913</v>
      </c>
      <c r="B622" s="4" t="s">
        <v>234</v>
      </c>
      <c r="C622" s="4" t="s">
        <v>55</v>
      </c>
    </row>
    <row r="623" spans="1:3" ht="14.6" x14ac:dyDescent="0.4">
      <c r="A623" s="3" t="s">
        <v>914</v>
      </c>
      <c r="B623" s="4" t="s">
        <v>879</v>
      </c>
      <c r="C623" s="4" t="s">
        <v>65</v>
      </c>
    </row>
    <row r="624" spans="1:3" ht="14.6" x14ac:dyDescent="0.4">
      <c r="A624" s="3" t="s">
        <v>915</v>
      </c>
      <c r="B624" s="4" t="s">
        <v>300</v>
      </c>
      <c r="C624" s="4" t="s">
        <v>15</v>
      </c>
    </row>
    <row r="625" spans="1:3" ht="14.6" x14ac:dyDescent="0.4">
      <c r="A625" s="3" t="s">
        <v>916</v>
      </c>
      <c r="B625" s="4" t="s">
        <v>464</v>
      </c>
      <c r="C625" s="4" t="s">
        <v>21</v>
      </c>
    </row>
    <row r="626" spans="1:3" ht="14.6" x14ac:dyDescent="0.4">
      <c r="A626" s="3" t="s">
        <v>917</v>
      </c>
      <c r="B626" s="4" t="s">
        <v>645</v>
      </c>
      <c r="C626" s="4" t="s">
        <v>58</v>
      </c>
    </row>
    <row r="627" spans="1:3" ht="14.6" x14ac:dyDescent="0.4">
      <c r="A627" s="3" t="s">
        <v>918</v>
      </c>
      <c r="B627" s="4" t="s">
        <v>919</v>
      </c>
      <c r="C627" s="4" t="s">
        <v>18</v>
      </c>
    </row>
    <row r="628" spans="1:3" ht="14.6" x14ac:dyDescent="0.4">
      <c r="A628" s="3" t="s">
        <v>920</v>
      </c>
      <c r="B628" s="4" t="s">
        <v>839</v>
      </c>
      <c r="C628" s="4" t="s">
        <v>9</v>
      </c>
    </row>
    <row r="629" spans="1:3" ht="14.6" x14ac:dyDescent="0.4">
      <c r="A629" s="3" t="s">
        <v>921</v>
      </c>
      <c r="B629" s="4" t="s">
        <v>839</v>
      </c>
      <c r="C629" s="4" t="s">
        <v>24</v>
      </c>
    </row>
    <row r="630" spans="1:3" ht="14.6" x14ac:dyDescent="0.4">
      <c r="A630" s="3" t="s">
        <v>922</v>
      </c>
      <c r="B630" s="4" t="s">
        <v>919</v>
      </c>
      <c r="C630" s="4" t="s">
        <v>68</v>
      </c>
    </row>
    <row r="631" spans="1:3" ht="14.6" x14ac:dyDescent="0.4">
      <c r="A631" s="3" t="s">
        <v>923</v>
      </c>
      <c r="B631" s="4" t="s">
        <v>795</v>
      </c>
      <c r="C631" s="4" t="s">
        <v>58</v>
      </c>
    </row>
    <row r="632" spans="1:3" ht="14.6" x14ac:dyDescent="0.4">
      <c r="A632" s="3" t="s">
        <v>924</v>
      </c>
      <c r="B632" s="4" t="s">
        <v>694</v>
      </c>
      <c r="C632" s="4" t="s">
        <v>29</v>
      </c>
    </row>
    <row r="633" spans="1:3" ht="14.6" x14ac:dyDescent="0.4">
      <c r="A633" s="3" t="s">
        <v>925</v>
      </c>
      <c r="B633" s="4" t="s">
        <v>682</v>
      </c>
      <c r="C633" s="4" t="s">
        <v>15</v>
      </c>
    </row>
    <row r="634" spans="1:3" ht="14.6" x14ac:dyDescent="0.4">
      <c r="A634" s="3" t="s">
        <v>926</v>
      </c>
      <c r="B634" s="4" t="s">
        <v>927</v>
      </c>
      <c r="C634" s="4" t="s">
        <v>65</v>
      </c>
    </row>
    <row r="635" spans="1:3" ht="14.6" x14ac:dyDescent="0.4">
      <c r="A635" s="3" t="s">
        <v>928</v>
      </c>
      <c r="B635" s="4" t="s">
        <v>354</v>
      </c>
      <c r="C635" s="4" t="s">
        <v>65</v>
      </c>
    </row>
    <row r="636" spans="1:3" ht="14.6" x14ac:dyDescent="0.4">
      <c r="A636" s="3" t="s">
        <v>929</v>
      </c>
      <c r="B636" s="4" t="s">
        <v>67</v>
      </c>
      <c r="C636" s="4" t="s">
        <v>52</v>
      </c>
    </row>
    <row r="637" spans="1:3" ht="14.6" x14ac:dyDescent="0.4">
      <c r="A637" s="3" t="s">
        <v>930</v>
      </c>
      <c r="B637" s="4" t="s">
        <v>406</v>
      </c>
      <c r="C637" s="4" t="s">
        <v>6</v>
      </c>
    </row>
    <row r="638" spans="1:3" ht="14.6" x14ac:dyDescent="0.4">
      <c r="A638" s="3" t="s">
        <v>931</v>
      </c>
      <c r="B638" s="4" t="s">
        <v>545</v>
      </c>
      <c r="C638" s="4" t="s">
        <v>52</v>
      </c>
    </row>
    <row r="639" spans="1:3" ht="14.6" x14ac:dyDescent="0.4">
      <c r="A639" s="3" t="s">
        <v>932</v>
      </c>
      <c r="B639" s="4" t="s">
        <v>490</v>
      </c>
      <c r="C639" s="4" t="s">
        <v>47</v>
      </c>
    </row>
    <row r="640" spans="1:3" ht="14.6" x14ac:dyDescent="0.4">
      <c r="A640" s="3" t="s">
        <v>933</v>
      </c>
      <c r="B640" s="4" t="s">
        <v>11</v>
      </c>
      <c r="C640" s="4" t="s">
        <v>15</v>
      </c>
    </row>
    <row r="641" spans="1:3" ht="14.6" x14ac:dyDescent="0.4">
      <c r="A641" s="3" t="s">
        <v>934</v>
      </c>
      <c r="B641" s="4" t="s">
        <v>701</v>
      </c>
      <c r="C641" s="4" t="s">
        <v>47</v>
      </c>
    </row>
    <row r="642" spans="1:3" ht="14.6" x14ac:dyDescent="0.4">
      <c r="A642" s="3" t="s">
        <v>935</v>
      </c>
      <c r="B642" s="4" t="s">
        <v>70</v>
      </c>
      <c r="C642" s="4" t="s">
        <v>58</v>
      </c>
    </row>
    <row r="643" spans="1:3" ht="14.6" x14ac:dyDescent="0.4">
      <c r="A643" s="3" t="s">
        <v>936</v>
      </c>
      <c r="B643" s="4" t="s">
        <v>485</v>
      </c>
      <c r="C643" s="4" t="s">
        <v>55</v>
      </c>
    </row>
    <row r="644" spans="1:3" ht="14.6" x14ac:dyDescent="0.4">
      <c r="A644" s="3" t="s">
        <v>937</v>
      </c>
      <c r="B644" s="4" t="s">
        <v>938</v>
      </c>
      <c r="C644" s="4" t="s">
        <v>34</v>
      </c>
    </row>
    <row r="645" spans="1:3" ht="14.6" x14ac:dyDescent="0.4">
      <c r="A645" s="3" t="s">
        <v>939</v>
      </c>
      <c r="B645" s="4" t="s">
        <v>8</v>
      </c>
      <c r="C645" s="4" t="s">
        <v>34</v>
      </c>
    </row>
    <row r="646" spans="1:3" ht="14.6" x14ac:dyDescent="0.4">
      <c r="A646" s="3" t="s">
        <v>940</v>
      </c>
      <c r="B646" s="4" t="s">
        <v>444</v>
      </c>
      <c r="C646" s="4" t="s">
        <v>58</v>
      </c>
    </row>
    <row r="647" spans="1:3" ht="14.6" x14ac:dyDescent="0.4">
      <c r="A647" s="3" t="s">
        <v>941</v>
      </c>
      <c r="B647" s="4" t="s">
        <v>282</v>
      </c>
      <c r="C647" s="4" t="s">
        <v>12</v>
      </c>
    </row>
    <row r="648" spans="1:3" ht="14.6" x14ac:dyDescent="0.4">
      <c r="A648" s="3" t="s">
        <v>942</v>
      </c>
      <c r="B648" s="4" t="s">
        <v>747</v>
      </c>
      <c r="C648" s="4" t="s">
        <v>47</v>
      </c>
    </row>
    <row r="649" spans="1:3" ht="14.6" x14ac:dyDescent="0.4">
      <c r="A649" s="3" t="s">
        <v>943</v>
      </c>
      <c r="B649" s="4" t="s">
        <v>944</v>
      </c>
      <c r="C649" s="4" t="s">
        <v>55</v>
      </c>
    </row>
    <row r="650" spans="1:3" ht="14.6" x14ac:dyDescent="0.4">
      <c r="A650" s="3" t="s">
        <v>945</v>
      </c>
      <c r="B650" s="4" t="s">
        <v>286</v>
      </c>
      <c r="C650" s="4" t="s">
        <v>34</v>
      </c>
    </row>
    <row r="651" spans="1:3" ht="14.6" x14ac:dyDescent="0.4">
      <c r="A651" s="3" t="s">
        <v>946</v>
      </c>
      <c r="B651" s="4" t="s">
        <v>93</v>
      </c>
      <c r="C651" s="4" t="s">
        <v>12</v>
      </c>
    </row>
    <row r="652" spans="1:3" ht="14.6" x14ac:dyDescent="0.4">
      <c r="A652" s="3" t="s">
        <v>947</v>
      </c>
      <c r="B652" s="4" t="s">
        <v>116</v>
      </c>
      <c r="C652" s="4" t="s">
        <v>15</v>
      </c>
    </row>
    <row r="653" spans="1:3" ht="14.6" x14ac:dyDescent="0.4">
      <c r="A653" s="3" t="s">
        <v>948</v>
      </c>
      <c r="B653" s="4" t="s">
        <v>259</v>
      </c>
      <c r="C653" s="4" t="s">
        <v>18</v>
      </c>
    </row>
    <row r="654" spans="1:3" ht="14.6" x14ac:dyDescent="0.4">
      <c r="A654" s="3" t="s">
        <v>949</v>
      </c>
      <c r="B654" s="4" t="s">
        <v>892</v>
      </c>
      <c r="C654" s="4" t="s">
        <v>29</v>
      </c>
    </row>
    <row r="655" spans="1:3" ht="14.6" x14ac:dyDescent="0.4">
      <c r="A655" s="3" t="s">
        <v>950</v>
      </c>
      <c r="B655" s="4" t="s">
        <v>276</v>
      </c>
      <c r="C655" s="4" t="s">
        <v>15</v>
      </c>
    </row>
    <row r="656" spans="1:3" ht="14.6" x14ac:dyDescent="0.4">
      <c r="A656" s="3" t="s">
        <v>951</v>
      </c>
      <c r="B656" s="4" t="s">
        <v>879</v>
      </c>
      <c r="C656" s="4" t="s">
        <v>68</v>
      </c>
    </row>
    <row r="657" spans="1:3" ht="14.6" x14ac:dyDescent="0.4">
      <c r="A657" s="3" t="s">
        <v>952</v>
      </c>
      <c r="B657" s="4" t="s">
        <v>141</v>
      </c>
      <c r="C657" s="4" t="s">
        <v>18</v>
      </c>
    </row>
    <row r="658" spans="1:3" ht="14.6" x14ac:dyDescent="0.4">
      <c r="A658" s="3" t="s">
        <v>953</v>
      </c>
      <c r="B658" s="4" t="s">
        <v>296</v>
      </c>
      <c r="C658" s="4" t="s">
        <v>65</v>
      </c>
    </row>
    <row r="659" spans="1:3" ht="14.6" x14ac:dyDescent="0.4">
      <c r="A659" s="3" t="s">
        <v>954</v>
      </c>
      <c r="B659" s="4" t="s">
        <v>955</v>
      </c>
      <c r="C659" s="4" t="s">
        <v>15</v>
      </c>
    </row>
    <row r="660" spans="1:3" ht="14.6" x14ac:dyDescent="0.4">
      <c r="A660" s="3" t="s">
        <v>956</v>
      </c>
      <c r="B660" s="4" t="s">
        <v>14</v>
      </c>
      <c r="C660" s="4" t="s">
        <v>58</v>
      </c>
    </row>
    <row r="661" spans="1:3" ht="14.6" x14ac:dyDescent="0.4">
      <c r="A661" s="3" t="s">
        <v>957</v>
      </c>
      <c r="B661" s="4" t="s">
        <v>881</v>
      </c>
      <c r="C661" s="4" t="s">
        <v>24</v>
      </c>
    </row>
    <row r="662" spans="1:3" ht="14.6" x14ac:dyDescent="0.4">
      <c r="A662" s="3" t="s">
        <v>958</v>
      </c>
      <c r="B662" s="4" t="s">
        <v>259</v>
      </c>
      <c r="C662" s="4" t="s">
        <v>21</v>
      </c>
    </row>
    <row r="663" spans="1:3" ht="14.6" x14ac:dyDescent="0.4">
      <c r="A663" s="3" t="s">
        <v>959</v>
      </c>
      <c r="B663" s="4" t="s">
        <v>960</v>
      </c>
      <c r="C663" s="4" t="s">
        <v>52</v>
      </c>
    </row>
    <row r="664" spans="1:3" ht="14.6" x14ac:dyDescent="0.4">
      <c r="A664" s="3" t="s">
        <v>961</v>
      </c>
      <c r="B664" s="4" t="s">
        <v>601</v>
      </c>
      <c r="C664" s="4" t="s">
        <v>65</v>
      </c>
    </row>
    <row r="665" spans="1:3" ht="14.6" x14ac:dyDescent="0.4">
      <c r="A665" s="3" t="s">
        <v>962</v>
      </c>
      <c r="B665" s="4" t="s">
        <v>54</v>
      </c>
      <c r="C665" s="4" t="s">
        <v>52</v>
      </c>
    </row>
    <row r="666" spans="1:3" ht="14.6" x14ac:dyDescent="0.4">
      <c r="A666" s="3" t="s">
        <v>963</v>
      </c>
      <c r="B666" s="4" t="s">
        <v>637</v>
      </c>
      <c r="C666" s="4" t="s">
        <v>15</v>
      </c>
    </row>
    <row r="667" spans="1:3" ht="14.6" x14ac:dyDescent="0.4">
      <c r="A667" s="3" t="s">
        <v>964</v>
      </c>
      <c r="B667" s="4" t="s">
        <v>428</v>
      </c>
      <c r="C667" s="4" t="s">
        <v>6</v>
      </c>
    </row>
    <row r="668" spans="1:3" ht="14.6" x14ac:dyDescent="0.4">
      <c r="A668" s="3" t="s">
        <v>965</v>
      </c>
      <c r="B668" s="4" t="s">
        <v>126</v>
      </c>
      <c r="C668" s="4" t="s">
        <v>21</v>
      </c>
    </row>
    <row r="669" spans="1:3" ht="14.6" x14ac:dyDescent="0.4">
      <c r="A669" s="3" t="s">
        <v>966</v>
      </c>
      <c r="B669" s="4" t="s">
        <v>795</v>
      </c>
      <c r="C669" s="4" t="s">
        <v>55</v>
      </c>
    </row>
    <row r="670" spans="1:3" ht="14.6" x14ac:dyDescent="0.4">
      <c r="A670" s="3" t="s">
        <v>967</v>
      </c>
      <c r="B670" s="4" t="s">
        <v>252</v>
      </c>
      <c r="C670" s="4" t="s">
        <v>55</v>
      </c>
    </row>
    <row r="671" spans="1:3" ht="14.6" x14ac:dyDescent="0.4">
      <c r="A671" s="3" t="s">
        <v>968</v>
      </c>
      <c r="B671" s="4" t="s">
        <v>661</v>
      </c>
      <c r="C671" s="4" t="s">
        <v>9</v>
      </c>
    </row>
    <row r="672" spans="1:3" ht="14.6" x14ac:dyDescent="0.4">
      <c r="A672" s="3" t="s">
        <v>969</v>
      </c>
      <c r="B672" s="4" t="s">
        <v>57</v>
      </c>
      <c r="C672" s="4" t="s">
        <v>18</v>
      </c>
    </row>
    <row r="673" spans="1:3" ht="14.6" x14ac:dyDescent="0.4">
      <c r="A673" s="3" t="s">
        <v>970</v>
      </c>
      <c r="B673" s="4" t="s">
        <v>682</v>
      </c>
      <c r="C673" s="4" t="s">
        <v>24</v>
      </c>
    </row>
    <row r="674" spans="1:3" ht="14.6" x14ac:dyDescent="0.4">
      <c r="A674" s="3" t="s">
        <v>971</v>
      </c>
      <c r="B674" s="4" t="s">
        <v>822</v>
      </c>
      <c r="C674" s="4" t="s">
        <v>24</v>
      </c>
    </row>
    <row r="675" spans="1:3" ht="14.6" x14ac:dyDescent="0.4">
      <c r="A675" s="3" t="s">
        <v>972</v>
      </c>
      <c r="B675" s="4" t="s">
        <v>973</v>
      </c>
      <c r="C675" s="4" t="s">
        <v>55</v>
      </c>
    </row>
    <row r="676" spans="1:3" ht="14.6" x14ac:dyDescent="0.4">
      <c r="A676" s="3" t="s">
        <v>974</v>
      </c>
      <c r="B676" s="4" t="s">
        <v>259</v>
      </c>
      <c r="C676" s="4" t="s">
        <v>6</v>
      </c>
    </row>
    <row r="677" spans="1:3" ht="14.6" x14ac:dyDescent="0.4">
      <c r="A677" s="3" t="s">
        <v>975</v>
      </c>
      <c r="B677" s="4" t="s">
        <v>171</v>
      </c>
      <c r="C677" s="4" t="s">
        <v>18</v>
      </c>
    </row>
    <row r="678" spans="1:3" ht="14.6" x14ac:dyDescent="0.4">
      <c r="A678" s="3" t="s">
        <v>976</v>
      </c>
      <c r="B678" s="4" t="s">
        <v>8</v>
      </c>
      <c r="C678" s="4" t="s">
        <v>52</v>
      </c>
    </row>
    <row r="679" spans="1:3" ht="14.6" x14ac:dyDescent="0.4">
      <c r="A679" s="3" t="s">
        <v>977</v>
      </c>
      <c r="B679" s="4" t="s">
        <v>978</v>
      </c>
      <c r="C679" s="4" t="s">
        <v>58</v>
      </c>
    </row>
    <row r="680" spans="1:3" ht="14.6" x14ac:dyDescent="0.4">
      <c r="A680" s="3" t="s">
        <v>979</v>
      </c>
      <c r="B680" s="4" t="s">
        <v>490</v>
      </c>
      <c r="C680" s="4" t="s">
        <v>68</v>
      </c>
    </row>
    <row r="681" spans="1:3" ht="14.6" x14ac:dyDescent="0.4">
      <c r="A681" s="3" t="s">
        <v>980</v>
      </c>
      <c r="B681" s="4" t="s">
        <v>391</v>
      </c>
      <c r="C681" s="4" t="s">
        <v>47</v>
      </c>
    </row>
    <row r="682" spans="1:3" ht="14.6" x14ac:dyDescent="0.4">
      <c r="A682" s="3" t="s">
        <v>981</v>
      </c>
      <c r="B682" s="4" t="s">
        <v>573</v>
      </c>
      <c r="C682" s="4" t="s">
        <v>9</v>
      </c>
    </row>
    <row r="683" spans="1:3" ht="14.6" x14ac:dyDescent="0.4">
      <c r="A683" s="3" t="s">
        <v>982</v>
      </c>
      <c r="B683" s="4" t="s">
        <v>351</v>
      </c>
      <c r="C683" s="4" t="s">
        <v>65</v>
      </c>
    </row>
    <row r="684" spans="1:3" ht="14.6" x14ac:dyDescent="0.4">
      <c r="A684" s="3" t="s">
        <v>983</v>
      </c>
      <c r="B684" s="4" t="s">
        <v>211</v>
      </c>
      <c r="C684" s="4" t="s">
        <v>58</v>
      </c>
    </row>
    <row r="685" spans="1:3" ht="14.6" x14ac:dyDescent="0.4">
      <c r="A685" s="3" t="s">
        <v>984</v>
      </c>
      <c r="B685" s="4" t="s">
        <v>542</v>
      </c>
      <c r="C685" s="4" t="s">
        <v>58</v>
      </c>
    </row>
    <row r="686" spans="1:3" ht="14.6" x14ac:dyDescent="0.4">
      <c r="A686" s="3" t="s">
        <v>985</v>
      </c>
      <c r="B686" s="4" t="s">
        <v>369</v>
      </c>
      <c r="C686" s="4" t="s">
        <v>21</v>
      </c>
    </row>
    <row r="687" spans="1:3" ht="14.6" x14ac:dyDescent="0.4">
      <c r="A687" s="3" t="s">
        <v>986</v>
      </c>
      <c r="B687" s="4" t="s">
        <v>554</v>
      </c>
      <c r="C687" s="4" t="s">
        <v>18</v>
      </c>
    </row>
    <row r="688" spans="1:3" ht="14.6" x14ac:dyDescent="0.4">
      <c r="A688" s="3" t="s">
        <v>987</v>
      </c>
      <c r="B688" s="4" t="s">
        <v>675</v>
      </c>
      <c r="C688" s="4" t="s">
        <v>9</v>
      </c>
    </row>
    <row r="689" spans="1:3" ht="14.6" x14ac:dyDescent="0.4">
      <c r="A689" s="3" t="s">
        <v>988</v>
      </c>
      <c r="B689" s="4" t="s">
        <v>383</v>
      </c>
      <c r="C689" s="4" t="s">
        <v>18</v>
      </c>
    </row>
    <row r="690" spans="1:3" ht="14.6" x14ac:dyDescent="0.4">
      <c r="A690" s="3" t="s">
        <v>989</v>
      </c>
      <c r="B690" s="4" t="s">
        <v>311</v>
      </c>
      <c r="C690" s="4" t="s">
        <v>29</v>
      </c>
    </row>
    <row r="691" spans="1:3" ht="14.6" x14ac:dyDescent="0.4">
      <c r="A691" s="3" t="s">
        <v>990</v>
      </c>
      <c r="B691" s="4" t="s">
        <v>699</v>
      </c>
      <c r="C691" s="4" t="s">
        <v>12</v>
      </c>
    </row>
    <row r="692" spans="1:3" ht="14.6" x14ac:dyDescent="0.4">
      <c r="A692" s="3" t="s">
        <v>991</v>
      </c>
      <c r="B692" s="4" t="s">
        <v>992</v>
      </c>
      <c r="C692" s="4" t="s">
        <v>34</v>
      </c>
    </row>
    <row r="693" spans="1:3" ht="14.6" x14ac:dyDescent="0.4">
      <c r="A693" s="3" t="s">
        <v>993</v>
      </c>
      <c r="B693" s="4" t="s">
        <v>135</v>
      </c>
      <c r="C693" s="4" t="s">
        <v>18</v>
      </c>
    </row>
    <row r="694" spans="1:3" ht="14.6" x14ac:dyDescent="0.4">
      <c r="A694" s="3" t="s">
        <v>994</v>
      </c>
      <c r="B694" s="4" t="s">
        <v>809</v>
      </c>
      <c r="C694" s="4" t="s">
        <v>12</v>
      </c>
    </row>
    <row r="695" spans="1:3" ht="14.6" x14ac:dyDescent="0.4">
      <c r="A695" s="3" t="s">
        <v>995</v>
      </c>
      <c r="B695" s="4" t="s">
        <v>567</v>
      </c>
      <c r="C695" s="4" t="s">
        <v>55</v>
      </c>
    </row>
    <row r="696" spans="1:3" ht="14.6" x14ac:dyDescent="0.4">
      <c r="A696" s="3" t="s">
        <v>996</v>
      </c>
      <c r="B696" s="4" t="s">
        <v>997</v>
      </c>
      <c r="C696" s="4" t="s">
        <v>6</v>
      </c>
    </row>
    <row r="697" spans="1:3" ht="14.6" x14ac:dyDescent="0.4">
      <c r="A697" s="3" t="s">
        <v>998</v>
      </c>
      <c r="B697" s="4" t="s">
        <v>374</v>
      </c>
      <c r="C697" s="4" t="s">
        <v>29</v>
      </c>
    </row>
    <row r="698" spans="1:3" ht="14.6" x14ac:dyDescent="0.4">
      <c r="A698" s="3" t="s">
        <v>999</v>
      </c>
      <c r="B698" s="4" t="s">
        <v>409</v>
      </c>
      <c r="C698" s="4" t="s">
        <v>58</v>
      </c>
    </row>
    <row r="699" spans="1:3" ht="14.6" x14ac:dyDescent="0.4">
      <c r="A699" s="3" t="s">
        <v>1000</v>
      </c>
      <c r="B699" s="4" t="s">
        <v>456</v>
      </c>
      <c r="C699" s="4" t="s">
        <v>58</v>
      </c>
    </row>
    <row r="700" spans="1:3" ht="14.6" x14ac:dyDescent="0.4">
      <c r="A700" s="3" t="s">
        <v>1001</v>
      </c>
      <c r="B700" s="4" t="s">
        <v>345</v>
      </c>
      <c r="C700" s="4" t="s">
        <v>15</v>
      </c>
    </row>
    <row r="701" spans="1:3" ht="14.6" x14ac:dyDescent="0.4">
      <c r="A701" s="3" t="s">
        <v>1002</v>
      </c>
      <c r="B701" s="4" t="s">
        <v>204</v>
      </c>
      <c r="C701" s="4" t="s">
        <v>55</v>
      </c>
    </row>
    <row r="702" spans="1:3" ht="14.6" x14ac:dyDescent="0.4">
      <c r="A702" s="3" t="s">
        <v>1003</v>
      </c>
      <c r="B702" s="4" t="s">
        <v>60</v>
      </c>
      <c r="C702" s="4" t="s">
        <v>21</v>
      </c>
    </row>
    <row r="703" spans="1:3" ht="14.6" x14ac:dyDescent="0.4">
      <c r="A703" s="3" t="s">
        <v>1004</v>
      </c>
      <c r="B703" s="4" t="s">
        <v>60</v>
      </c>
      <c r="C703" s="4" t="s">
        <v>58</v>
      </c>
    </row>
    <row r="704" spans="1:3" ht="14.6" x14ac:dyDescent="0.4">
      <c r="A704" s="3" t="s">
        <v>1005</v>
      </c>
      <c r="B704" s="4" t="s">
        <v>62</v>
      </c>
      <c r="C704" s="4" t="s">
        <v>18</v>
      </c>
    </row>
    <row r="705" spans="1:3" ht="14.6" x14ac:dyDescent="0.4">
      <c r="A705" s="3" t="s">
        <v>1006</v>
      </c>
      <c r="B705" s="4" t="s">
        <v>578</v>
      </c>
      <c r="C705" s="4" t="s">
        <v>52</v>
      </c>
    </row>
    <row r="706" spans="1:3" ht="14.6" x14ac:dyDescent="0.4">
      <c r="A706" s="3" t="s">
        <v>1007</v>
      </c>
      <c r="B706" s="4" t="s">
        <v>973</v>
      </c>
      <c r="C706" s="4" t="s">
        <v>68</v>
      </c>
    </row>
    <row r="707" spans="1:3" ht="14.6" x14ac:dyDescent="0.4">
      <c r="A707" s="3" t="s">
        <v>1008</v>
      </c>
      <c r="B707" s="4" t="s">
        <v>40</v>
      </c>
      <c r="C707" s="4" t="s">
        <v>65</v>
      </c>
    </row>
    <row r="708" spans="1:3" ht="14.6" x14ac:dyDescent="0.4">
      <c r="A708" s="3" t="s">
        <v>1009</v>
      </c>
      <c r="B708" s="4" t="s">
        <v>839</v>
      </c>
      <c r="C708" s="4" t="s">
        <v>24</v>
      </c>
    </row>
    <row r="709" spans="1:3" ht="14.6" x14ac:dyDescent="0.4">
      <c r="A709" s="3" t="s">
        <v>1010</v>
      </c>
      <c r="B709" s="4" t="s">
        <v>413</v>
      </c>
      <c r="C709" s="4" t="s">
        <v>29</v>
      </c>
    </row>
    <row r="710" spans="1:3" ht="14.6" x14ac:dyDescent="0.4">
      <c r="A710" s="3" t="s">
        <v>1011</v>
      </c>
      <c r="B710" s="4" t="s">
        <v>643</v>
      </c>
      <c r="C710" s="4" t="s">
        <v>21</v>
      </c>
    </row>
    <row r="711" spans="1:3" ht="14.6" x14ac:dyDescent="0.4">
      <c r="A711" s="3" t="s">
        <v>1012</v>
      </c>
      <c r="B711" s="4" t="s">
        <v>816</v>
      </c>
      <c r="C711" s="4" t="s">
        <v>52</v>
      </c>
    </row>
    <row r="712" spans="1:3" ht="14.6" x14ac:dyDescent="0.4">
      <c r="A712" s="3" t="s">
        <v>1013</v>
      </c>
      <c r="B712" s="4" t="s">
        <v>519</v>
      </c>
      <c r="C712" s="4" t="s">
        <v>47</v>
      </c>
    </row>
    <row r="713" spans="1:3" ht="14.6" x14ac:dyDescent="0.4">
      <c r="A713" s="3" t="s">
        <v>1014</v>
      </c>
      <c r="B713" s="4" t="s">
        <v>451</v>
      </c>
      <c r="C713" s="4" t="s">
        <v>12</v>
      </c>
    </row>
    <row r="714" spans="1:3" ht="14.6" x14ac:dyDescent="0.4">
      <c r="A714" s="3" t="s">
        <v>1015</v>
      </c>
      <c r="B714" s="4" t="s">
        <v>1016</v>
      </c>
      <c r="C714" s="4" t="s">
        <v>47</v>
      </c>
    </row>
    <row r="715" spans="1:3" ht="14.6" x14ac:dyDescent="0.4">
      <c r="A715" s="3" t="s">
        <v>1017</v>
      </c>
      <c r="B715" s="4" t="s">
        <v>667</v>
      </c>
      <c r="C715" s="4" t="s">
        <v>47</v>
      </c>
    </row>
    <row r="716" spans="1:3" ht="14.6" x14ac:dyDescent="0.4">
      <c r="A716" s="3" t="s">
        <v>1018</v>
      </c>
      <c r="B716" s="4" t="s">
        <v>413</v>
      </c>
      <c r="C716" s="4" t="s">
        <v>55</v>
      </c>
    </row>
    <row r="717" spans="1:3" ht="14.6" x14ac:dyDescent="0.4">
      <c r="A717" s="3" t="s">
        <v>1019</v>
      </c>
      <c r="B717" s="4" t="s">
        <v>717</v>
      </c>
      <c r="C717" s="4" t="s">
        <v>68</v>
      </c>
    </row>
    <row r="718" spans="1:3" ht="14.6" x14ac:dyDescent="0.4">
      <c r="A718" s="3" t="s">
        <v>1020</v>
      </c>
      <c r="B718" s="4" t="s">
        <v>634</v>
      </c>
      <c r="C718" s="4" t="s">
        <v>12</v>
      </c>
    </row>
    <row r="719" spans="1:3" ht="14.6" x14ac:dyDescent="0.4">
      <c r="A719" s="3" t="s">
        <v>1021</v>
      </c>
      <c r="B719" s="4" t="s">
        <v>57</v>
      </c>
      <c r="C719" s="4" t="s">
        <v>58</v>
      </c>
    </row>
    <row r="720" spans="1:3" ht="14.6" x14ac:dyDescent="0.4">
      <c r="A720" s="3" t="s">
        <v>1022</v>
      </c>
      <c r="B720" s="4" t="s">
        <v>816</v>
      </c>
      <c r="C720" s="4" t="s">
        <v>34</v>
      </c>
    </row>
    <row r="721" spans="1:3" ht="14.6" x14ac:dyDescent="0.4">
      <c r="A721" s="3" t="s">
        <v>1023</v>
      </c>
      <c r="B721" s="4" t="s">
        <v>511</v>
      </c>
      <c r="C721" s="4" t="s">
        <v>18</v>
      </c>
    </row>
    <row r="722" spans="1:3" ht="14.6" x14ac:dyDescent="0.4">
      <c r="A722" s="3" t="s">
        <v>1024</v>
      </c>
      <c r="B722" s="4" t="s">
        <v>122</v>
      </c>
      <c r="C722" s="4" t="s">
        <v>24</v>
      </c>
    </row>
    <row r="723" spans="1:3" ht="14.6" x14ac:dyDescent="0.4">
      <c r="A723" s="3" t="s">
        <v>1025</v>
      </c>
      <c r="B723" s="4" t="s">
        <v>324</v>
      </c>
      <c r="C723" s="4" t="s">
        <v>58</v>
      </c>
    </row>
    <row r="724" spans="1:3" ht="14.6" x14ac:dyDescent="0.4">
      <c r="A724" s="3" t="s">
        <v>1026</v>
      </c>
      <c r="B724" s="4" t="s">
        <v>1027</v>
      </c>
      <c r="C724" s="4" t="s">
        <v>6</v>
      </c>
    </row>
    <row r="725" spans="1:3" ht="14.6" x14ac:dyDescent="0.4">
      <c r="A725" s="3" t="s">
        <v>1028</v>
      </c>
      <c r="B725" s="4" t="s">
        <v>1029</v>
      </c>
      <c r="C725" s="4" t="s">
        <v>55</v>
      </c>
    </row>
    <row r="726" spans="1:3" ht="14.6" x14ac:dyDescent="0.4">
      <c r="A726" s="3" t="s">
        <v>1030</v>
      </c>
      <c r="B726" s="4" t="s">
        <v>1031</v>
      </c>
      <c r="C726" s="4" t="s">
        <v>9</v>
      </c>
    </row>
    <row r="727" spans="1:3" ht="14.6" x14ac:dyDescent="0.4">
      <c r="A727" s="3" t="s">
        <v>1032</v>
      </c>
      <c r="B727" s="4" t="s">
        <v>1033</v>
      </c>
      <c r="C727" s="4" t="s">
        <v>12</v>
      </c>
    </row>
    <row r="728" spans="1:3" ht="14.6" x14ac:dyDescent="0.4">
      <c r="A728" s="3" t="s">
        <v>1034</v>
      </c>
      <c r="B728" s="4" t="s">
        <v>1035</v>
      </c>
      <c r="C728" s="4" t="s">
        <v>12</v>
      </c>
    </row>
    <row r="729" spans="1:3" ht="14.6" x14ac:dyDescent="0.4">
      <c r="A729" s="3" t="s">
        <v>1036</v>
      </c>
      <c r="B729" s="4" t="s">
        <v>1035</v>
      </c>
      <c r="C729" s="4" t="s">
        <v>55</v>
      </c>
    </row>
    <row r="730" spans="1:3" ht="14.6" x14ac:dyDescent="0.4">
      <c r="A730" s="3" t="s">
        <v>1037</v>
      </c>
      <c r="B730" s="4" t="s">
        <v>1038</v>
      </c>
      <c r="C730" s="4" t="s">
        <v>9</v>
      </c>
    </row>
    <row r="731" spans="1:3" ht="14.6" x14ac:dyDescent="0.4">
      <c r="A731" s="3" t="s">
        <v>1039</v>
      </c>
      <c r="B731" s="4" t="s">
        <v>1040</v>
      </c>
      <c r="C731" s="4" t="s">
        <v>21</v>
      </c>
    </row>
    <row r="732" spans="1:3" ht="14.6" x14ac:dyDescent="0.4">
      <c r="A732" s="3" t="s">
        <v>1041</v>
      </c>
      <c r="B732" s="4" t="s">
        <v>1038</v>
      </c>
      <c r="C732" s="4" t="s">
        <v>47</v>
      </c>
    </row>
    <row r="733" spans="1:3" ht="14.6" x14ac:dyDescent="0.4">
      <c r="A733" s="3" t="s">
        <v>1042</v>
      </c>
      <c r="B733" s="4" t="s">
        <v>1038</v>
      </c>
      <c r="C733" s="4" t="s">
        <v>9</v>
      </c>
    </row>
    <row r="734" spans="1:3" ht="14.6" x14ac:dyDescent="0.4">
      <c r="A734" s="3" t="s">
        <v>1043</v>
      </c>
      <c r="B734" s="4" t="s">
        <v>1031</v>
      </c>
      <c r="C734" s="4" t="s">
        <v>6</v>
      </c>
    </row>
    <row r="735" spans="1:3" ht="14.6" x14ac:dyDescent="0.4">
      <c r="A735" s="3" t="s">
        <v>1044</v>
      </c>
      <c r="B735" s="4" t="s">
        <v>1045</v>
      </c>
      <c r="C735" s="4" t="s">
        <v>52</v>
      </c>
    </row>
    <row r="736" spans="1:3" ht="14.6" x14ac:dyDescent="0.4">
      <c r="A736" s="3" t="s">
        <v>1046</v>
      </c>
      <c r="B736" s="4" t="s">
        <v>1047</v>
      </c>
      <c r="C736" s="4" t="s">
        <v>47</v>
      </c>
    </row>
    <row r="737" spans="1:3" ht="14.6" x14ac:dyDescent="0.4">
      <c r="A737" s="3" t="s">
        <v>1048</v>
      </c>
      <c r="B737" s="4" t="s">
        <v>1027</v>
      </c>
      <c r="C737" s="4" t="s">
        <v>52</v>
      </c>
    </row>
    <row r="738" spans="1:3" ht="14.6" x14ac:dyDescent="0.4">
      <c r="A738" s="3" t="s">
        <v>1049</v>
      </c>
      <c r="B738" s="4" t="s">
        <v>1027</v>
      </c>
      <c r="C738" s="4" t="s">
        <v>52</v>
      </c>
    </row>
    <row r="739" spans="1:3" ht="14.6" x14ac:dyDescent="0.4">
      <c r="A739" s="3" t="s">
        <v>1050</v>
      </c>
      <c r="B739" s="4" t="s">
        <v>1051</v>
      </c>
      <c r="C739" s="4" t="s">
        <v>34</v>
      </c>
    </row>
    <row r="740" spans="1:3" ht="14.6" x14ac:dyDescent="0.4">
      <c r="A740" s="3" t="s">
        <v>1052</v>
      </c>
      <c r="B740" s="4" t="s">
        <v>1038</v>
      </c>
      <c r="C740" s="4" t="s">
        <v>68</v>
      </c>
    </row>
    <row r="741" spans="1:3" ht="14.6" x14ac:dyDescent="0.4">
      <c r="A741" s="3" t="s">
        <v>1053</v>
      </c>
      <c r="B741" s="4" t="s">
        <v>1054</v>
      </c>
      <c r="C741" s="4" t="s">
        <v>6</v>
      </c>
    </row>
    <row r="742" spans="1:3" ht="14.6" x14ac:dyDescent="0.4">
      <c r="A742" s="3" t="s">
        <v>1055</v>
      </c>
      <c r="B742" s="4" t="s">
        <v>1029</v>
      </c>
      <c r="C742" s="4" t="s">
        <v>68</v>
      </c>
    </row>
    <row r="743" spans="1:3" ht="14.6" x14ac:dyDescent="0.4">
      <c r="A743" s="3" t="s">
        <v>1056</v>
      </c>
      <c r="B743" s="4" t="s">
        <v>1054</v>
      </c>
      <c r="C743" s="4" t="s">
        <v>9</v>
      </c>
    </row>
    <row r="744" spans="1:3" ht="14.6" x14ac:dyDescent="0.4">
      <c r="A744" s="3" t="s">
        <v>1057</v>
      </c>
      <c r="B744" s="4" t="s">
        <v>1038</v>
      </c>
      <c r="C744" s="4" t="s">
        <v>47</v>
      </c>
    </row>
    <row r="745" spans="1:3" ht="14.6" x14ac:dyDescent="0.4">
      <c r="A745" s="3" t="s">
        <v>1058</v>
      </c>
      <c r="B745" s="4" t="s">
        <v>1038</v>
      </c>
      <c r="C745" s="4" t="s">
        <v>29</v>
      </c>
    </row>
    <row r="746" spans="1:3" ht="14.6" x14ac:dyDescent="0.4">
      <c r="A746" s="3" t="s">
        <v>1059</v>
      </c>
      <c r="B746" s="4" t="s">
        <v>1060</v>
      </c>
      <c r="C746" s="4" t="s">
        <v>12</v>
      </c>
    </row>
    <row r="747" spans="1:3" ht="14.6" x14ac:dyDescent="0.4">
      <c r="A747" s="3" t="s">
        <v>1061</v>
      </c>
      <c r="B747" s="4" t="s">
        <v>1062</v>
      </c>
      <c r="C747" s="4" t="s">
        <v>24</v>
      </c>
    </row>
    <row r="748" spans="1:3" ht="14.6" x14ac:dyDescent="0.4">
      <c r="A748" s="3" t="s">
        <v>1063</v>
      </c>
      <c r="B748" s="4" t="s">
        <v>1045</v>
      </c>
      <c r="C748" s="4" t="s">
        <v>55</v>
      </c>
    </row>
    <row r="749" spans="1:3" ht="14.6" x14ac:dyDescent="0.4">
      <c r="A749" s="3" t="s">
        <v>1064</v>
      </c>
      <c r="B749" s="4" t="s">
        <v>1060</v>
      </c>
      <c r="C749" s="4" t="s">
        <v>18</v>
      </c>
    </row>
    <row r="750" spans="1:3" ht="14.6" x14ac:dyDescent="0.4">
      <c r="A750" s="3" t="s">
        <v>1065</v>
      </c>
      <c r="B750" s="4" t="s">
        <v>1062</v>
      </c>
      <c r="C750" s="4" t="s">
        <v>18</v>
      </c>
    </row>
    <row r="751" spans="1:3" ht="14.6" x14ac:dyDescent="0.4">
      <c r="A751" s="3" t="s">
        <v>1066</v>
      </c>
      <c r="B751" s="4" t="s">
        <v>1067</v>
      </c>
      <c r="C751" s="4" t="s">
        <v>15</v>
      </c>
    </row>
    <row r="752" spans="1:3" ht="14.6" x14ac:dyDescent="0.4">
      <c r="A752" s="3" t="s">
        <v>1068</v>
      </c>
      <c r="B752" s="4" t="s">
        <v>1033</v>
      </c>
      <c r="C752" s="4" t="s">
        <v>21</v>
      </c>
    </row>
    <row r="753" spans="1:3" ht="14.6" x14ac:dyDescent="0.4">
      <c r="A753" s="3" t="s">
        <v>1069</v>
      </c>
      <c r="B753" s="4" t="s">
        <v>1070</v>
      </c>
      <c r="C753" s="4" t="s">
        <v>65</v>
      </c>
    </row>
    <row r="754" spans="1:3" ht="14.6" x14ac:dyDescent="0.4">
      <c r="A754" s="3" t="s">
        <v>1071</v>
      </c>
      <c r="B754" s="4" t="s">
        <v>1047</v>
      </c>
      <c r="C754" s="4" t="s">
        <v>52</v>
      </c>
    </row>
    <row r="755" spans="1:3" ht="14.6" x14ac:dyDescent="0.4">
      <c r="A755" s="3" t="s">
        <v>1072</v>
      </c>
      <c r="B755" s="4" t="s">
        <v>1051</v>
      </c>
      <c r="C755" s="4" t="s">
        <v>15</v>
      </c>
    </row>
    <row r="756" spans="1:3" ht="14.6" x14ac:dyDescent="0.4">
      <c r="A756" s="3" t="s">
        <v>1073</v>
      </c>
      <c r="B756" s="4" t="s">
        <v>1074</v>
      </c>
      <c r="C756" s="4" t="s">
        <v>68</v>
      </c>
    </row>
    <row r="757" spans="1:3" ht="14.6" x14ac:dyDescent="0.4">
      <c r="A757" s="3" t="s">
        <v>1075</v>
      </c>
      <c r="B757" s="4" t="s">
        <v>1047</v>
      </c>
      <c r="C757" s="4" t="s">
        <v>68</v>
      </c>
    </row>
    <row r="758" spans="1:3" ht="14.6" x14ac:dyDescent="0.4">
      <c r="A758" s="3" t="s">
        <v>1076</v>
      </c>
      <c r="B758" s="4" t="s">
        <v>1060</v>
      </c>
      <c r="C758" s="4" t="s">
        <v>12</v>
      </c>
    </row>
    <row r="759" spans="1:3" ht="14.6" x14ac:dyDescent="0.4">
      <c r="A759" s="3" t="s">
        <v>1077</v>
      </c>
      <c r="B759" s="4" t="s">
        <v>1045</v>
      </c>
      <c r="C759" s="4" t="s">
        <v>34</v>
      </c>
    </row>
    <row r="760" spans="1:3" ht="14.6" x14ac:dyDescent="0.4">
      <c r="A760" s="3" t="s">
        <v>1078</v>
      </c>
      <c r="B760" s="4" t="s">
        <v>1060</v>
      </c>
      <c r="C760" s="4" t="s">
        <v>9</v>
      </c>
    </row>
    <row r="761" spans="1:3" ht="14.6" x14ac:dyDescent="0.4">
      <c r="A761" s="3" t="s">
        <v>1079</v>
      </c>
      <c r="B761" s="4" t="s">
        <v>1080</v>
      </c>
      <c r="C761" s="4" t="s">
        <v>12</v>
      </c>
    </row>
    <row r="762" spans="1:3" ht="14.6" x14ac:dyDescent="0.4">
      <c r="A762" s="3" t="s">
        <v>1081</v>
      </c>
      <c r="B762" s="4" t="s">
        <v>1080</v>
      </c>
      <c r="C762" s="4" t="s">
        <v>18</v>
      </c>
    </row>
    <row r="763" spans="1:3" ht="14.6" x14ac:dyDescent="0.4">
      <c r="A763" s="3" t="s">
        <v>1082</v>
      </c>
      <c r="B763" s="4" t="s">
        <v>1027</v>
      </c>
      <c r="C763" s="4" t="s">
        <v>52</v>
      </c>
    </row>
    <row r="764" spans="1:3" ht="14.6" x14ac:dyDescent="0.4">
      <c r="A764" s="3" t="s">
        <v>1083</v>
      </c>
      <c r="B764" s="4" t="s">
        <v>1070</v>
      </c>
      <c r="C764" s="4" t="s">
        <v>6</v>
      </c>
    </row>
    <row r="765" spans="1:3" ht="14.6" x14ac:dyDescent="0.4">
      <c r="A765" s="3" t="s">
        <v>1084</v>
      </c>
      <c r="B765" s="4" t="s">
        <v>1085</v>
      </c>
      <c r="C765" s="4" t="s">
        <v>9</v>
      </c>
    </row>
    <row r="766" spans="1:3" ht="14.6" x14ac:dyDescent="0.4">
      <c r="A766" s="3" t="s">
        <v>1086</v>
      </c>
      <c r="B766" s="4" t="s">
        <v>1087</v>
      </c>
      <c r="C766" s="4" t="s">
        <v>47</v>
      </c>
    </row>
    <row r="767" spans="1:3" ht="14.6" x14ac:dyDescent="0.4">
      <c r="A767" s="3" t="s">
        <v>1088</v>
      </c>
      <c r="B767" s="4" t="s">
        <v>1029</v>
      </c>
      <c r="C767" s="4" t="s">
        <v>34</v>
      </c>
    </row>
    <row r="768" spans="1:3" ht="14.6" x14ac:dyDescent="0.4">
      <c r="A768" s="3" t="s">
        <v>1089</v>
      </c>
      <c r="B768" s="4" t="s">
        <v>1062</v>
      </c>
      <c r="C768" s="4" t="s">
        <v>21</v>
      </c>
    </row>
    <row r="769" spans="1:3" ht="14.6" x14ac:dyDescent="0.4">
      <c r="A769" s="3" t="s">
        <v>1090</v>
      </c>
      <c r="B769" s="4" t="s">
        <v>1087</v>
      </c>
      <c r="C769" s="4" t="s">
        <v>18</v>
      </c>
    </row>
    <row r="770" spans="1:3" ht="14.6" x14ac:dyDescent="0.4">
      <c r="A770" s="3" t="s">
        <v>1091</v>
      </c>
      <c r="B770" s="4" t="s">
        <v>1031</v>
      </c>
      <c r="C770" s="4" t="s">
        <v>21</v>
      </c>
    </row>
    <row r="771" spans="1:3" ht="14.6" x14ac:dyDescent="0.4">
      <c r="A771" s="3" t="s">
        <v>1092</v>
      </c>
      <c r="B771" s="4" t="s">
        <v>1067</v>
      </c>
      <c r="C771" s="4" t="s">
        <v>18</v>
      </c>
    </row>
    <row r="772" spans="1:3" ht="14.6" x14ac:dyDescent="0.4">
      <c r="A772" s="3" t="s">
        <v>1093</v>
      </c>
      <c r="B772" s="4" t="s">
        <v>1051</v>
      </c>
      <c r="C772" s="4" t="s">
        <v>55</v>
      </c>
    </row>
    <row r="773" spans="1:3" ht="14.6" x14ac:dyDescent="0.4">
      <c r="A773" s="3" t="s">
        <v>1094</v>
      </c>
      <c r="B773" s="4" t="s">
        <v>1070</v>
      </c>
      <c r="C773" s="4" t="s">
        <v>58</v>
      </c>
    </row>
    <row r="774" spans="1:3" ht="14.6" x14ac:dyDescent="0.4">
      <c r="A774" s="3" t="s">
        <v>1095</v>
      </c>
      <c r="B774" s="4" t="s">
        <v>1070</v>
      </c>
      <c r="C774" s="4" t="s">
        <v>58</v>
      </c>
    </row>
    <row r="775" spans="1:3" ht="14.6" x14ac:dyDescent="0.4">
      <c r="A775" s="3" t="s">
        <v>1096</v>
      </c>
      <c r="B775" s="4" t="s">
        <v>1045</v>
      </c>
      <c r="C775" s="4" t="s">
        <v>9</v>
      </c>
    </row>
    <row r="776" spans="1:3" ht="14.6" x14ac:dyDescent="0.4">
      <c r="A776" s="3" t="s">
        <v>1097</v>
      </c>
      <c r="B776" s="4" t="s">
        <v>1038</v>
      </c>
      <c r="C776" s="4" t="s">
        <v>65</v>
      </c>
    </row>
    <row r="777" spans="1:3" ht="14.6" x14ac:dyDescent="0.4">
      <c r="A777" s="3" t="s">
        <v>1098</v>
      </c>
      <c r="B777" s="4" t="s">
        <v>1080</v>
      </c>
      <c r="C777" s="4" t="s">
        <v>6</v>
      </c>
    </row>
    <row r="778" spans="1:3" ht="14.6" x14ac:dyDescent="0.4">
      <c r="A778" s="3" t="s">
        <v>1099</v>
      </c>
      <c r="B778" s="4" t="s">
        <v>1054</v>
      </c>
      <c r="C778" s="4" t="s">
        <v>15</v>
      </c>
    </row>
    <row r="779" spans="1:3" ht="14.6" x14ac:dyDescent="0.4">
      <c r="A779" s="3" t="s">
        <v>1100</v>
      </c>
      <c r="B779" s="4" t="s">
        <v>1070</v>
      </c>
      <c r="C779" s="4" t="s">
        <v>21</v>
      </c>
    </row>
    <row r="780" spans="1:3" ht="14.6" x14ac:dyDescent="0.4">
      <c r="A780" s="3" t="s">
        <v>1101</v>
      </c>
      <c r="B780" s="4" t="s">
        <v>1102</v>
      </c>
      <c r="C780" s="4" t="s">
        <v>9</v>
      </c>
    </row>
    <row r="781" spans="1:3" ht="14.6" x14ac:dyDescent="0.4">
      <c r="A781" s="3" t="s">
        <v>1103</v>
      </c>
      <c r="B781" s="4" t="s">
        <v>1080</v>
      </c>
      <c r="C781" s="4" t="s">
        <v>58</v>
      </c>
    </row>
    <row r="782" spans="1:3" ht="14.6" x14ac:dyDescent="0.4">
      <c r="A782" s="3" t="s">
        <v>1104</v>
      </c>
      <c r="B782" s="4" t="s">
        <v>1047</v>
      </c>
      <c r="C782" s="4" t="s">
        <v>29</v>
      </c>
    </row>
    <row r="783" spans="1:3" ht="14.6" x14ac:dyDescent="0.4">
      <c r="A783" s="3" t="s">
        <v>1105</v>
      </c>
      <c r="B783" s="4" t="s">
        <v>1085</v>
      </c>
      <c r="C783" s="4" t="s">
        <v>34</v>
      </c>
    </row>
    <row r="784" spans="1:3" ht="14.6" x14ac:dyDescent="0.4">
      <c r="A784" s="3" t="s">
        <v>1106</v>
      </c>
      <c r="B784" s="4" t="s">
        <v>1060</v>
      </c>
      <c r="C784" s="4" t="s">
        <v>9</v>
      </c>
    </row>
    <row r="785" spans="1:3" ht="14.6" x14ac:dyDescent="0.4">
      <c r="A785" s="3" t="s">
        <v>1107</v>
      </c>
      <c r="B785" s="4" t="s">
        <v>1029</v>
      </c>
      <c r="C785" s="4" t="s">
        <v>65</v>
      </c>
    </row>
    <row r="786" spans="1:3" ht="14.6" x14ac:dyDescent="0.4">
      <c r="A786" s="3" t="s">
        <v>1108</v>
      </c>
      <c r="B786" s="4" t="s">
        <v>1085</v>
      </c>
      <c r="C786" s="4" t="s">
        <v>15</v>
      </c>
    </row>
    <row r="787" spans="1:3" ht="14.6" x14ac:dyDescent="0.4">
      <c r="A787" s="3" t="s">
        <v>1109</v>
      </c>
      <c r="B787" s="4" t="s">
        <v>1029</v>
      </c>
      <c r="C787" s="4" t="s">
        <v>21</v>
      </c>
    </row>
    <row r="788" spans="1:3" ht="14.6" x14ac:dyDescent="0.4">
      <c r="A788" s="3" t="s">
        <v>1110</v>
      </c>
      <c r="B788" s="4" t="s">
        <v>1051</v>
      </c>
      <c r="C788" s="4" t="s">
        <v>21</v>
      </c>
    </row>
    <row r="789" spans="1:3" ht="14.6" x14ac:dyDescent="0.4">
      <c r="A789" s="3" t="s">
        <v>1111</v>
      </c>
      <c r="B789" s="4" t="s">
        <v>1029</v>
      </c>
      <c r="C789" s="4" t="s">
        <v>58</v>
      </c>
    </row>
    <row r="790" spans="1:3" ht="14.6" x14ac:dyDescent="0.4">
      <c r="A790" s="3" t="s">
        <v>1112</v>
      </c>
      <c r="B790" s="4" t="s">
        <v>1029</v>
      </c>
      <c r="C790" s="4" t="s">
        <v>21</v>
      </c>
    </row>
    <row r="791" spans="1:3" ht="14.6" x14ac:dyDescent="0.4">
      <c r="A791" s="3" t="s">
        <v>1113</v>
      </c>
      <c r="B791" s="4" t="s">
        <v>1067</v>
      </c>
      <c r="C791" s="4" t="s">
        <v>6</v>
      </c>
    </row>
    <row r="792" spans="1:3" ht="14.6" x14ac:dyDescent="0.4">
      <c r="A792" s="3" t="s">
        <v>1114</v>
      </c>
      <c r="B792" s="4" t="s">
        <v>1067</v>
      </c>
      <c r="C792" s="4" t="s">
        <v>55</v>
      </c>
    </row>
    <row r="793" spans="1:3" ht="14.6" x14ac:dyDescent="0.4">
      <c r="A793" s="3" t="s">
        <v>1115</v>
      </c>
      <c r="B793" s="4" t="s">
        <v>1047</v>
      </c>
      <c r="C793" s="4" t="s">
        <v>65</v>
      </c>
    </row>
    <row r="794" spans="1:3" ht="14.6" x14ac:dyDescent="0.4">
      <c r="A794" s="3" t="s">
        <v>1116</v>
      </c>
      <c r="B794" s="4" t="s">
        <v>1080</v>
      </c>
      <c r="C794" s="4" t="s">
        <v>34</v>
      </c>
    </row>
    <row r="795" spans="1:3" ht="14.6" x14ac:dyDescent="0.4">
      <c r="A795" s="3" t="s">
        <v>1117</v>
      </c>
      <c r="B795" s="4" t="s">
        <v>1045</v>
      </c>
      <c r="C795" s="4" t="s">
        <v>18</v>
      </c>
    </row>
    <row r="796" spans="1:3" ht="14.6" x14ac:dyDescent="0.4">
      <c r="A796" s="3" t="s">
        <v>1118</v>
      </c>
      <c r="B796" s="4" t="s">
        <v>1047</v>
      </c>
      <c r="C796" s="4" t="s">
        <v>24</v>
      </c>
    </row>
    <row r="797" spans="1:3" ht="14.6" x14ac:dyDescent="0.4">
      <c r="A797" s="3" t="s">
        <v>1119</v>
      </c>
      <c r="B797" s="4" t="s">
        <v>1060</v>
      </c>
      <c r="C797" s="4" t="s">
        <v>24</v>
      </c>
    </row>
    <row r="798" spans="1:3" ht="14.6" x14ac:dyDescent="0.4">
      <c r="A798" s="3" t="s">
        <v>1120</v>
      </c>
      <c r="B798" s="4" t="s">
        <v>1062</v>
      </c>
      <c r="C798" s="4" t="s">
        <v>9</v>
      </c>
    </row>
    <row r="799" spans="1:3" ht="14.6" x14ac:dyDescent="0.4">
      <c r="A799" s="3" t="s">
        <v>1121</v>
      </c>
      <c r="B799" s="4" t="s">
        <v>1031</v>
      </c>
      <c r="C799" s="4" t="s">
        <v>65</v>
      </c>
    </row>
    <row r="800" spans="1:3" ht="14.6" x14ac:dyDescent="0.4">
      <c r="A800" s="3" t="s">
        <v>1122</v>
      </c>
      <c r="B800" s="4" t="s">
        <v>1054</v>
      </c>
      <c r="C800" s="4" t="s">
        <v>6</v>
      </c>
    </row>
    <row r="801" spans="1:3" ht="14.6" x14ac:dyDescent="0.4">
      <c r="A801" s="3" t="s">
        <v>1123</v>
      </c>
      <c r="B801" s="4" t="s">
        <v>1067</v>
      </c>
      <c r="C801" s="4" t="s">
        <v>55</v>
      </c>
    </row>
    <row r="802" spans="1:3" ht="14.6" x14ac:dyDescent="0.4">
      <c r="A802" s="3" t="s">
        <v>1124</v>
      </c>
      <c r="B802" s="4" t="s">
        <v>1085</v>
      </c>
      <c r="C802" s="4" t="s">
        <v>21</v>
      </c>
    </row>
    <row r="803" spans="1:3" ht="14.6" x14ac:dyDescent="0.4">
      <c r="A803" s="3" t="s">
        <v>1125</v>
      </c>
      <c r="B803" s="4" t="s">
        <v>1031</v>
      </c>
      <c r="C803" s="4" t="s">
        <v>21</v>
      </c>
    </row>
    <row r="804" spans="1:3" ht="14.6" x14ac:dyDescent="0.4">
      <c r="A804" s="3" t="s">
        <v>1126</v>
      </c>
      <c r="B804" s="4" t="s">
        <v>1102</v>
      </c>
      <c r="C804" s="4" t="s">
        <v>29</v>
      </c>
    </row>
    <row r="805" spans="1:3" ht="14.6" x14ac:dyDescent="0.4">
      <c r="A805" s="3" t="s">
        <v>1127</v>
      </c>
      <c r="B805" s="4" t="s">
        <v>1047</v>
      </c>
      <c r="C805" s="4" t="s">
        <v>9</v>
      </c>
    </row>
    <row r="806" spans="1:3" ht="14.6" x14ac:dyDescent="0.4">
      <c r="A806" s="3" t="s">
        <v>1128</v>
      </c>
      <c r="B806" s="4" t="s">
        <v>1045</v>
      </c>
      <c r="C806" s="4" t="s">
        <v>65</v>
      </c>
    </row>
    <row r="807" spans="1:3" ht="14.6" x14ac:dyDescent="0.4">
      <c r="A807" s="3" t="s">
        <v>1129</v>
      </c>
      <c r="B807" s="4" t="s">
        <v>1102</v>
      </c>
      <c r="C807" s="4" t="s">
        <v>15</v>
      </c>
    </row>
    <row r="808" spans="1:3" ht="14.6" x14ac:dyDescent="0.4">
      <c r="A808" s="3" t="s">
        <v>1130</v>
      </c>
      <c r="B808" s="4" t="s">
        <v>1035</v>
      </c>
      <c r="C808" s="4" t="s">
        <v>55</v>
      </c>
    </row>
    <row r="809" spans="1:3" ht="14.6" x14ac:dyDescent="0.4">
      <c r="A809" s="3" t="s">
        <v>1131</v>
      </c>
      <c r="B809" s="4" t="s">
        <v>1087</v>
      </c>
      <c r="C809" s="4" t="s">
        <v>55</v>
      </c>
    </row>
    <row r="810" spans="1:3" ht="14.6" x14ac:dyDescent="0.4">
      <c r="A810" s="3" t="s">
        <v>1132</v>
      </c>
      <c r="B810" s="4" t="s">
        <v>1051</v>
      </c>
      <c r="C810" s="4" t="s">
        <v>68</v>
      </c>
    </row>
    <row r="811" spans="1:3" ht="14.6" x14ac:dyDescent="0.4">
      <c r="A811" s="3" t="s">
        <v>1133</v>
      </c>
      <c r="B811" s="4" t="s">
        <v>1080</v>
      </c>
      <c r="C811" s="4" t="s">
        <v>47</v>
      </c>
    </row>
    <row r="812" spans="1:3" ht="14.6" x14ac:dyDescent="0.4">
      <c r="A812" s="3" t="s">
        <v>1134</v>
      </c>
      <c r="B812" s="4" t="s">
        <v>1070</v>
      </c>
      <c r="C812" s="4" t="s">
        <v>18</v>
      </c>
    </row>
    <row r="813" spans="1:3" ht="14.6" x14ac:dyDescent="0.4">
      <c r="A813" s="3" t="s">
        <v>1135</v>
      </c>
      <c r="B813" s="4" t="s">
        <v>1027</v>
      </c>
      <c r="C813" s="4" t="s">
        <v>6</v>
      </c>
    </row>
    <row r="814" spans="1:3" ht="14.6" x14ac:dyDescent="0.4">
      <c r="A814" s="3" t="s">
        <v>1136</v>
      </c>
      <c r="B814" s="4" t="s">
        <v>1074</v>
      </c>
      <c r="C814" s="4" t="s">
        <v>15</v>
      </c>
    </row>
    <row r="815" spans="1:3" ht="14.6" x14ac:dyDescent="0.4">
      <c r="A815" s="3" t="s">
        <v>1137</v>
      </c>
      <c r="B815" s="4" t="s">
        <v>1033</v>
      </c>
      <c r="C815" s="4" t="s">
        <v>15</v>
      </c>
    </row>
    <row r="816" spans="1:3" ht="14.6" x14ac:dyDescent="0.4">
      <c r="A816" s="3" t="s">
        <v>1138</v>
      </c>
      <c r="B816" s="4" t="s">
        <v>1040</v>
      </c>
      <c r="C816" s="4" t="s">
        <v>21</v>
      </c>
    </row>
    <row r="817" spans="1:3" ht="14.6" x14ac:dyDescent="0.4">
      <c r="A817" s="3" t="s">
        <v>1139</v>
      </c>
      <c r="B817" s="4" t="s">
        <v>1087</v>
      </c>
      <c r="C817" s="4" t="s">
        <v>52</v>
      </c>
    </row>
    <row r="818" spans="1:3" ht="14.6" x14ac:dyDescent="0.4">
      <c r="A818" s="3" t="s">
        <v>1140</v>
      </c>
      <c r="B818" s="4" t="s">
        <v>1038</v>
      </c>
      <c r="C818" s="4" t="s">
        <v>9</v>
      </c>
    </row>
    <row r="819" spans="1:3" ht="14.6" x14ac:dyDescent="0.4">
      <c r="A819" s="3" t="s">
        <v>1141</v>
      </c>
      <c r="B819" s="4" t="s">
        <v>1038</v>
      </c>
      <c r="C819" s="4" t="s">
        <v>47</v>
      </c>
    </row>
    <row r="820" spans="1:3" ht="14.6" x14ac:dyDescent="0.4">
      <c r="A820" s="3" t="s">
        <v>1142</v>
      </c>
      <c r="B820" s="4" t="s">
        <v>1080</v>
      </c>
      <c r="C820" s="4" t="s">
        <v>55</v>
      </c>
    </row>
    <row r="821" spans="1:3" ht="14.6" x14ac:dyDescent="0.4">
      <c r="A821" s="3" t="s">
        <v>1143</v>
      </c>
      <c r="B821" s="4" t="s">
        <v>1102</v>
      </c>
      <c r="C821" s="4" t="s">
        <v>9</v>
      </c>
    </row>
    <row r="822" spans="1:3" ht="14.6" x14ac:dyDescent="0.4">
      <c r="A822" s="3" t="s">
        <v>1144</v>
      </c>
      <c r="B822" s="4" t="s">
        <v>1145</v>
      </c>
      <c r="C822" s="4" t="s">
        <v>29</v>
      </c>
    </row>
    <row r="823" spans="1:3" ht="14.6" x14ac:dyDescent="0.4">
      <c r="A823" s="3" t="s">
        <v>1146</v>
      </c>
      <c r="B823" s="4" t="s">
        <v>1147</v>
      </c>
      <c r="C823" s="4" t="s">
        <v>65</v>
      </c>
    </row>
    <row r="824" spans="1:3" ht="14.6" x14ac:dyDescent="0.4">
      <c r="A824" s="3" t="s">
        <v>1148</v>
      </c>
      <c r="B824" s="4" t="s">
        <v>1149</v>
      </c>
      <c r="C824" s="4" t="s">
        <v>29</v>
      </c>
    </row>
    <row r="825" spans="1:3" ht="14.6" x14ac:dyDescent="0.4">
      <c r="A825" s="3" t="s">
        <v>1150</v>
      </c>
      <c r="B825" s="4" t="s">
        <v>1151</v>
      </c>
      <c r="C825" s="4" t="s">
        <v>18</v>
      </c>
    </row>
    <row r="826" spans="1:3" ht="14.6" x14ac:dyDescent="0.4">
      <c r="A826" s="3" t="s">
        <v>1152</v>
      </c>
      <c r="B826" s="4" t="s">
        <v>1151</v>
      </c>
      <c r="C826" s="4" t="s">
        <v>6</v>
      </c>
    </row>
    <row r="827" spans="1:3" ht="14.6" x14ac:dyDescent="0.4">
      <c r="A827" s="3" t="s">
        <v>1153</v>
      </c>
      <c r="B827" s="4" t="s">
        <v>1154</v>
      </c>
      <c r="C827" s="4" t="s">
        <v>29</v>
      </c>
    </row>
    <row r="828" spans="1:3" ht="14.6" x14ac:dyDescent="0.4">
      <c r="A828" s="3" t="s">
        <v>1155</v>
      </c>
      <c r="B828" s="4" t="s">
        <v>1156</v>
      </c>
      <c r="C828" s="4" t="s">
        <v>15</v>
      </c>
    </row>
    <row r="829" spans="1:3" ht="14.6" x14ac:dyDescent="0.4">
      <c r="A829" s="3" t="s">
        <v>1157</v>
      </c>
      <c r="B829" s="4" t="s">
        <v>1158</v>
      </c>
      <c r="C829" s="4" t="s">
        <v>55</v>
      </c>
    </row>
    <row r="830" spans="1:3" ht="14.6" x14ac:dyDescent="0.4">
      <c r="A830" s="3" t="s">
        <v>1159</v>
      </c>
      <c r="B830" s="4" t="s">
        <v>1160</v>
      </c>
      <c r="C830" s="4" t="s">
        <v>12</v>
      </c>
    </row>
    <row r="831" spans="1:3" ht="14.6" x14ac:dyDescent="0.4">
      <c r="A831" s="3" t="s">
        <v>1161</v>
      </c>
      <c r="B831" s="4" t="s">
        <v>1162</v>
      </c>
      <c r="C831" s="4" t="s">
        <v>34</v>
      </c>
    </row>
    <row r="832" spans="1:3" ht="14.6" x14ac:dyDescent="0.4">
      <c r="A832" s="3" t="s">
        <v>1163</v>
      </c>
      <c r="B832" s="4" t="s">
        <v>1156</v>
      </c>
      <c r="C832" s="4" t="s">
        <v>15</v>
      </c>
    </row>
    <row r="833" spans="1:3" ht="14.6" x14ac:dyDescent="0.4">
      <c r="A833" s="3" t="s">
        <v>1164</v>
      </c>
      <c r="B833" s="4" t="s">
        <v>1149</v>
      </c>
      <c r="C833" s="4" t="s">
        <v>52</v>
      </c>
    </row>
    <row r="834" spans="1:3" ht="14.6" x14ac:dyDescent="0.4">
      <c r="A834" s="3" t="s">
        <v>1165</v>
      </c>
      <c r="B834" s="4" t="s">
        <v>1162</v>
      </c>
      <c r="C834" s="4" t="s">
        <v>24</v>
      </c>
    </row>
    <row r="835" spans="1:3" ht="14.6" x14ac:dyDescent="0.4">
      <c r="A835" s="3" t="s">
        <v>1166</v>
      </c>
      <c r="B835" s="4" t="s">
        <v>1167</v>
      </c>
      <c r="C835" s="4" t="s">
        <v>21</v>
      </c>
    </row>
    <row r="836" spans="1:3" ht="14.6" x14ac:dyDescent="0.4">
      <c r="A836" s="3" t="s">
        <v>1168</v>
      </c>
      <c r="B836" s="4" t="s">
        <v>1169</v>
      </c>
      <c r="C836" s="4" t="s">
        <v>21</v>
      </c>
    </row>
    <row r="837" spans="1:3" ht="14.6" x14ac:dyDescent="0.4">
      <c r="A837" s="3" t="s">
        <v>1170</v>
      </c>
      <c r="B837" s="4" t="s">
        <v>1167</v>
      </c>
      <c r="C837" s="4" t="s">
        <v>68</v>
      </c>
    </row>
    <row r="838" spans="1:3" ht="14.6" x14ac:dyDescent="0.4">
      <c r="A838" s="3" t="s">
        <v>1171</v>
      </c>
      <c r="B838" s="4" t="s">
        <v>1167</v>
      </c>
      <c r="C838" s="4" t="s">
        <v>29</v>
      </c>
    </row>
    <row r="839" spans="1:3" ht="14.6" x14ac:dyDescent="0.4">
      <c r="A839" s="3" t="s">
        <v>1172</v>
      </c>
      <c r="B839" s="4" t="s">
        <v>1167</v>
      </c>
      <c r="C839" s="4" t="s">
        <v>52</v>
      </c>
    </row>
    <row r="840" spans="1:3" ht="14.6" x14ac:dyDescent="0.4">
      <c r="A840" s="3" t="s">
        <v>1173</v>
      </c>
      <c r="B840" s="4" t="s">
        <v>1149</v>
      </c>
      <c r="C840" s="4" t="s">
        <v>65</v>
      </c>
    </row>
    <row r="841" spans="1:3" ht="14.6" x14ac:dyDescent="0.4">
      <c r="A841" s="3" t="s">
        <v>1174</v>
      </c>
      <c r="B841" s="4" t="s">
        <v>1167</v>
      </c>
      <c r="C841" s="4" t="s">
        <v>18</v>
      </c>
    </row>
    <row r="842" spans="1:3" ht="14.6" x14ac:dyDescent="0.4">
      <c r="A842" s="3" t="s">
        <v>1175</v>
      </c>
      <c r="B842" s="4" t="s">
        <v>1176</v>
      </c>
      <c r="C842" s="4" t="s">
        <v>18</v>
      </c>
    </row>
    <row r="843" spans="1:3" ht="14.6" x14ac:dyDescent="0.4">
      <c r="A843" s="3" t="s">
        <v>1177</v>
      </c>
      <c r="B843" s="4" t="s">
        <v>1178</v>
      </c>
      <c r="C843" s="4" t="s">
        <v>29</v>
      </c>
    </row>
    <row r="844" spans="1:3" ht="14.6" x14ac:dyDescent="0.4">
      <c r="A844" s="3" t="s">
        <v>1179</v>
      </c>
      <c r="B844" s="4" t="s">
        <v>1162</v>
      </c>
      <c r="C844" s="4" t="s">
        <v>68</v>
      </c>
    </row>
    <row r="845" spans="1:3" ht="14.6" x14ac:dyDescent="0.4">
      <c r="A845" s="3" t="s">
        <v>1180</v>
      </c>
      <c r="B845" s="4" t="s">
        <v>1167</v>
      </c>
      <c r="C845" s="4" t="s">
        <v>29</v>
      </c>
    </row>
    <row r="846" spans="1:3" ht="14.6" x14ac:dyDescent="0.4">
      <c r="A846" s="3" t="s">
        <v>1181</v>
      </c>
      <c r="B846" s="4" t="s">
        <v>1154</v>
      </c>
      <c r="C846" s="4" t="s">
        <v>34</v>
      </c>
    </row>
    <row r="847" spans="1:3" ht="14.6" x14ac:dyDescent="0.4">
      <c r="A847" s="3" t="s">
        <v>1182</v>
      </c>
      <c r="B847" s="4" t="s">
        <v>1183</v>
      </c>
      <c r="C847" s="4" t="s">
        <v>12</v>
      </c>
    </row>
    <row r="848" spans="1:3" ht="14.6" x14ac:dyDescent="0.4">
      <c r="A848" s="3" t="s">
        <v>1184</v>
      </c>
      <c r="B848" s="4" t="s">
        <v>1183</v>
      </c>
      <c r="C848" s="4" t="s">
        <v>21</v>
      </c>
    </row>
    <row r="849" spans="1:3" ht="14.6" x14ac:dyDescent="0.4">
      <c r="A849" s="3" t="s">
        <v>1185</v>
      </c>
      <c r="B849" s="4" t="s">
        <v>1167</v>
      </c>
      <c r="C849" s="4" t="s">
        <v>52</v>
      </c>
    </row>
    <row r="850" spans="1:3" ht="14.6" x14ac:dyDescent="0.4">
      <c r="A850" s="3" t="s">
        <v>1186</v>
      </c>
      <c r="B850" s="4" t="s">
        <v>1167</v>
      </c>
      <c r="C850" s="4" t="s">
        <v>65</v>
      </c>
    </row>
    <row r="851" spans="1:3" ht="14.6" x14ac:dyDescent="0.4">
      <c r="A851" s="3" t="s">
        <v>1187</v>
      </c>
      <c r="B851" s="4" t="s">
        <v>1188</v>
      </c>
      <c r="C851" s="4" t="s">
        <v>52</v>
      </c>
    </row>
    <row r="852" spans="1:3" ht="14.6" x14ac:dyDescent="0.4">
      <c r="A852" s="3" t="s">
        <v>1189</v>
      </c>
      <c r="B852" s="4" t="s">
        <v>1167</v>
      </c>
      <c r="C852" s="4" t="s">
        <v>15</v>
      </c>
    </row>
    <row r="853" spans="1:3" ht="14.6" x14ac:dyDescent="0.4">
      <c r="A853" s="3" t="s">
        <v>1190</v>
      </c>
      <c r="B853" s="4" t="s">
        <v>1191</v>
      </c>
      <c r="C853" s="4" t="s">
        <v>6</v>
      </c>
    </row>
    <row r="854" spans="1:3" ht="14.6" x14ac:dyDescent="0.4">
      <c r="A854" s="3" t="s">
        <v>1192</v>
      </c>
      <c r="B854" s="4" t="s">
        <v>1151</v>
      </c>
      <c r="C854" s="4" t="s">
        <v>9</v>
      </c>
    </row>
    <row r="855" spans="1:3" ht="14.6" x14ac:dyDescent="0.4">
      <c r="A855" s="3" t="s">
        <v>1193</v>
      </c>
      <c r="B855" s="4" t="s">
        <v>1176</v>
      </c>
      <c r="C855" s="4" t="s">
        <v>6</v>
      </c>
    </row>
    <row r="856" spans="1:3" ht="14.6" x14ac:dyDescent="0.4">
      <c r="A856" s="3" t="s">
        <v>1194</v>
      </c>
      <c r="B856" s="4" t="s">
        <v>1158</v>
      </c>
      <c r="C856" s="4" t="s">
        <v>29</v>
      </c>
    </row>
    <row r="857" spans="1:3" ht="14.6" x14ac:dyDescent="0.4">
      <c r="A857" s="3" t="s">
        <v>1195</v>
      </c>
      <c r="B857" s="4" t="s">
        <v>1167</v>
      </c>
      <c r="C857" s="4" t="s">
        <v>29</v>
      </c>
    </row>
    <row r="858" spans="1:3" ht="14.6" x14ac:dyDescent="0.4">
      <c r="A858" s="3" t="s">
        <v>1196</v>
      </c>
      <c r="B858" s="4" t="s">
        <v>1167</v>
      </c>
      <c r="C858" s="4" t="s">
        <v>52</v>
      </c>
    </row>
    <row r="859" spans="1:3" ht="14.6" x14ac:dyDescent="0.4">
      <c r="A859" s="3" t="s">
        <v>1197</v>
      </c>
      <c r="B859" s="4" t="s">
        <v>1147</v>
      </c>
      <c r="C859" s="4" t="s">
        <v>6</v>
      </c>
    </row>
    <row r="860" spans="1:3" ht="14.6" x14ac:dyDescent="0.4">
      <c r="A860" s="3" t="s">
        <v>1198</v>
      </c>
      <c r="B860" s="4" t="s">
        <v>1167</v>
      </c>
      <c r="C860" s="4" t="s">
        <v>12</v>
      </c>
    </row>
    <row r="861" spans="1:3" ht="14.6" x14ac:dyDescent="0.4">
      <c r="A861" s="3" t="s">
        <v>1199</v>
      </c>
      <c r="B861" s="4" t="s">
        <v>1200</v>
      </c>
      <c r="C861" s="4" t="s">
        <v>18</v>
      </c>
    </row>
    <row r="862" spans="1:3" ht="14.6" x14ac:dyDescent="0.4">
      <c r="A862" s="3" t="s">
        <v>1201</v>
      </c>
      <c r="B862" s="4" t="s">
        <v>1156</v>
      </c>
      <c r="C862" s="4" t="s">
        <v>15</v>
      </c>
    </row>
    <row r="863" spans="1:3" ht="14.6" x14ac:dyDescent="0.4">
      <c r="A863" s="3" t="s">
        <v>1202</v>
      </c>
      <c r="B863" s="4" t="s">
        <v>1154</v>
      </c>
      <c r="C863" s="4" t="s">
        <v>68</v>
      </c>
    </row>
    <row r="864" spans="1:3" ht="14.6" x14ac:dyDescent="0.4">
      <c r="A864" s="3" t="s">
        <v>1203</v>
      </c>
      <c r="B864" s="4" t="s">
        <v>1178</v>
      </c>
      <c r="C864" s="4" t="s">
        <v>9</v>
      </c>
    </row>
    <row r="865" spans="1:3" ht="14.6" x14ac:dyDescent="0.4">
      <c r="A865" s="3" t="s">
        <v>1204</v>
      </c>
      <c r="B865" s="4" t="s">
        <v>1178</v>
      </c>
      <c r="C865" s="4" t="s">
        <v>24</v>
      </c>
    </row>
    <row r="866" spans="1:3" ht="14.6" x14ac:dyDescent="0.4">
      <c r="A866" s="3" t="s">
        <v>1205</v>
      </c>
      <c r="B866" s="4" t="s">
        <v>1154</v>
      </c>
      <c r="C866" s="4" t="s">
        <v>58</v>
      </c>
    </row>
    <row r="867" spans="1:3" ht="14.6" x14ac:dyDescent="0.4">
      <c r="A867" s="3" t="s">
        <v>1206</v>
      </c>
      <c r="B867" s="4" t="s">
        <v>1158</v>
      </c>
      <c r="C867" s="4" t="s">
        <v>15</v>
      </c>
    </row>
    <row r="868" spans="1:3" ht="14.6" x14ac:dyDescent="0.4">
      <c r="A868" s="3" t="s">
        <v>1207</v>
      </c>
      <c r="B868" s="4" t="s">
        <v>1156</v>
      </c>
      <c r="C868" s="4" t="s">
        <v>29</v>
      </c>
    </row>
    <row r="869" spans="1:3" ht="14.6" x14ac:dyDescent="0.4">
      <c r="A869" s="3" t="s">
        <v>1208</v>
      </c>
      <c r="B869" s="4" t="s">
        <v>1167</v>
      </c>
      <c r="C869" s="4" t="s">
        <v>65</v>
      </c>
    </row>
    <row r="870" spans="1:3" ht="14.6" x14ac:dyDescent="0.4">
      <c r="A870" s="3" t="s">
        <v>1209</v>
      </c>
      <c r="B870" s="4" t="s">
        <v>1162</v>
      </c>
      <c r="C870" s="4" t="s">
        <v>9</v>
      </c>
    </row>
    <row r="871" spans="1:3" ht="14.6" x14ac:dyDescent="0.4">
      <c r="A871" s="3" t="s">
        <v>1210</v>
      </c>
      <c r="B871" s="4" t="s">
        <v>1167</v>
      </c>
      <c r="C871" s="4" t="s">
        <v>65</v>
      </c>
    </row>
    <row r="872" spans="1:3" ht="14.6" x14ac:dyDescent="0.4">
      <c r="A872" s="3" t="s">
        <v>1211</v>
      </c>
      <c r="B872" s="4" t="s">
        <v>1160</v>
      </c>
      <c r="C872" s="4" t="s">
        <v>9</v>
      </c>
    </row>
    <row r="873" spans="1:3" ht="14.6" x14ac:dyDescent="0.4">
      <c r="A873" s="3" t="s">
        <v>1212</v>
      </c>
      <c r="B873" s="4" t="s">
        <v>1145</v>
      </c>
      <c r="C873" s="4" t="s">
        <v>21</v>
      </c>
    </row>
    <row r="874" spans="1:3" ht="14.6" x14ac:dyDescent="0.4">
      <c r="A874" s="3" t="s">
        <v>1213</v>
      </c>
      <c r="B874" s="4" t="s">
        <v>1156</v>
      </c>
      <c r="C874" s="4" t="s">
        <v>58</v>
      </c>
    </row>
    <row r="875" spans="1:3" ht="14.6" x14ac:dyDescent="0.4">
      <c r="A875" s="3" t="s">
        <v>1214</v>
      </c>
      <c r="B875" s="4" t="s">
        <v>1167</v>
      </c>
      <c r="C875" s="4" t="s">
        <v>6</v>
      </c>
    </row>
    <row r="876" spans="1:3" ht="14.6" x14ac:dyDescent="0.4">
      <c r="A876" s="3" t="s">
        <v>1215</v>
      </c>
      <c r="B876" s="4" t="s">
        <v>1188</v>
      </c>
      <c r="C876" s="4" t="s">
        <v>12</v>
      </c>
    </row>
    <row r="877" spans="1:3" ht="14.6" x14ac:dyDescent="0.4">
      <c r="A877" s="3" t="s">
        <v>1216</v>
      </c>
      <c r="B877" s="4" t="s">
        <v>1217</v>
      </c>
      <c r="C877" s="4" t="s">
        <v>18</v>
      </c>
    </row>
    <row r="878" spans="1:3" ht="14.6" x14ac:dyDescent="0.4">
      <c r="A878" s="3" t="s">
        <v>1218</v>
      </c>
      <c r="B878" s="4" t="s">
        <v>1162</v>
      </c>
      <c r="C878" s="4" t="s">
        <v>21</v>
      </c>
    </row>
    <row r="879" spans="1:3" ht="14.6" x14ac:dyDescent="0.4">
      <c r="A879" s="3" t="s">
        <v>1219</v>
      </c>
      <c r="B879" s="4" t="s">
        <v>1162</v>
      </c>
      <c r="C879" s="4" t="s">
        <v>34</v>
      </c>
    </row>
    <row r="880" spans="1:3" ht="14.6" x14ac:dyDescent="0.4">
      <c r="A880" s="3" t="s">
        <v>1220</v>
      </c>
      <c r="B880" s="4" t="s">
        <v>1217</v>
      </c>
      <c r="C880" s="4" t="s">
        <v>24</v>
      </c>
    </row>
    <row r="881" spans="1:3" ht="14.6" x14ac:dyDescent="0.4">
      <c r="A881" s="3" t="s">
        <v>1221</v>
      </c>
      <c r="B881" s="4" t="s">
        <v>1167</v>
      </c>
      <c r="C881" s="4" t="s">
        <v>18</v>
      </c>
    </row>
    <row r="882" spans="1:3" ht="14.6" x14ac:dyDescent="0.4">
      <c r="A882" s="3" t="s">
        <v>1222</v>
      </c>
      <c r="B882" s="4" t="s">
        <v>1167</v>
      </c>
      <c r="C882" s="4" t="s">
        <v>6</v>
      </c>
    </row>
    <row r="883" spans="1:3" ht="14.6" x14ac:dyDescent="0.4">
      <c r="A883" s="3" t="s">
        <v>1223</v>
      </c>
      <c r="B883" s="4" t="s">
        <v>1145</v>
      </c>
      <c r="C883" s="4" t="s">
        <v>15</v>
      </c>
    </row>
    <row r="884" spans="1:3" ht="14.6" x14ac:dyDescent="0.4">
      <c r="A884" s="3" t="s">
        <v>1224</v>
      </c>
      <c r="B884" s="4" t="s">
        <v>1225</v>
      </c>
      <c r="C884" s="4" t="s">
        <v>58</v>
      </c>
    </row>
    <row r="885" spans="1:3" ht="14.6" x14ac:dyDescent="0.4">
      <c r="A885" s="3" t="s">
        <v>1226</v>
      </c>
      <c r="B885" s="4" t="s">
        <v>1169</v>
      </c>
      <c r="C885" s="4" t="s">
        <v>15</v>
      </c>
    </row>
    <row r="886" spans="1:3" ht="14.6" x14ac:dyDescent="0.4">
      <c r="A886" s="3" t="s">
        <v>1227</v>
      </c>
      <c r="B886" s="4" t="s">
        <v>1217</v>
      </c>
      <c r="C886" s="4" t="s">
        <v>18</v>
      </c>
    </row>
    <row r="887" spans="1:3" ht="14.6" x14ac:dyDescent="0.4">
      <c r="A887" s="3" t="s">
        <v>1228</v>
      </c>
      <c r="B887" s="4" t="s">
        <v>1151</v>
      </c>
      <c r="C887" s="4" t="s">
        <v>55</v>
      </c>
    </row>
    <row r="888" spans="1:3" ht="14.6" x14ac:dyDescent="0.4">
      <c r="A888" s="3" t="s">
        <v>1229</v>
      </c>
      <c r="B888" s="4" t="s">
        <v>1225</v>
      </c>
      <c r="C888" s="4" t="s">
        <v>18</v>
      </c>
    </row>
    <row r="889" spans="1:3" ht="14.6" x14ac:dyDescent="0.4">
      <c r="A889" s="3" t="s">
        <v>1230</v>
      </c>
      <c r="B889" s="4" t="s">
        <v>1178</v>
      </c>
      <c r="C889" s="4" t="s">
        <v>55</v>
      </c>
    </row>
    <row r="890" spans="1:3" ht="14.6" x14ac:dyDescent="0.4">
      <c r="A890" s="3" t="s">
        <v>1231</v>
      </c>
      <c r="B890" s="4" t="s">
        <v>1183</v>
      </c>
      <c r="C890" s="4" t="s">
        <v>65</v>
      </c>
    </row>
    <row r="891" spans="1:3" ht="14.6" x14ac:dyDescent="0.4">
      <c r="A891" s="3" t="s">
        <v>1232</v>
      </c>
      <c r="B891" s="4" t="s">
        <v>1176</v>
      </c>
      <c r="C891" s="4" t="s">
        <v>47</v>
      </c>
    </row>
    <row r="892" spans="1:3" ht="14.6" x14ac:dyDescent="0.4">
      <c r="A892" s="3" t="s">
        <v>1233</v>
      </c>
      <c r="B892" s="4" t="s">
        <v>1225</v>
      </c>
      <c r="C892" s="4" t="s">
        <v>21</v>
      </c>
    </row>
    <row r="893" spans="1:3" ht="14.6" x14ac:dyDescent="0.4">
      <c r="A893" s="3" t="s">
        <v>1234</v>
      </c>
      <c r="B893" s="4" t="s">
        <v>1158</v>
      </c>
      <c r="C893" s="4" t="s">
        <v>65</v>
      </c>
    </row>
    <row r="894" spans="1:3" ht="14.6" x14ac:dyDescent="0.4">
      <c r="A894" s="3" t="s">
        <v>1235</v>
      </c>
      <c r="B894" s="4" t="s">
        <v>1178</v>
      </c>
      <c r="C894" s="4" t="s">
        <v>21</v>
      </c>
    </row>
    <row r="895" spans="1:3" ht="14.6" x14ac:dyDescent="0.4">
      <c r="A895" s="3" t="s">
        <v>1236</v>
      </c>
      <c r="B895" s="4" t="s">
        <v>1176</v>
      </c>
      <c r="C895" s="4" t="s">
        <v>18</v>
      </c>
    </row>
    <row r="896" spans="1:3" ht="14.6" x14ac:dyDescent="0.4">
      <c r="A896" s="3" t="s">
        <v>1237</v>
      </c>
      <c r="B896" s="4" t="s">
        <v>1158</v>
      </c>
      <c r="C896" s="4" t="s">
        <v>55</v>
      </c>
    </row>
    <row r="897" spans="1:3" ht="14.6" x14ac:dyDescent="0.4">
      <c r="A897" s="3" t="s">
        <v>1238</v>
      </c>
      <c r="B897" s="4" t="s">
        <v>1167</v>
      </c>
      <c r="C897" s="4" t="s">
        <v>18</v>
      </c>
    </row>
    <row r="898" spans="1:3" ht="14.6" x14ac:dyDescent="0.4">
      <c r="A898" s="3" t="s">
        <v>1239</v>
      </c>
      <c r="B898" s="4" t="s">
        <v>1176</v>
      </c>
      <c r="C898" s="4" t="s">
        <v>58</v>
      </c>
    </row>
    <row r="899" spans="1:3" ht="14.6" x14ac:dyDescent="0.4">
      <c r="A899" s="3" t="s">
        <v>1240</v>
      </c>
      <c r="B899" s="4" t="s">
        <v>1167</v>
      </c>
      <c r="C899" s="4" t="s">
        <v>68</v>
      </c>
    </row>
    <row r="900" spans="1:3" ht="14.6" x14ac:dyDescent="0.4">
      <c r="A900" s="3" t="s">
        <v>1241</v>
      </c>
      <c r="B900" s="4" t="s">
        <v>1217</v>
      </c>
      <c r="C900" s="4" t="s">
        <v>6</v>
      </c>
    </row>
    <row r="901" spans="1:3" ht="14.6" x14ac:dyDescent="0.4">
      <c r="A901" s="3" t="s">
        <v>1242</v>
      </c>
      <c r="B901" s="4" t="s">
        <v>1188</v>
      </c>
      <c r="C901" s="4" t="s">
        <v>68</v>
      </c>
    </row>
    <row r="902" spans="1:3" ht="14.6" x14ac:dyDescent="0.4">
      <c r="A902" s="3" t="s">
        <v>1243</v>
      </c>
      <c r="B902" s="4" t="s">
        <v>1191</v>
      </c>
      <c r="C902" s="4" t="s">
        <v>15</v>
      </c>
    </row>
    <row r="903" spans="1:3" ht="14.6" x14ac:dyDescent="0.4">
      <c r="A903" s="3" t="s">
        <v>1244</v>
      </c>
      <c r="B903" s="4" t="s">
        <v>1167</v>
      </c>
      <c r="C903" s="4" t="s">
        <v>68</v>
      </c>
    </row>
    <row r="904" spans="1:3" ht="14.6" x14ac:dyDescent="0.4">
      <c r="A904" s="3" t="s">
        <v>1245</v>
      </c>
      <c r="B904" s="4" t="s">
        <v>1167</v>
      </c>
      <c r="C904" s="4" t="s">
        <v>6</v>
      </c>
    </row>
    <row r="905" spans="1:3" ht="14.6" x14ac:dyDescent="0.4">
      <c r="A905" s="3" t="s">
        <v>1246</v>
      </c>
      <c r="B905" s="4" t="s">
        <v>1167</v>
      </c>
      <c r="C905" s="4" t="s">
        <v>24</v>
      </c>
    </row>
    <row r="906" spans="1:3" ht="14.6" x14ac:dyDescent="0.4">
      <c r="A906" s="3" t="s">
        <v>1247</v>
      </c>
      <c r="B906" s="4" t="s">
        <v>1145</v>
      </c>
      <c r="C906" s="4" t="s">
        <v>58</v>
      </c>
    </row>
    <row r="907" spans="1:3" ht="14.6" x14ac:dyDescent="0.4">
      <c r="A907" s="3" t="s">
        <v>1248</v>
      </c>
      <c r="B907" s="4" t="s">
        <v>1200</v>
      </c>
      <c r="C907" s="4" t="s">
        <v>65</v>
      </c>
    </row>
    <row r="908" spans="1:3" ht="14.6" x14ac:dyDescent="0.4">
      <c r="A908" s="3" t="s">
        <v>1249</v>
      </c>
      <c r="B908" s="4" t="s">
        <v>1188</v>
      </c>
      <c r="C908" s="4" t="s">
        <v>12</v>
      </c>
    </row>
    <row r="909" spans="1:3" ht="14.6" x14ac:dyDescent="0.4">
      <c r="A909" s="3" t="s">
        <v>1250</v>
      </c>
      <c r="B909" s="4" t="s">
        <v>1167</v>
      </c>
      <c r="C909" s="4" t="s">
        <v>9</v>
      </c>
    </row>
    <row r="910" spans="1:3" ht="14.6" x14ac:dyDescent="0.4">
      <c r="A910" s="3" t="s">
        <v>1251</v>
      </c>
      <c r="B910" s="4" t="s">
        <v>1167</v>
      </c>
      <c r="C910" s="4" t="s">
        <v>29</v>
      </c>
    </row>
    <row r="911" spans="1:3" ht="14.6" x14ac:dyDescent="0.4">
      <c r="A911" s="3" t="s">
        <v>1252</v>
      </c>
      <c r="B911" s="4" t="s">
        <v>1183</v>
      </c>
      <c r="C911" s="4" t="s">
        <v>58</v>
      </c>
    </row>
    <row r="912" spans="1:3" ht="14.6" x14ac:dyDescent="0.4">
      <c r="A912" s="3" t="s">
        <v>1253</v>
      </c>
      <c r="B912" s="4" t="s">
        <v>1169</v>
      </c>
      <c r="C912" s="4" t="s">
        <v>12</v>
      </c>
    </row>
    <row r="913" spans="1:3" ht="14.6" x14ac:dyDescent="0.4">
      <c r="A913" s="3" t="s">
        <v>1254</v>
      </c>
      <c r="B913" s="4" t="s">
        <v>1145</v>
      </c>
      <c r="C913" s="4" t="s">
        <v>29</v>
      </c>
    </row>
    <row r="914" spans="1:3" ht="14.6" x14ac:dyDescent="0.4">
      <c r="A914" s="3" t="s">
        <v>1255</v>
      </c>
      <c r="B914" s="4" t="s">
        <v>1256</v>
      </c>
      <c r="C914" s="4" t="s">
        <v>21</v>
      </c>
    </row>
    <row r="915" spans="1:3" ht="14.6" x14ac:dyDescent="0.4">
      <c r="A915" s="3" t="s">
        <v>1257</v>
      </c>
      <c r="B915" s="4" t="s">
        <v>1258</v>
      </c>
      <c r="C915" s="4" t="s">
        <v>65</v>
      </c>
    </row>
    <row r="916" spans="1:3" ht="14.6" x14ac:dyDescent="0.4">
      <c r="A916" s="3" t="s">
        <v>1259</v>
      </c>
      <c r="B916" s="4" t="s">
        <v>1256</v>
      </c>
      <c r="C916" s="4" t="s">
        <v>58</v>
      </c>
    </row>
    <row r="917" spans="1:3" ht="14.6" x14ac:dyDescent="0.4">
      <c r="A917" s="3" t="s">
        <v>1260</v>
      </c>
      <c r="B917" s="4" t="s">
        <v>1256</v>
      </c>
      <c r="C917" s="4" t="s">
        <v>15</v>
      </c>
    </row>
    <row r="918" spans="1:3" ht="14.6" x14ac:dyDescent="0.4">
      <c r="A918" s="3" t="s">
        <v>1261</v>
      </c>
      <c r="B918" s="4" t="s">
        <v>1262</v>
      </c>
      <c r="C918" s="4" t="s">
        <v>55</v>
      </c>
    </row>
    <row r="919" spans="1:3" ht="14.6" x14ac:dyDescent="0.4">
      <c r="A919" s="3" t="s">
        <v>1263</v>
      </c>
      <c r="B919" s="4" t="s">
        <v>1258</v>
      </c>
      <c r="C919" s="4" t="s">
        <v>24</v>
      </c>
    </row>
    <row r="920" spans="1:3" ht="14.6" x14ac:dyDescent="0.4">
      <c r="A920" s="3" t="s">
        <v>1264</v>
      </c>
      <c r="B920" s="4" t="s">
        <v>1256</v>
      </c>
      <c r="C920" s="4" t="s">
        <v>55</v>
      </c>
    </row>
    <row r="921" spans="1:3" ht="14.6" x14ac:dyDescent="0.4">
      <c r="A921" s="3" t="s">
        <v>1265</v>
      </c>
      <c r="B921" s="4" t="s">
        <v>1258</v>
      </c>
      <c r="C921" s="4" t="s">
        <v>68</v>
      </c>
    </row>
    <row r="922" spans="1:3" ht="14.6" x14ac:dyDescent="0.4">
      <c r="A922" s="3" t="s">
        <v>1266</v>
      </c>
      <c r="B922" s="4" t="s">
        <v>1256</v>
      </c>
      <c r="C922" s="4" t="s">
        <v>21</v>
      </c>
    </row>
    <row r="923" spans="1:3" ht="14.6" x14ac:dyDescent="0.4">
      <c r="A923" s="3" t="s">
        <v>1267</v>
      </c>
      <c r="B923" s="4" t="s">
        <v>1268</v>
      </c>
      <c r="C923" s="4" t="s">
        <v>21</v>
      </c>
    </row>
    <row r="924" spans="1:3" ht="14.6" x14ac:dyDescent="0.4">
      <c r="A924" s="3" t="s">
        <v>1269</v>
      </c>
      <c r="B924" s="4" t="s">
        <v>1258</v>
      </c>
      <c r="C924" s="4" t="s">
        <v>9</v>
      </c>
    </row>
    <row r="925" spans="1:3" ht="14.6" x14ac:dyDescent="0.4">
      <c r="A925" s="3" t="s">
        <v>1270</v>
      </c>
      <c r="B925" s="4" t="s">
        <v>1262</v>
      </c>
      <c r="C925" s="4" t="s">
        <v>12</v>
      </c>
    </row>
    <row r="926" spans="1:3" ht="14.6" x14ac:dyDescent="0.4">
      <c r="A926" s="3" t="s">
        <v>1271</v>
      </c>
      <c r="B926" s="4" t="s">
        <v>1258</v>
      </c>
      <c r="C926" s="4" t="s">
        <v>34</v>
      </c>
    </row>
    <row r="927" spans="1:3" ht="14.6" x14ac:dyDescent="0.4">
      <c r="A927" s="3" t="s">
        <v>1272</v>
      </c>
      <c r="B927" s="4" t="s">
        <v>1256</v>
      </c>
      <c r="C927" s="4" t="s">
        <v>29</v>
      </c>
    </row>
    <row r="928" spans="1:3" ht="14.6" x14ac:dyDescent="0.4">
      <c r="A928" s="3" t="s">
        <v>1273</v>
      </c>
      <c r="B928" s="4" t="s">
        <v>1256</v>
      </c>
      <c r="C928" s="4" t="s">
        <v>47</v>
      </c>
    </row>
    <row r="929" spans="1:3" ht="14.6" x14ac:dyDescent="0.4">
      <c r="A929" s="3" t="s">
        <v>1274</v>
      </c>
      <c r="B929" s="4" t="s">
        <v>1258</v>
      </c>
      <c r="C929" s="4" t="s">
        <v>65</v>
      </c>
    </row>
    <row r="930" spans="1:3" ht="14.6" x14ac:dyDescent="0.4">
      <c r="A930" s="3" t="s">
        <v>1275</v>
      </c>
      <c r="B930" s="4" t="s">
        <v>1258</v>
      </c>
      <c r="C930" s="4" t="s">
        <v>15</v>
      </c>
    </row>
    <row r="931" spans="1:3" ht="14.6" x14ac:dyDescent="0.4">
      <c r="A931" s="3" t="s">
        <v>1276</v>
      </c>
      <c r="B931" s="4" t="s">
        <v>1262</v>
      </c>
      <c r="C931" s="4" t="s">
        <v>47</v>
      </c>
    </row>
    <row r="932" spans="1:3" ht="14.6" x14ac:dyDescent="0.4">
      <c r="A932" s="3" t="s">
        <v>1277</v>
      </c>
      <c r="B932" s="4" t="s">
        <v>1256</v>
      </c>
      <c r="C932" s="4" t="s">
        <v>68</v>
      </c>
    </row>
    <row r="933" spans="1:3" ht="14.6" x14ac:dyDescent="0.4">
      <c r="A933" s="3" t="s">
        <v>1278</v>
      </c>
      <c r="B933" s="4" t="s">
        <v>1258</v>
      </c>
      <c r="C933" s="4" t="s">
        <v>52</v>
      </c>
    </row>
    <row r="934" spans="1:3" ht="14.6" x14ac:dyDescent="0.4">
      <c r="A934" s="3" t="s">
        <v>1279</v>
      </c>
      <c r="B934" s="4" t="s">
        <v>1262</v>
      </c>
      <c r="C934" s="4" t="s">
        <v>34</v>
      </c>
    </row>
    <row r="935" spans="1:3" ht="14.6" x14ac:dyDescent="0.4">
      <c r="A935" s="3" t="s">
        <v>1280</v>
      </c>
      <c r="B935" s="4" t="s">
        <v>1268</v>
      </c>
      <c r="C935" s="4" t="s">
        <v>18</v>
      </c>
    </row>
    <row r="936" spans="1:3" ht="14.6" x14ac:dyDescent="0.4">
      <c r="A936" s="3" t="s">
        <v>1281</v>
      </c>
      <c r="B936" s="4" t="s">
        <v>1268</v>
      </c>
      <c r="C936" s="4" t="s">
        <v>18</v>
      </c>
    </row>
    <row r="937" spans="1:3" ht="14.6" x14ac:dyDescent="0.4">
      <c r="A937" s="3" t="s">
        <v>1282</v>
      </c>
      <c r="B937" s="4" t="s">
        <v>1258</v>
      </c>
      <c r="C937" s="4" t="s">
        <v>52</v>
      </c>
    </row>
    <row r="938" spans="1:3" ht="14.6" x14ac:dyDescent="0.4">
      <c r="A938" s="3" t="s">
        <v>1283</v>
      </c>
      <c r="B938" s="4" t="s">
        <v>1268</v>
      </c>
      <c r="C938" s="4" t="s">
        <v>65</v>
      </c>
    </row>
    <row r="939" spans="1:3" ht="14.6" x14ac:dyDescent="0.4">
      <c r="A939" s="3" t="s">
        <v>1284</v>
      </c>
      <c r="B939" s="4" t="s">
        <v>1268</v>
      </c>
      <c r="C939" s="4" t="s">
        <v>52</v>
      </c>
    </row>
    <row r="940" spans="1:3" ht="14.6" x14ac:dyDescent="0.4">
      <c r="A940" s="3" t="s">
        <v>1285</v>
      </c>
      <c r="B940" s="4" t="s">
        <v>1268</v>
      </c>
      <c r="C940" s="4" t="s">
        <v>68</v>
      </c>
    </row>
    <row r="941" spans="1:3" ht="14.6" x14ac:dyDescent="0.4">
      <c r="A941" s="3" t="s">
        <v>1286</v>
      </c>
      <c r="B941" s="4" t="s">
        <v>1256</v>
      </c>
      <c r="C941" s="4" t="s">
        <v>47</v>
      </c>
    </row>
    <row r="942" spans="1:3" ht="14.6" x14ac:dyDescent="0.4">
      <c r="A942" s="3" t="s">
        <v>1287</v>
      </c>
      <c r="B942" s="4" t="s">
        <v>1262</v>
      </c>
      <c r="C942" s="4" t="s">
        <v>68</v>
      </c>
    </row>
    <row r="943" spans="1:3" ht="14.6" x14ac:dyDescent="0.4">
      <c r="A943" s="3" t="s">
        <v>1288</v>
      </c>
      <c r="B943" s="4" t="s">
        <v>1258</v>
      </c>
      <c r="C943" s="4" t="s">
        <v>9</v>
      </c>
    </row>
    <row r="944" spans="1:3" ht="14.6" x14ac:dyDescent="0.4">
      <c r="A944" s="3" t="s">
        <v>1289</v>
      </c>
      <c r="B944" s="4" t="s">
        <v>1258</v>
      </c>
      <c r="C944" s="4" t="s">
        <v>29</v>
      </c>
    </row>
    <row r="945" spans="1:3" ht="14.6" x14ac:dyDescent="0.4">
      <c r="A945" s="3" t="s">
        <v>1290</v>
      </c>
      <c r="B945" s="4" t="s">
        <v>1256</v>
      </c>
      <c r="C945" s="4" t="s">
        <v>29</v>
      </c>
    </row>
    <row r="946" spans="1:3" ht="14.6" x14ac:dyDescent="0.4">
      <c r="A946" s="3" t="s">
        <v>1291</v>
      </c>
      <c r="B946" s="4" t="s">
        <v>1262</v>
      </c>
      <c r="C946" s="4" t="s">
        <v>55</v>
      </c>
    </row>
    <row r="947" spans="1:3" ht="14.6" x14ac:dyDescent="0.4">
      <c r="A947" s="3" t="s">
        <v>1292</v>
      </c>
      <c r="B947" s="4" t="s">
        <v>1258</v>
      </c>
      <c r="C947" s="4" t="s">
        <v>47</v>
      </c>
    </row>
    <row r="948" spans="1:3" ht="14.6" x14ac:dyDescent="0.4">
      <c r="A948" s="3" t="s">
        <v>1293</v>
      </c>
      <c r="B948" s="4" t="s">
        <v>1256</v>
      </c>
      <c r="C948" s="4" t="s">
        <v>12</v>
      </c>
    </row>
    <row r="949" spans="1:3" ht="14.6" x14ac:dyDescent="0.4">
      <c r="A949" s="3" t="s">
        <v>1294</v>
      </c>
      <c r="B949" s="4" t="s">
        <v>1256</v>
      </c>
      <c r="C949" s="4" t="s">
        <v>18</v>
      </c>
    </row>
    <row r="950" spans="1:3" ht="14.6" x14ac:dyDescent="0.4">
      <c r="A950" s="3" t="s">
        <v>1295</v>
      </c>
      <c r="B950" s="4" t="s">
        <v>1256</v>
      </c>
      <c r="C950" s="4" t="s">
        <v>21</v>
      </c>
    </row>
    <row r="951" spans="1:3" ht="14.6" x14ac:dyDescent="0.4">
      <c r="A951" s="3" t="s">
        <v>1296</v>
      </c>
      <c r="B951" s="4" t="s">
        <v>1258</v>
      </c>
      <c r="C951" s="4" t="s">
        <v>12</v>
      </c>
    </row>
    <row r="952" spans="1:3" ht="14.6" x14ac:dyDescent="0.4">
      <c r="A952" s="3" t="s">
        <v>1297</v>
      </c>
      <c r="B952" s="4" t="s">
        <v>1262</v>
      </c>
      <c r="C952" s="4" t="s">
        <v>65</v>
      </c>
    </row>
    <row r="953" spans="1:3" ht="14.6" x14ac:dyDescent="0.4">
      <c r="A953" s="3" t="s">
        <v>1298</v>
      </c>
      <c r="B953" s="4" t="s">
        <v>1268</v>
      </c>
      <c r="C953" s="4" t="s">
        <v>68</v>
      </c>
    </row>
    <row r="954" spans="1:3" ht="14.6" x14ac:dyDescent="0.4">
      <c r="A954" s="3" t="s">
        <v>1299</v>
      </c>
      <c r="B954" s="4" t="s">
        <v>1268</v>
      </c>
      <c r="C954" s="4" t="s">
        <v>68</v>
      </c>
    </row>
    <row r="955" spans="1:3" ht="14.6" x14ac:dyDescent="0.4">
      <c r="A955" s="3" t="s">
        <v>1300</v>
      </c>
      <c r="B955" s="4" t="s">
        <v>1258</v>
      </c>
      <c r="C955" s="4" t="s">
        <v>6</v>
      </c>
    </row>
    <row r="956" spans="1:3" ht="14.6" x14ac:dyDescent="0.4">
      <c r="A956" s="3" t="s">
        <v>1301</v>
      </c>
      <c r="B956" s="4" t="s">
        <v>1268</v>
      </c>
      <c r="C956" s="4" t="s">
        <v>52</v>
      </c>
    </row>
    <row r="957" spans="1:3" ht="14.6" x14ac:dyDescent="0.4">
      <c r="A957" s="3" t="s">
        <v>1302</v>
      </c>
      <c r="B957" s="4" t="s">
        <v>1258</v>
      </c>
      <c r="C957" s="4" t="s">
        <v>15</v>
      </c>
    </row>
    <row r="958" spans="1:3" ht="14.6" x14ac:dyDescent="0.4">
      <c r="A958" s="3" t="s">
        <v>1303</v>
      </c>
      <c r="B958" s="4" t="s">
        <v>1256</v>
      </c>
      <c r="C958" s="4" t="s">
        <v>34</v>
      </c>
    </row>
    <row r="959" spans="1:3" ht="14.6" x14ac:dyDescent="0.4">
      <c r="A959" s="3" t="s">
        <v>1304</v>
      </c>
      <c r="B959" s="4" t="s">
        <v>1262</v>
      </c>
      <c r="C959" s="4" t="s">
        <v>34</v>
      </c>
    </row>
    <row r="960" spans="1:3" ht="14.6" x14ac:dyDescent="0.4">
      <c r="A960" s="3" t="s">
        <v>1305</v>
      </c>
      <c r="B960" s="4" t="s">
        <v>1262</v>
      </c>
      <c r="C960" s="4" t="s">
        <v>65</v>
      </c>
    </row>
    <row r="961" spans="1:3" ht="14.6" x14ac:dyDescent="0.4">
      <c r="A961" s="3" t="s">
        <v>1306</v>
      </c>
      <c r="B961" s="4" t="s">
        <v>1258</v>
      </c>
      <c r="C961" s="4" t="s">
        <v>6</v>
      </c>
    </row>
    <row r="962" spans="1:3" ht="14.6" x14ac:dyDescent="0.4">
      <c r="A962" s="3" t="s">
        <v>1307</v>
      </c>
      <c r="B962" s="4" t="s">
        <v>1258</v>
      </c>
      <c r="C962" s="4" t="s">
        <v>15</v>
      </c>
    </row>
    <row r="963" spans="1:3" ht="14.6" x14ac:dyDescent="0.4">
      <c r="A963" s="3" t="s">
        <v>1308</v>
      </c>
      <c r="B963" s="4" t="s">
        <v>1262</v>
      </c>
      <c r="C963" s="4" t="s">
        <v>9</v>
      </c>
    </row>
    <row r="964" spans="1:3" ht="14.6" x14ac:dyDescent="0.4">
      <c r="A964" s="3" t="s">
        <v>1309</v>
      </c>
      <c r="B964" s="4" t="s">
        <v>1258</v>
      </c>
      <c r="C964" s="4" t="s">
        <v>58</v>
      </c>
    </row>
    <row r="965" spans="1:3" ht="14.6" x14ac:dyDescent="0.4">
      <c r="A965" s="3" t="s">
        <v>1310</v>
      </c>
      <c r="B965" s="4" t="s">
        <v>1258</v>
      </c>
      <c r="C965" s="4" t="s">
        <v>24</v>
      </c>
    </row>
    <row r="966" spans="1:3" ht="14.6" x14ac:dyDescent="0.4">
      <c r="A966" s="3" t="s">
        <v>1311</v>
      </c>
      <c r="B966" s="4" t="s">
        <v>1258</v>
      </c>
      <c r="C966" s="4" t="s">
        <v>68</v>
      </c>
    </row>
    <row r="967" spans="1:3" ht="14.6" x14ac:dyDescent="0.4">
      <c r="A967" s="3" t="s">
        <v>1312</v>
      </c>
      <c r="B967" s="4" t="s">
        <v>1256</v>
      </c>
      <c r="C967" s="4" t="s">
        <v>47</v>
      </c>
    </row>
    <row r="968" spans="1:3" ht="14.6" x14ac:dyDescent="0.4">
      <c r="A968" s="3" t="s">
        <v>1313</v>
      </c>
      <c r="B968" s="4" t="s">
        <v>1256</v>
      </c>
      <c r="C968" s="4" t="s">
        <v>12</v>
      </c>
    </row>
    <row r="969" spans="1:3" ht="14.6" x14ac:dyDescent="0.4">
      <c r="A969" s="3" t="s">
        <v>1314</v>
      </c>
      <c r="B969" s="4" t="s">
        <v>1258</v>
      </c>
      <c r="C969" s="4" t="s">
        <v>58</v>
      </c>
    </row>
    <row r="970" spans="1:3" ht="14.6" x14ac:dyDescent="0.4">
      <c r="A970" s="3" t="s">
        <v>1315</v>
      </c>
      <c r="B970" s="4" t="s">
        <v>1268</v>
      </c>
      <c r="C970" s="4" t="s">
        <v>24</v>
      </c>
    </row>
    <row r="971" spans="1:3" ht="14.6" x14ac:dyDescent="0.4">
      <c r="A971" s="3" t="s">
        <v>1316</v>
      </c>
      <c r="B971" s="4" t="s">
        <v>1262</v>
      </c>
      <c r="C971" s="4" t="s">
        <v>58</v>
      </c>
    </row>
    <row r="972" spans="1:3" ht="14.6" x14ac:dyDescent="0.4">
      <c r="A972" s="3" t="s">
        <v>1317</v>
      </c>
      <c r="B972" s="4" t="s">
        <v>1258</v>
      </c>
      <c r="C972" s="4" t="s">
        <v>21</v>
      </c>
    </row>
    <row r="973" spans="1:3" ht="14.6" x14ac:dyDescent="0.4">
      <c r="A973" s="3" t="s">
        <v>1318</v>
      </c>
      <c r="B973" s="4" t="s">
        <v>1256</v>
      </c>
      <c r="C973" s="4" t="s">
        <v>15</v>
      </c>
    </row>
    <row r="974" spans="1:3" ht="14.6" x14ac:dyDescent="0.4">
      <c r="A974" s="3" t="s">
        <v>1319</v>
      </c>
      <c r="B974" s="4" t="s">
        <v>1258</v>
      </c>
      <c r="C974" s="4" t="s">
        <v>58</v>
      </c>
    </row>
    <row r="975" spans="1:3" ht="14.6" x14ac:dyDescent="0.4">
      <c r="A975" s="3" t="s">
        <v>1320</v>
      </c>
      <c r="B975" s="4" t="s">
        <v>1256</v>
      </c>
      <c r="C975" s="4" t="s">
        <v>12</v>
      </c>
    </row>
    <row r="976" spans="1:3" ht="14.6" x14ac:dyDescent="0.4">
      <c r="A976" s="3" t="s">
        <v>1321</v>
      </c>
      <c r="B976" s="4" t="s">
        <v>1262</v>
      </c>
      <c r="C976" s="4" t="s">
        <v>65</v>
      </c>
    </row>
    <row r="977" spans="1:3" ht="14.6" x14ac:dyDescent="0.4">
      <c r="A977" s="3" t="s">
        <v>1322</v>
      </c>
      <c r="B977" s="4" t="s">
        <v>1268</v>
      </c>
      <c r="C977" s="4" t="s">
        <v>47</v>
      </c>
    </row>
    <row r="978" spans="1:3" ht="14.6" x14ac:dyDescent="0.4">
      <c r="A978" s="3" t="s">
        <v>1323</v>
      </c>
      <c r="B978" s="4" t="s">
        <v>1262</v>
      </c>
      <c r="C978" s="4" t="s">
        <v>6</v>
      </c>
    </row>
    <row r="979" spans="1:3" ht="14.6" x14ac:dyDescent="0.4">
      <c r="A979" s="3" t="s">
        <v>1324</v>
      </c>
      <c r="B979" s="4" t="s">
        <v>1262</v>
      </c>
      <c r="C979" s="4" t="s">
        <v>24</v>
      </c>
    </row>
    <row r="980" spans="1:3" ht="14.6" x14ac:dyDescent="0.4">
      <c r="A980" s="3" t="s">
        <v>1325</v>
      </c>
      <c r="B980" s="4" t="s">
        <v>1262</v>
      </c>
      <c r="C980" s="4" t="s">
        <v>52</v>
      </c>
    </row>
    <row r="981" spans="1:3" ht="14.6" x14ac:dyDescent="0.4">
      <c r="A981" s="3" t="s">
        <v>1326</v>
      </c>
      <c r="B981" s="4" t="s">
        <v>1258</v>
      </c>
      <c r="C981" s="4" t="s">
        <v>21</v>
      </c>
    </row>
    <row r="982" spans="1:3" ht="14.6" x14ac:dyDescent="0.4">
      <c r="A982" s="3" t="s">
        <v>1327</v>
      </c>
      <c r="B982" s="4" t="s">
        <v>1258</v>
      </c>
      <c r="C982" s="4" t="s">
        <v>34</v>
      </c>
    </row>
    <row r="983" spans="1:3" ht="14.6" x14ac:dyDescent="0.4">
      <c r="A983" s="3" t="s">
        <v>1328</v>
      </c>
      <c r="B983" s="4" t="s">
        <v>1268</v>
      </c>
      <c r="C983" s="4" t="s">
        <v>12</v>
      </c>
    </row>
    <row r="984" spans="1:3" ht="14.6" x14ac:dyDescent="0.4">
      <c r="A984" s="3" t="s">
        <v>1329</v>
      </c>
      <c r="B984" s="4" t="s">
        <v>1258</v>
      </c>
      <c r="C984" s="4" t="s">
        <v>24</v>
      </c>
    </row>
    <row r="985" spans="1:3" ht="14.6" x14ac:dyDescent="0.4">
      <c r="A985" s="3" t="s">
        <v>1330</v>
      </c>
      <c r="B985" s="4" t="s">
        <v>1262</v>
      </c>
      <c r="C985" s="4" t="s">
        <v>6</v>
      </c>
    </row>
    <row r="986" spans="1:3" ht="14.6" x14ac:dyDescent="0.4">
      <c r="A986" s="3" t="s">
        <v>1331</v>
      </c>
      <c r="B986" s="4" t="s">
        <v>1258</v>
      </c>
      <c r="C986" s="4" t="s">
        <v>58</v>
      </c>
    </row>
    <row r="987" spans="1:3" ht="14.6" x14ac:dyDescent="0.4">
      <c r="A987" s="3" t="s">
        <v>1332</v>
      </c>
      <c r="B987" s="4" t="s">
        <v>1258</v>
      </c>
      <c r="C987" s="4" t="s">
        <v>52</v>
      </c>
    </row>
    <row r="988" spans="1:3" ht="14.6" x14ac:dyDescent="0.4">
      <c r="A988" s="3" t="s">
        <v>1333</v>
      </c>
      <c r="B988" s="4" t="s">
        <v>1268</v>
      </c>
      <c r="C988" s="4" t="s">
        <v>9</v>
      </c>
    </row>
    <row r="989" spans="1:3" ht="14.6" x14ac:dyDescent="0.4">
      <c r="A989" s="3" t="s">
        <v>1334</v>
      </c>
      <c r="B989" s="4" t="s">
        <v>1262</v>
      </c>
      <c r="C989" s="4" t="s">
        <v>12</v>
      </c>
    </row>
    <row r="990" spans="1:3" ht="14.6" x14ac:dyDescent="0.4">
      <c r="A990" s="3" t="s">
        <v>1335</v>
      </c>
      <c r="B990" s="4" t="s">
        <v>1256</v>
      </c>
      <c r="C990" s="4" t="s">
        <v>52</v>
      </c>
    </row>
    <row r="991" spans="1:3" ht="14.6" x14ac:dyDescent="0.4">
      <c r="A991" s="3" t="s">
        <v>1336</v>
      </c>
      <c r="B991" s="4" t="s">
        <v>1262</v>
      </c>
      <c r="C991" s="4" t="s">
        <v>18</v>
      </c>
    </row>
    <row r="992" spans="1:3" ht="14.6" x14ac:dyDescent="0.4">
      <c r="A992" s="3" t="s">
        <v>1337</v>
      </c>
      <c r="B992" s="4" t="s">
        <v>1262</v>
      </c>
      <c r="C992" s="4" t="s">
        <v>12</v>
      </c>
    </row>
    <row r="993" spans="1:3" ht="14.6" x14ac:dyDescent="0.4">
      <c r="A993" s="3" t="s">
        <v>1338</v>
      </c>
      <c r="B993" s="4" t="s">
        <v>1262</v>
      </c>
      <c r="C993" s="4" t="s">
        <v>47</v>
      </c>
    </row>
    <row r="994" spans="1:3" ht="14.6" x14ac:dyDescent="0.4">
      <c r="A994" s="3" t="s">
        <v>1339</v>
      </c>
      <c r="B994" s="4" t="s">
        <v>1258</v>
      </c>
      <c r="C994" s="4" t="s">
        <v>34</v>
      </c>
    </row>
    <row r="995" spans="1:3" ht="14.6" x14ac:dyDescent="0.4">
      <c r="A995" s="3" t="s">
        <v>1340</v>
      </c>
      <c r="B995" s="4" t="s">
        <v>1262</v>
      </c>
      <c r="C995" s="4" t="s">
        <v>65</v>
      </c>
    </row>
    <row r="996" spans="1:3" ht="14.6" x14ac:dyDescent="0.4">
      <c r="A996" s="3" t="s">
        <v>1341</v>
      </c>
      <c r="B996" s="4" t="s">
        <v>1256</v>
      </c>
      <c r="C996" s="4" t="s">
        <v>24</v>
      </c>
    </row>
    <row r="997" spans="1:3" ht="14.6" x14ac:dyDescent="0.4">
      <c r="A997" s="3" t="s">
        <v>1342</v>
      </c>
      <c r="B997" s="4" t="s">
        <v>1258</v>
      </c>
      <c r="C997" s="4" t="s">
        <v>6</v>
      </c>
    </row>
    <row r="998" spans="1:3" ht="14.6" x14ac:dyDescent="0.4">
      <c r="A998" s="3" t="s">
        <v>1343</v>
      </c>
      <c r="B998" s="4" t="s">
        <v>1256</v>
      </c>
      <c r="C998" s="4" t="s">
        <v>21</v>
      </c>
    </row>
    <row r="999" spans="1:3" ht="14.6" x14ac:dyDescent="0.4">
      <c r="A999" s="3" t="s">
        <v>1344</v>
      </c>
      <c r="B999" s="4" t="s">
        <v>1345</v>
      </c>
      <c r="C999" s="4" t="s">
        <v>55</v>
      </c>
    </row>
    <row r="1000" spans="1:3" ht="14.6" x14ac:dyDescent="0.4">
      <c r="A1000" s="3" t="s">
        <v>1346</v>
      </c>
      <c r="B1000" s="4" t="s">
        <v>1347</v>
      </c>
      <c r="C1000" s="4" t="s">
        <v>55</v>
      </c>
    </row>
    <row r="1001" spans="1:3" ht="14.6" x14ac:dyDescent="0.4">
      <c r="A1001" s="3" t="s">
        <v>1348</v>
      </c>
      <c r="B1001" s="4" t="s">
        <v>1349</v>
      </c>
      <c r="C1001" s="4" t="s">
        <v>6</v>
      </c>
    </row>
    <row r="1002" spans="1:3" ht="14.6" x14ac:dyDescent="0.4">
      <c r="A1002" s="3" t="s">
        <v>1350</v>
      </c>
      <c r="B1002" s="4" t="s">
        <v>1351</v>
      </c>
      <c r="C1002" s="4" t="s">
        <v>34</v>
      </c>
    </row>
    <row r="1003" spans="1:3" ht="14.6" x14ac:dyDescent="0.4">
      <c r="A1003" s="3" t="s">
        <v>1352</v>
      </c>
      <c r="B1003" s="4" t="s">
        <v>1353</v>
      </c>
      <c r="C1003" s="4" t="s">
        <v>12</v>
      </c>
    </row>
    <row r="1004" spans="1:3" ht="14.6" x14ac:dyDescent="0.4">
      <c r="A1004" s="3" t="s">
        <v>1354</v>
      </c>
      <c r="B1004" s="4" t="s">
        <v>1355</v>
      </c>
      <c r="C1004" s="4" t="s">
        <v>65</v>
      </c>
    </row>
    <row r="1005" spans="1:3" ht="14.6" x14ac:dyDescent="0.4">
      <c r="A1005" s="3" t="s">
        <v>1356</v>
      </c>
      <c r="B1005" s="4" t="s">
        <v>1357</v>
      </c>
      <c r="C1005" s="4" t="s">
        <v>9</v>
      </c>
    </row>
    <row r="1006" spans="1:3" ht="14.6" x14ac:dyDescent="0.4">
      <c r="A1006" s="3" t="s">
        <v>1358</v>
      </c>
      <c r="B1006" s="4" t="s">
        <v>1359</v>
      </c>
      <c r="C1006" s="4" t="s">
        <v>24</v>
      </c>
    </row>
    <row r="1007" spans="1:3" ht="14.6" x14ac:dyDescent="0.4">
      <c r="A1007" s="3" t="s">
        <v>1360</v>
      </c>
      <c r="B1007" s="4" t="s">
        <v>1361</v>
      </c>
      <c r="C1007" s="4" t="s">
        <v>34</v>
      </c>
    </row>
    <row r="1008" spans="1:3" ht="14.6" x14ac:dyDescent="0.4">
      <c r="A1008" s="3" t="s">
        <v>1362</v>
      </c>
      <c r="B1008" s="4" t="s">
        <v>1357</v>
      </c>
      <c r="C1008" s="4" t="s">
        <v>65</v>
      </c>
    </row>
    <row r="1009" spans="1:3" ht="14.6" x14ac:dyDescent="0.4">
      <c r="A1009" s="3" t="s">
        <v>1363</v>
      </c>
      <c r="B1009" s="4" t="s">
        <v>1355</v>
      </c>
      <c r="C1009" s="4" t="s">
        <v>6</v>
      </c>
    </row>
    <row r="1010" spans="1:3" ht="14.6" x14ac:dyDescent="0.4">
      <c r="A1010" s="3" t="s">
        <v>1364</v>
      </c>
      <c r="B1010" s="4" t="s">
        <v>1347</v>
      </c>
      <c r="C1010" s="4" t="s">
        <v>18</v>
      </c>
    </row>
    <row r="1011" spans="1:3" ht="14.6" x14ac:dyDescent="0.4">
      <c r="A1011" s="3" t="s">
        <v>1365</v>
      </c>
      <c r="B1011" s="4" t="s">
        <v>1357</v>
      </c>
      <c r="C1011" s="4" t="s">
        <v>65</v>
      </c>
    </row>
    <row r="1012" spans="1:3" ht="14.6" x14ac:dyDescent="0.4">
      <c r="A1012" s="3" t="s">
        <v>1366</v>
      </c>
      <c r="B1012" s="4" t="s">
        <v>1349</v>
      </c>
      <c r="C1012" s="4" t="s">
        <v>15</v>
      </c>
    </row>
    <row r="1013" spans="1:3" ht="14.6" x14ac:dyDescent="0.4">
      <c r="A1013" s="3" t="s">
        <v>1367</v>
      </c>
      <c r="B1013" s="4" t="s">
        <v>1355</v>
      </c>
      <c r="C1013" s="4" t="s">
        <v>52</v>
      </c>
    </row>
    <row r="1014" spans="1:3" ht="14.6" x14ac:dyDescent="0.4">
      <c r="A1014" s="3" t="s">
        <v>1368</v>
      </c>
      <c r="B1014" s="4" t="s">
        <v>1355</v>
      </c>
      <c r="C1014" s="4" t="s">
        <v>24</v>
      </c>
    </row>
    <row r="1015" spans="1:3" ht="14.6" x14ac:dyDescent="0.4">
      <c r="A1015" s="3" t="s">
        <v>1369</v>
      </c>
      <c r="B1015" s="4" t="s">
        <v>1355</v>
      </c>
      <c r="C1015" s="4" t="s">
        <v>34</v>
      </c>
    </row>
    <row r="1016" spans="1:3" ht="14.6" x14ac:dyDescent="0.4">
      <c r="A1016" s="3" t="s">
        <v>1370</v>
      </c>
      <c r="B1016" s="4" t="s">
        <v>1359</v>
      </c>
      <c r="C1016" s="4" t="s">
        <v>52</v>
      </c>
    </row>
    <row r="1017" spans="1:3" ht="14.6" x14ac:dyDescent="0.4">
      <c r="A1017" s="3" t="s">
        <v>1371</v>
      </c>
      <c r="B1017" s="4" t="s">
        <v>1355</v>
      </c>
      <c r="C1017" s="4" t="s">
        <v>18</v>
      </c>
    </row>
    <row r="1018" spans="1:3" ht="14.6" x14ac:dyDescent="0.4">
      <c r="A1018" s="3" t="s">
        <v>1372</v>
      </c>
      <c r="B1018" s="4" t="s">
        <v>1355</v>
      </c>
      <c r="C1018" s="4" t="s">
        <v>29</v>
      </c>
    </row>
    <row r="1019" spans="1:3" ht="14.6" x14ac:dyDescent="0.4">
      <c r="A1019" s="3" t="s">
        <v>1373</v>
      </c>
      <c r="B1019" s="4" t="s">
        <v>1361</v>
      </c>
      <c r="C1019" s="4" t="s">
        <v>12</v>
      </c>
    </row>
    <row r="1020" spans="1:3" ht="14.6" x14ac:dyDescent="0.4">
      <c r="A1020" s="3" t="s">
        <v>1374</v>
      </c>
      <c r="B1020" s="4" t="s">
        <v>1361</v>
      </c>
      <c r="C1020" s="4" t="s">
        <v>9</v>
      </c>
    </row>
    <row r="1021" spans="1:3" ht="14.6" x14ac:dyDescent="0.4">
      <c r="A1021" s="3" t="s">
        <v>1375</v>
      </c>
      <c r="B1021" s="4" t="s">
        <v>1376</v>
      </c>
      <c r="C1021" s="4" t="s">
        <v>68</v>
      </c>
    </row>
    <row r="1022" spans="1:3" ht="14.6" x14ac:dyDescent="0.4">
      <c r="A1022" s="3" t="s">
        <v>1377</v>
      </c>
      <c r="B1022" s="4" t="s">
        <v>1347</v>
      </c>
      <c r="C1022" s="4" t="s">
        <v>9</v>
      </c>
    </row>
    <row r="1023" spans="1:3" ht="14.6" x14ac:dyDescent="0.4">
      <c r="A1023" s="3" t="s">
        <v>1378</v>
      </c>
      <c r="B1023" s="4" t="s">
        <v>1349</v>
      </c>
      <c r="C1023" s="4" t="s">
        <v>68</v>
      </c>
    </row>
    <row r="1024" spans="1:3" ht="14.6" x14ac:dyDescent="0.4">
      <c r="A1024" s="3" t="s">
        <v>1379</v>
      </c>
      <c r="B1024" s="4" t="s">
        <v>1355</v>
      </c>
      <c r="C1024" s="4" t="s">
        <v>12</v>
      </c>
    </row>
    <row r="1025" spans="1:3" ht="14.6" x14ac:dyDescent="0.4">
      <c r="A1025" s="3" t="s">
        <v>1380</v>
      </c>
      <c r="B1025" s="4" t="s">
        <v>1353</v>
      </c>
      <c r="C1025" s="4" t="s">
        <v>52</v>
      </c>
    </row>
    <row r="1026" spans="1:3" ht="14.6" x14ac:dyDescent="0.4">
      <c r="A1026" s="3" t="s">
        <v>1381</v>
      </c>
      <c r="B1026" s="4" t="s">
        <v>1355</v>
      </c>
      <c r="C1026" s="4" t="s">
        <v>47</v>
      </c>
    </row>
    <row r="1027" spans="1:3" ht="14.6" x14ac:dyDescent="0.4">
      <c r="A1027" s="3" t="s">
        <v>1382</v>
      </c>
      <c r="B1027" s="4" t="s">
        <v>1357</v>
      </c>
      <c r="C1027" s="4" t="s">
        <v>6</v>
      </c>
    </row>
    <row r="1028" spans="1:3" ht="14.6" x14ac:dyDescent="0.4">
      <c r="A1028" s="3" t="s">
        <v>1383</v>
      </c>
      <c r="B1028" s="4" t="s">
        <v>1384</v>
      </c>
      <c r="C1028" s="4" t="s">
        <v>68</v>
      </c>
    </row>
    <row r="1029" spans="1:3" ht="14.6" x14ac:dyDescent="0.4">
      <c r="A1029" s="3" t="s">
        <v>1385</v>
      </c>
      <c r="B1029" s="4" t="s">
        <v>1386</v>
      </c>
      <c r="C1029" s="4" t="s">
        <v>52</v>
      </c>
    </row>
    <row r="1030" spans="1:3" ht="14.6" x14ac:dyDescent="0.4">
      <c r="A1030" s="3" t="s">
        <v>1387</v>
      </c>
      <c r="B1030" s="4" t="s">
        <v>1361</v>
      </c>
      <c r="C1030" s="4" t="s">
        <v>55</v>
      </c>
    </row>
    <row r="1031" spans="1:3" ht="14.6" x14ac:dyDescent="0.4">
      <c r="A1031" s="3" t="s">
        <v>1388</v>
      </c>
      <c r="B1031" s="4" t="s">
        <v>1355</v>
      </c>
      <c r="C1031" s="4" t="s">
        <v>12</v>
      </c>
    </row>
    <row r="1032" spans="1:3" ht="14.6" x14ac:dyDescent="0.4">
      <c r="A1032" s="3" t="s">
        <v>1389</v>
      </c>
      <c r="B1032" s="4" t="s">
        <v>1357</v>
      </c>
      <c r="C1032" s="4" t="s">
        <v>15</v>
      </c>
    </row>
    <row r="1033" spans="1:3" ht="14.6" x14ac:dyDescent="0.4">
      <c r="A1033" s="3" t="s">
        <v>1390</v>
      </c>
      <c r="B1033" s="4" t="s">
        <v>1353</v>
      </c>
      <c r="C1033" s="4" t="s">
        <v>55</v>
      </c>
    </row>
    <row r="1034" spans="1:3" ht="14.6" x14ac:dyDescent="0.4">
      <c r="A1034" s="3" t="s">
        <v>1391</v>
      </c>
      <c r="B1034" s="4" t="s">
        <v>1376</v>
      </c>
      <c r="C1034" s="4" t="s">
        <v>58</v>
      </c>
    </row>
    <row r="1035" spans="1:3" ht="14.6" x14ac:dyDescent="0.4">
      <c r="A1035" s="3" t="s">
        <v>1392</v>
      </c>
      <c r="B1035" s="4" t="s">
        <v>1376</v>
      </c>
      <c r="C1035" s="4" t="s">
        <v>58</v>
      </c>
    </row>
    <row r="1036" spans="1:3" ht="14.6" x14ac:dyDescent="0.4">
      <c r="A1036" s="3" t="s">
        <v>1393</v>
      </c>
      <c r="B1036" s="4" t="s">
        <v>1355</v>
      </c>
      <c r="C1036" s="4" t="s">
        <v>68</v>
      </c>
    </row>
    <row r="1037" spans="1:3" ht="14.6" x14ac:dyDescent="0.4">
      <c r="A1037" s="3" t="s">
        <v>1394</v>
      </c>
      <c r="B1037" s="4" t="s">
        <v>1355</v>
      </c>
      <c r="C1037" s="4" t="s">
        <v>52</v>
      </c>
    </row>
    <row r="1038" spans="1:3" ht="14.6" x14ac:dyDescent="0.4">
      <c r="A1038" s="3" t="s">
        <v>1395</v>
      </c>
      <c r="B1038" s="4" t="s">
        <v>1355</v>
      </c>
      <c r="C1038" s="4" t="s">
        <v>18</v>
      </c>
    </row>
    <row r="1039" spans="1:3" ht="14.6" x14ac:dyDescent="0.4">
      <c r="A1039" s="3" t="s">
        <v>1396</v>
      </c>
      <c r="B1039" s="4" t="s">
        <v>1384</v>
      </c>
      <c r="C1039" s="4" t="s">
        <v>58</v>
      </c>
    </row>
    <row r="1040" spans="1:3" ht="14.6" x14ac:dyDescent="0.4">
      <c r="A1040" s="3" t="s">
        <v>1397</v>
      </c>
      <c r="B1040" s="4" t="s">
        <v>1357</v>
      </c>
      <c r="C1040" s="4" t="s">
        <v>55</v>
      </c>
    </row>
    <row r="1041" spans="1:3" ht="14.6" x14ac:dyDescent="0.4">
      <c r="A1041" s="3" t="s">
        <v>1398</v>
      </c>
      <c r="B1041" s="4" t="s">
        <v>1359</v>
      </c>
      <c r="C1041" s="4" t="s">
        <v>24</v>
      </c>
    </row>
    <row r="1042" spans="1:3" ht="14.6" x14ac:dyDescent="0.4">
      <c r="A1042" s="3" t="s">
        <v>1399</v>
      </c>
      <c r="B1042" s="4" t="s">
        <v>1351</v>
      </c>
      <c r="C1042" s="4" t="s">
        <v>52</v>
      </c>
    </row>
    <row r="1043" spans="1:3" ht="14.6" x14ac:dyDescent="0.4">
      <c r="A1043" s="3" t="s">
        <v>1400</v>
      </c>
      <c r="B1043" s="4" t="s">
        <v>1345</v>
      </c>
      <c r="C1043" s="4" t="s">
        <v>9</v>
      </c>
    </row>
    <row r="1044" spans="1:3" ht="14.6" x14ac:dyDescent="0.4">
      <c r="A1044" s="3" t="s">
        <v>1401</v>
      </c>
      <c r="B1044" s="4" t="s">
        <v>1355</v>
      </c>
      <c r="C1044" s="4" t="s">
        <v>58</v>
      </c>
    </row>
    <row r="1045" spans="1:3" ht="14.6" x14ac:dyDescent="0.4">
      <c r="A1045" s="3" t="s">
        <v>1402</v>
      </c>
      <c r="B1045" s="4" t="s">
        <v>1355</v>
      </c>
      <c r="C1045" s="4" t="s">
        <v>18</v>
      </c>
    </row>
    <row r="1046" spans="1:3" ht="14.6" x14ac:dyDescent="0.4">
      <c r="A1046" s="3" t="s">
        <v>1403</v>
      </c>
      <c r="B1046" s="4" t="s">
        <v>1345</v>
      </c>
      <c r="C1046" s="4" t="s">
        <v>24</v>
      </c>
    </row>
    <row r="1047" spans="1:3" ht="14.6" x14ac:dyDescent="0.4">
      <c r="A1047" s="3" t="s">
        <v>1404</v>
      </c>
      <c r="B1047" s="4" t="s">
        <v>1359</v>
      </c>
      <c r="C1047" s="4" t="s">
        <v>58</v>
      </c>
    </row>
    <row r="1048" spans="1:3" ht="14.6" x14ac:dyDescent="0.4">
      <c r="A1048" s="3" t="s">
        <v>1405</v>
      </c>
      <c r="B1048" s="4" t="s">
        <v>1406</v>
      </c>
      <c r="C1048" s="4" t="s">
        <v>52</v>
      </c>
    </row>
    <row r="1049" spans="1:3" ht="14.6" x14ac:dyDescent="0.4">
      <c r="A1049" s="3" t="s">
        <v>1407</v>
      </c>
      <c r="B1049" s="4" t="s">
        <v>1355</v>
      </c>
      <c r="C1049" s="4" t="s">
        <v>24</v>
      </c>
    </row>
    <row r="1050" spans="1:3" ht="14.6" x14ac:dyDescent="0.4">
      <c r="A1050" s="3" t="s">
        <v>1408</v>
      </c>
      <c r="B1050" s="4" t="s">
        <v>1361</v>
      </c>
      <c r="C1050" s="4" t="s">
        <v>47</v>
      </c>
    </row>
    <row r="1051" spans="1:3" ht="14.6" x14ac:dyDescent="0.4">
      <c r="A1051" s="3" t="s">
        <v>1409</v>
      </c>
      <c r="B1051" s="4" t="s">
        <v>1359</v>
      </c>
      <c r="C1051" s="4" t="s">
        <v>18</v>
      </c>
    </row>
    <row r="1052" spans="1:3" ht="14.6" x14ac:dyDescent="0.4">
      <c r="A1052" s="3" t="s">
        <v>1410</v>
      </c>
      <c r="B1052" s="4" t="s">
        <v>1355</v>
      </c>
      <c r="C1052" s="4" t="s">
        <v>29</v>
      </c>
    </row>
    <row r="1053" spans="1:3" ht="14.6" x14ac:dyDescent="0.4">
      <c r="A1053" s="3" t="s">
        <v>1411</v>
      </c>
      <c r="B1053" s="4" t="s">
        <v>1347</v>
      </c>
      <c r="C1053" s="4" t="s">
        <v>15</v>
      </c>
    </row>
    <row r="1054" spans="1:3" ht="14.6" x14ac:dyDescent="0.4">
      <c r="A1054" s="3" t="s">
        <v>1412</v>
      </c>
      <c r="B1054" s="4" t="s">
        <v>1357</v>
      </c>
      <c r="C1054" s="4" t="s">
        <v>6</v>
      </c>
    </row>
    <row r="1055" spans="1:3" ht="14.6" x14ac:dyDescent="0.4">
      <c r="A1055" s="3" t="s">
        <v>1413</v>
      </c>
      <c r="B1055" s="4" t="s">
        <v>1355</v>
      </c>
      <c r="C1055" s="4" t="s">
        <v>68</v>
      </c>
    </row>
    <row r="1056" spans="1:3" ht="14.6" x14ac:dyDescent="0.4">
      <c r="A1056" s="3" t="s">
        <v>1414</v>
      </c>
      <c r="B1056" s="4" t="s">
        <v>1386</v>
      </c>
      <c r="C1056" s="4" t="s">
        <v>15</v>
      </c>
    </row>
    <row r="1057" spans="1:3" ht="14.6" x14ac:dyDescent="0.4">
      <c r="A1057" s="3" t="s">
        <v>1415</v>
      </c>
      <c r="B1057" s="4" t="s">
        <v>1376</v>
      </c>
      <c r="C1057" s="4" t="s">
        <v>24</v>
      </c>
    </row>
    <row r="1058" spans="1:3" ht="14.6" x14ac:dyDescent="0.4">
      <c r="A1058" s="3" t="s">
        <v>1416</v>
      </c>
      <c r="B1058" s="4" t="s">
        <v>1359</v>
      </c>
      <c r="C1058" s="4" t="s">
        <v>47</v>
      </c>
    </row>
    <row r="1059" spans="1:3" ht="14.6" x14ac:dyDescent="0.4">
      <c r="A1059" s="3" t="s">
        <v>1417</v>
      </c>
      <c r="B1059" s="4" t="s">
        <v>1355</v>
      </c>
      <c r="C1059" s="4" t="s">
        <v>21</v>
      </c>
    </row>
    <row r="1060" spans="1:3" ht="14.6" x14ac:dyDescent="0.4">
      <c r="A1060" s="3" t="s">
        <v>1418</v>
      </c>
      <c r="B1060" s="4" t="s">
        <v>1355</v>
      </c>
      <c r="C1060" s="4" t="s">
        <v>34</v>
      </c>
    </row>
    <row r="1061" spans="1:3" ht="14.6" x14ac:dyDescent="0.4">
      <c r="A1061" s="3" t="s">
        <v>1419</v>
      </c>
      <c r="B1061" s="4" t="s">
        <v>1376</v>
      </c>
      <c r="C1061" s="4" t="s">
        <v>21</v>
      </c>
    </row>
    <row r="1062" spans="1:3" ht="14.6" x14ac:dyDescent="0.4">
      <c r="A1062" s="3" t="s">
        <v>1420</v>
      </c>
      <c r="B1062" s="4" t="s">
        <v>1421</v>
      </c>
      <c r="C1062" s="4" t="s">
        <v>6</v>
      </c>
    </row>
    <row r="1063" spans="1:3" ht="14.6" x14ac:dyDescent="0.4">
      <c r="A1063" s="3" t="s">
        <v>1422</v>
      </c>
      <c r="B1063" s="4" t="s">
        <v>1355</v>
      </c>
      <c r="C1063" s="4" t="s">
        <v>34</v>
      </c>
    </row>
    <row r="1064" spans="1:3" ht="14.6" x14ac:dyDescent="0.4">
      <c r="A1064" s="3" t="s">
        <v>1423</v>
      </c>
      <c r="B1064" s="4" t="s">
        <v>1355</v>
      </c>
      <c r="C1064" s="4" t="s">
        <v>6</v>
      </c>
    </row>
    <row r="1065" spans="1:3" ht="14.6" x14ac:dyDescent="0.4">
      <c r="A1065" s="3" t="s">
        <v>1424</v>
      </c>
      <c r="B1065" s="4" t="s">
        <v>1359</v>
      </c>
      <c r="C1065" s="4" t="s">
        <v>12</v>
      </c>
    </row>
    <row r="1066" spans="1:3" ht="14.6" x14ac:dyDescent="0.4">
      <c r="A1066" s="3" t="s">
        <v>1425</v>
      </c>
      <c r="B1066" s="4" t="s">
        <v>1349</v>
      </c>
      <c r="C1066" s="4" t="s">
        <v>9</v>
      </c>
    </row>
    <row r="1067" spans="1:3" ht="14.6" x14ac:dyDescent="0.4">
      <c r="A1067" s="3" t="s">
        <v>1426</v>
      </c>
      <c r="B1067" s="4" t="s">
        <v>1427</v>
      </c>
      <c r="C1067" s="4" t="s">
        <v>15</v>
      </c>
    </row>
    <row r="1068" spans="1:3" ht="14.6" x14ac:dyDescent="0.4">
      <c r="A1068" s="3" t="s">
        <v>1428</v>
      </c>
      <c r="B1068" s="4" t="s">
        <v>1429</v>
      </c>
      <c r="C1068" s="4" t="s">
        <v>24</v>
      </c>
    </row>
    <row r="1069" spans="1:3" ht="14.6" x14ac:dyDescent="0.4">
      <c r="A1069" s="3" t="s">
        <v>1430</v>
      </c>
      <c r="B1069" s="4" t="s">
        <v>1429</v>
      </c>
      <c r="C1069" s="4" t="s">
        <v>21</v>
      </c>
    </row>
    <row r="1070" spans="1:3" ht="14.6" x14ac:dyDescent="0.4">
      <c r="A1070" s="3" t="s">
        <v>1431</v>
      </c>
      <c r="B1070" s="4" t="s">
        <v>1427</v>
      </c>
      <c r="C1070" s="4" t="s">
        <v>68</v>
      </c>
    </row>
    <row r="1071" spans="1:3" ht="14.6" x14ac:dyDescent="0.4">
      <c r="A1071" s="3" t="s">
        <v>1432</v>
      </c>
      <c r="B1071" s="4" t="s">
        <v>1429</v>
      </c>
      <c r="C1071" s="4" t="s">
        <v>68</v>
      </c>
    </row>
    <row r="1072" spans="1:3" ht="14.6" x14ac:dyDescent="0.4">
      <c r="A1072" s="3" t="s">
        <v>1433</v>
      </c>
      <c r="B1072" s="4" t="s">
        <v>1429</v>
      </c>
      <c r="C1072" s="4" t="s">
        <v>9</v>
      </c>
    </row>
    <row r="1073" spans="1:3" ht="14.6" x14ac:dyDescent="0.4">
      <c r="A1073" s="3" t="s">
        <v>1434</v>
      </c>
      <c r="B1073" s="4" t="s">
        <v>1429</v>
      </c>
      <c r="C1073" s="4" t="s">
        <v>52</v>
      </c>
    </row>
    <row r="1074" spans="1:3" ht="14.6" x14ac:dyDescent="0.4">
      <c r="A1074" s="3" t="s">
        <v>1435</v>
      </c>
      <c r="B1074" s="4" t="s">
        <v>1427</v>
      </c>
      <c r="C1074" s="4" t="s">
        <v>6</v>
      </c>
    </row>
    <row r="1075" spans="1:3" ht="14.6" x14ac:dyDescent="0.4">
      <c r="A1075" s="3" t="s">
        <v>1436</v>
      </c>
      <c r="B1075" s="4" t="s">
        <v>1437</v>
      </c>
      <c r="C1075" s="4" t="s">
        <v>29</v>
      </c>
    </row>
    <row r="1076" spans="1:3" ht="14.6" x14ac:dyDescent="0.4">
      <c r="A1076" s="3" t="s">
        <v>1438</v>
      </c>
      <c r="B1076" s="4" t="s">
        <v>1437</v>
      </c>
      <c r="C1076" s="4" t="s">
        <v>34</v>
      </c>
    </row>
    <row r="1077" spans="1:3" ht="14.6" x14ac:dyDescent="0.4">
      <c r="A1077" s="3" t="s">
        <v>1439</v>
      </c>
      <c r="B1077" s="4" t="s">
        <v>1427</v>
      </c>
      <c r="C1077" s="4" t="s">
        <v>65</v>
      </c>
    </row>
    <row r="1078" spans="1:3" ht="14.6" x14ac:dyDescent="0.4">
      <c r="A1078" s="3" t="s">
        <v>1440</v>
      </c>
      <c r="B1078" s="4" t="s">
        <v>1427</v>
      </c>
      <c r="C1078" s="4" t="s">
        <v>68</v>
      </c>
    </row>
    <row r="1079" spans="1:3" ht="14.6" x14ac:dyDescent="0.4">
      <c r="A1079" s="3" t="s">
        <v>1441</v>
      </c>
      <c r="B1079" s="4" t="s">
        <v>1427</v>
      </c>
      <c r="C1079" s="4" t="s">
        <v>65</v>
      </c>
    </row>
    <row r="1080" spans="1:3" ht="14.6" x14ac:dyDescent="0.4">
      <c r="A1080" s="3" t="s">
        <v>1442</v>
      </c>
      <c r="B1080" s="4" t="s">
        <v>1429</v>
      </c>
      <c r="C1080" s="4" t="s">
        <v>12</v>
      </c>
    </row>
    <row r="1081" spans="1:3" ht="14.6" x14ac:dyDescent="0.4">
      <c r="A1081" s="3" t="s">
        <v>1443</v>
      </c>
      <c r="B1081" s="4" t="s">
        <v>1429</v>
      </c>
      <c r="C1081" s="4" t="s">
        <v>15</v>
      </c>
    </row>
    <row r="1082" spans="1:3" ht="14.6" x14ac:dyDescent="0.4">
      <c r="A1082" s="3" t="s">
        <v>1444</v>
      </c>
      <c r="B1082" s="4" t="s">
        <v>1427</v>
      </c>
      <c r="C1082" s="4" t="s">
        <v>29</v>
      </c>
    </row>
    <row r="1083" spans="1:3" ht="14.6" x14ac:dyDescent="0.4">
      <c r="A1083" s="3" t="s">
        <v>1445</v>
      </c>
      <c r="B1083" s="4" t="s">
        <v>1437</v>
      </c>
      <c r="C1083" s="4" t="s">
        <v>65</v>
      </c>
    </row>
    <row r="1084" spans="1:3" ht="14.6" x14ac:dyDescent="0.4">
      <c r="A1084" s="3" t="s">
        <v>1446</v>
      </c>
      <c r="B1084" s="4" t="s">
        <v>1429</v>
      </c>
      <c r="C1084" s="4" t="s">
        <v>29</v>
      </c>
    </row>
    <row r="1085" spans="1:3" ht="14.6" x14ac:dyDescent="0.4">
      <c r="A1085" s="3" t="s">
        <v>1447</v>
      </c>
      <c r="B1085" s="4" t="s">
        <v>1429</v>
      </c>
      <c r="C1085" s="4" t="s">
        <v>29</v>
      </c>
    </row>
    <row r="1086" spans="1:3" ht="14.6" x14ac:dyDescent="0.4">
      <c r="A1086" s="3" t="s">
        <v>1448</v>
      </c>
      <c r="B1086" s="4" t="s">
        <v>1449</v>
      </c>
      <c r="C1086" s="4" t="s">
        <v>24</v>
      </c>
    </row>
    <row r="1087" spans="1:3" ht="14.6" x14ac:dyDescent="0.4">
      <c r="A1087" s="3" t="s">
        <v>1450</v>
      </c>
      <c r="B1087" s="4" t="s">
        <v>1427</v>
      </c>
      <c r="C1087" s="4" t="s">
        <v>6</v>
      </c>
    </row>
    <row r="1088" spans="1:3" ht="14.6" x14ac:dyDescent="0.4">
      <c r="A1088" s="3" t="s">
        <v>1451</v>
      </c>
      <c r="B1088" s="4" t="s">
        <v>1429</v>
      </c>
      <c r="C1088" s="4" t="s">
        <v>21</v>
      </c>
    </row>
    <row r="1089" spans="1:3" ht="14.6" x14ac:dyDescent="0.4">
      <c r="A1089" s="3" t="s">
        <v>1452</v>
      </c>
      <c r="B1089" s="4" t="s">
        <v>1427</v>
      </c>
      <c r="C1089" s="4" t="s">
        <v>65</v>
      </c>
    </row>
    <row r="1090" spans="1:3" ht="14.6" x14ac:dyDescent="0.4">
      <c r="A1090" s="3" t="s">
        <v>1453</v>
      </c>
      <c r="B1090" s="4" t="s">
        <v>1449</v>
      </c>
      <c r="C1090" s="4" t="s">
        <v>47</v>
      </c>
    </row>
    <row r="1091" spans="1:3" ht="14.6" x14ac:dyDescent="0.4">
      <c r="A1091" s="3" t="s">
        <v>1454</v>
      </c>
      <c r="B1091" s="4" t="s">
        <v>1437</v>
      </c>
      <c r="C1091" s="4" t="s">
        <v>65</v>
      </c>
    </row>
    <row r="1092" spans="1:3" ht="14.6" x14ac:dyDescent="0.4">
      <c r="A1092" s="3" t="s">
        <v>1455</v>
      </c>
      <c r="B1092" s="4" t="s">
        <v>1449</v>
      </c>
      <c r="C1092" s="4" t="s">
        <v>47</v>
      </c>
    </row>
    <row r="1093" spans="1:3" ht="14.6" x14ac:dyDescent="0.4">
      <c r="A1093" s="3" t="s">
        <v>1456</v>
      </c>
      <c r="B1093" s="4" t="s">
        <v>1427</v>
      </c>
      <c r="C1093" s="4" t="s">
        <v>47</v>
      </c>
    </row>
    <row r="1094" spans="1:3" ht="14.6" x14ac:dyDescent="0.4">
      <c r="A1094" s="3" t="s">
        <v>1457</v>
      </c>
      <c r="B1094" s="4" t="s">
        <v>1449</v>
      </c>
      <c r="C1094" s="4" t="s">
        <v>24</v>
      </c>
    </row>
    <row r="1095" spans="1:3" ht="14.6" x14ac:dyDescent="0.4">
      <c r="A1095" s="3" t="s">
        <v>1458</v>
      </c>
      <c r="B1095" s="4" t="s">
        <v>1429</v>
      </c>
      <c r="C1095" s="4" t="s">
        <v>34</v>
      </c>
    </row>
    <row r="1096" spans="1:3" ht="14.6" x14ac:dyDescent="0.4">
      <c r="A1096" s="3" t="s">
        <v>1459</v>
      </c>
      <c r="B1096" s="4" t="s">
        <v>1429</v>
      </c>
      <c r="C1096" s="4" t="s">
        <v>47</v>
      </c>
    </row>
    <row r="1097" spans="1:3" ht="14.6" x14ac:dyDescent="0.4">
      <c r="A1097" s="3" t="s">
        <v>1460</v>
      </c>
      <c r="B1097" s="4" t="s">
        <v>1429</v>
      </c>
      <c r="C1097" s="4" t="s">
        <v>47</v>
      </c>
    </row>
    <row r="1098" spans="1:3" ht="14.6" x14ac:dyDescent="0.4">
      <c r="A1098" s="3" t="s">
        <v>1461</v>
      </c>
      <c r="B1098" s="4" t="s">
        <v>1427</v>
      </c>
      <c r="C1098" s="4" t="s">
        <v>47</v>
      </c>
    </row>
    <row r="1099" spans="1:3" ht="14.6" x14ac:dyDescent="0.4">
      <c r="A1099" s="3" t="s">
        <v>1462</v>
      </c>
      <c r="B1099" s="4" t="s">
        <v>1427</v>
      </c>
      <c r="C1099" s="4" t="s">
        <v>34</v>
      </c>
    </row>
    <row r="1100" spans="1:3" ht="14.6" x14ac:dyDescent="0.4">
      <c r="A1100" s="3" t="s">
        <v>1463</v>
      </c>
      <c r="B1100" s="4" t="s">
        <v>1437</v>
      </c>
      <c r="C1100" s="4" t="s">
        <v>55</v>
      </c>
    </row>
    <row r="1101" spans="1:3" ht="14.6" x14ac:dyDescent="0.4">
      <c r="A1101" s="3" t="s">
        <v>1464</v>
      </c>
      <c r="B1101" s="4" t="s">
        <v>1429</v>
      </c>
      <c r="C1101" s="4" t="s">
        <v>15</v>
      </c>
    </row>
    <row r="1102" spans="1:3" ht="14.6" x14ac:dyDescent="0.4">
      <c r="A1102" s="3" t="s">
        <v>1465</v>
      </c>
      <c r="B1102" s="4" t="s">
        <v>1427</v>
      </c>
      <c r="C1102" s="4" t="s">
        <v>47</v>
      </c>
    </row>
    <row r="1103" spans="1:3" ht="14.6" x14ac:dyDescent="0.4">
      <c r="A1103" s="3" t="s">
        <v>1466</v>
      </c>
      <c r="B1103" s="4" t="s">
        <v>1437</v>
      </c>
      <c r="C1103" s="4" t="s">
        <v>18</v>
      </c>
    </row>
    <row r="1104" spans="1:3" ht="14.6" x14ac:dyDescent="0.4">
      <c r="A1104" s="3" t="s">
        <v>1467</v>
      </c>
      <c r="B1104" s="4" t="s">
        <v>1427</v>
      </c>
      <c r="C1104" s="4" t="s">
        <v>52</v>
      </c>
    </row>
    <row r="1105" spans="1:3" ht="14.6" x14ac:dyDescent="0.4">
      <c r="A1105" s="3" t="s">
        <v>1468</v>
      </c>
      <c r="B1105" s="4" t="s">
        <v>1449</v>
      </c>
      <c r="C1105" s="4" t="s">
        <v>68</v>
      </c>
    </row>
    <row r="1106" spans="1:3" ht="14.6" x14ac:dyDescent="0.4">
      <c r="A1106" s="3" t="s">
        <v>1469</v>
      </c>
      <c r="B1106" s="4" t="s">
        <v>1449</v>
      </c>
      <c r="C1106" s="4" t="s">
        <v>6</v>
      </c>
    </row>
    <row r="1107" spans="1:3" ht="14.6" x14ac:dyDescent="0.4">
      <c r="A1107" s="3" t="s">
        <v>1470</v>
      </c>
      <c r="B1107" s="4" t="s">
        <v>1429</v>
      </c>
      <c r="C1107" s="4" t="s">
        <v>12</v>
      </c>
    </row>
    <row r="1108" spans="1:3" ht="14.6" x14ac:dyDescent="0.4">
      <c r="A1108" s="3" t="s">
        <v>1471</v>
      </c>
      <c r="B1108" s="4" t="s">
        <v>1427</v>
      </c>
      <c r="C1108" s="4" t="s">
        <v>58</v>
      </c>
    </row>
    <row r="1109" spans="1:3" ht="14.6" x14ac:dyDescent="0.4">
      <c r="A1109" s="3" t="s">
        <v>1472</v>
      </c>
      <c r="B1109" s="4" t="s">
        <v>1473</v>
      </c>
      <c r="C1109" s="4" t="s">
        <v>47</v>
      </c>
    </row>
    <row r="1110" spans="1:3" ht="14.6" x14ac:dyDescent="0.4">
      <c r="A1110" s="3" t="s">
        <v>1474</v>
      </c>
      <c r="B1110" s="4" t="s">
        <v>1475</v>
      </c>
      <c r="C1110" s="4" t="s">
        <v>15</v>
      </c>
    </row>
    <row r="1111" spans="1:3" ht="14.6" x14ac:dyDescent="0.4">
      <c r="A1111" s="3" t="s">
        <v>1476</v>
      </c>
      <c r="B1111" s="4" t="s">
        <v>1473</v>
      </c>
      <c r="C1111" s="4" t="s">
        <v>21</v>
      </c>
    </row>
    <row r="1112" spans="1:3" ht="14.6" x14ac:dyDescent="0.4">
      <c r="A1112" s="3" t="s">
        <v>1477</v>
      </c>
      <c r="B1112" s="4" t="s">
        <v>1478</v>
      </c>
      <c r="C1112" s="4" t="s">
        <v>9</v>
      </c>
    </row>
    <row r="1113" spans="1:3" ht="14.6" x14ac:dyDescent="0.4">
      <c r="A1113" s="3" t="s">
        <v>1479</v>
      </c>
      <c r="B1113" s="4" t="s">
        <v>1480</v>
      </c>
      <c r="C1113" s="4" t="s">
        <v>68</v>
      </c>
    </row>
    <row r="1114" spans="1:3" ht="14.6" x14ac:dyDescent="0.4">
      <c r="A1114" s="3" t="s">
        <v>1481</v>
      </c>
      <c r="B1114" s="4" t="s">
        <v>1480</v>
      </c>
      <c r="C1114" s="4" t="s">
        <v>68</v>
      </c>
    </row>
    <row r="1115" spans="1:3" ht="14.6" x14ac:dyDescent="0.4">
      <c r="A1115" s="3" t="s">
        <v>1482</v>
      </c>
      <c r="B1115" s="4" t="s">
        <v>1475</v>
      </c>
      <c r="C1115" s="4" t="s">
        <v>18</v>
      </c>
    </row>
    <row r="1116" spans="1:3" ht="14.6" x14ac:dyDescent="0.4">
      <c r="A1116" s="3" t="s">
        <v>1483</v>
      </c>
      <c r="B1116" s="4" t="s">
        <v>1478</v>
      </c>
      <c r="C1116" s="4" t="s">
        <v>12</v>
      </c>
    </row>
    <row r="1117" spans="1:3" ht="14.6" x14ac:dyDescent="0.4">
      <c r="A1117" s="3" t="s">
        <v>1484</v>
      </c>
      <c r="B1117" s="4" t="s">
        <v>1475</v>
      </c>
      <c r="C1117" s="4" t="s">
        <v>47</v>
      </c>
    </row>
    <row r="1118" spans="1:3" ht="14.6" x14ac:dyDescent="0.4">
      <c r="A1118" s="3" t="s">
        <v>1485</v>
      </c>
      <c r="B1118" s="4" t="s">
        <v>1480</v>
      </c>
      <c r="C1118" s="4" t="s">
        <v>34</v>
      </c>
    </row>
    <row r="1119" spans="1:3" ht="14.6" x14ac:dyDescent="0.4">
      <c r="A1119" s="3" t="s">
        <v>1486</v>
      </c>
      <c r="B1119" s="4" t="s">
        <v>1478</v>
      </c>
      <c r="C1119" s="4" t="s">
        <v>65</v>
      </c>
    </row>
    <row r="1120" spans="1:3" ht="14.6" x14ac:dyDescent="0.4">
      <c r="A1120" s="3" t="s">
        <v>1487</v>
      </c>
      <c r="B1120" s="4" t="s">
        <v>1473</v>
      </c>
      <c r="C1120" s="4" t="s">
        <v>47</v>
      </c>
    </row>
    <row r="1121" spans="1:3" ht="14.6" x14ac:dyDescent="0.4">
      <c r="A1121" s="3" t="s">
        <v>1488</v>
      </c>
      <c r="B1121" s="4" t="s">
        <v>1475</v>
      </c>
      <c r="C1121" s="4" t="s">
        <v>58</v>
      </c>
    </row>
    <row r="1122" spans="1:3" ht="14.6" x14ac:dyDescent="0.4">
      <c r="A1122" s="3" t="s">
        <v>1489</v>
      </c>
      <c r="B1122" s="4" t="s">
        <v>1478</v>
      </c>
      <c r="C1122" s="4" t="s">
        <v>15</v>
      </c>
    </row>
    <row r="1123" spans="1:3" ht="14.6" x14ac:dyDescent="0.4">
      <c r="A1123" s="3" t="s">
        <v>1490</v>
      </c>
      <c r="B1123" s="4" t="s">
        <v>1473</v>
      </c>
      <c r="C1123" s="4" t="s">
        <v>55</v>
      </c>
    </row>
    <row r="1124" spans="1:3" ht="14.6" x14ac:dyDescent="0.4">
      <c r="A1124" s="3" t="s">
        <v>1491</v>
      </c>
      <c r="B1124" s="4" t="s">
        <v>1478</v>
      </c>
      <c r="C1124" s="4" t="s">
        <v>12</v>
      </c>
    </row>
    <row r="1125" spans="1:3" ht="14.6" x14ac:dyDescent="0.4">
      <c r="A1125" s="3" t="s">
        <v>1492</v>
      </c>
      <c r="B1125" s="4" t="s">
        <v>1475</v>
      </c>
      <c r="C1125" s="4" t="s">
        <v>15</v>
      </c>
    </row>
    <row r="1126" spans="1:3" ht="14.6" x14ac:dyDescent="0.4">
      <c r="A1126" s="3" t="s">
        <v>1493</v>
      </c>
      <c r="B1126" s="4" t="s">
        <v>1473</v>
      </c>
      <c r="C1126" s="4" t="s">
        <v>52</v>
      </c>
    </row>
    <row r="1127" spans="1:3" ht="14.6" x14ac:dyDescent="0.4">
      <c r="A1127" s="3" t="s">
        <v>1494</v>
      </c>
      <c r="B1127" s="4" t="s">
        <v>1475</v>
      </c>
      <c r="C1127" s="4" t="s">
        <v>9</v>
      </c>
    </row>
    <row r="1128" spans="1:3" ht="14.6" x14ac:dyDescent="0.4">
      <c r="A1128" s="3" t="s">
        <v>1495</v>
      </c>
      <c r="B1128" s="4" t="s">
        <v>1473</v>
      </c>
      <c r="C1128" s="4" t="s">
        <v>34</v>
      </c>
    </row>
    <row r="1129" spans="1:3" ht="14.6" x14ac:dyDescent="0.4">
      <c r="A1129" s="3" t="s">
        <v>1496</v>
      </c>
      <c r="B1129" s="4" t="s">
        <v>1475</v>
      </c>
      <c r="C1129" s="4" t="s">
        <v>65</v>
      </c>
    </row>
    <row r="1130" spans="1:3" ht="14.6" x14ac:dyDescent="0.4">
      <c r="A1130" s="3" t="s">
        <v>1497</v>
      </c>
      <c r="B1130" s="4" t="s">
        <v>1498</v>
      </c>
      <c r="C1130" s="4" t="s">
        <v>47</v>
      </c>
    </row>
    <row r="1131" spans="1:3" ht="14.6" x14ac:dyDescent="0.4">
      <c r="A1131" s="3" t="s">
        <v>1499</v>
      </c>
      <c r="B1131" s="4" t="s">
        <v>1500</v>
      </c>
      <c r="C1131" s="4" t="s">
        <v>55</v>
      </c>
    </row>
    <row r="1132" spans="1:3" ht="14.6" x14ac:dyDescent="0.4">
      <c r="A1132" s="3" t="s">
        <v>1501</v>
      </c>
      <c r="B1132" s="4" t="s">
        <v>1500</v>
      </c>
      <c r="C1132" s="4" t="s">
        <v>9</v>
      </c>
    </row>
    <row r="1133" spans="1:3" ht="14.6" x14ac:dyDescent="0.4">
      <c r="A1133" s="3" t="s">
        <v>1502</v>
      </c>
      <c r="B1133" s="4" t="s">
        <v>1500</v>
      </c>
      <c r="C1133" s="4" t="s">
        <v>24</v>
      </c>
    </row>
    <row r="1134" spans="1:3" ht="14.6" x14ac:dyDescent="0.4">
      <c r="A1134" s="3" t="s">
        <v>1503</v>
      </c>
      <c r="B1134" s="4" t="s">
        <v>1500</v>
      </c>
      <c r="C1134" s="4" t="s">
        <v>68</v>
      </c>
    </row>
    <row r="1135" spans="1:3" ht="14.6" x14ac:dyDescent="0.4">
      <c r="A1135" s="3" t="s">
        <v>1504</v>
      </c>
      <c r="B1135" s="4" t="s">
        <v>1505</v>
      </c>
      <c r="C1135" s="4" t="s">
        <v>47</v>
      </c>
    </row>
    <row r="1136" spans="1:3" ht="14.6" x14ac:dyDescent="0.4">
      <c r="A1136" s="3" t="s">
        <v>1506</v>
      </c>
      <c r="B1136" s="4" t="s">
        <v>1498</v>
      </c>
      <c r="C1136" s="4" t="s">
        <v>47</v>
      </c>
    </row>
    <row r="1137" spans="1:3" ht="14.6" x14ac:dyDescent="0.4">
      <c r="A1137" s="3" t="s">
        <v>1507</v>
      </c>
      <c r="B1137" s="4" t="s">
        <v>1500</v>
      </c>
      <c r="C1137" s="4" t="s">
        <v>55</v>
      </c>
    </row>
    <row r="1138" spans="1:3" ht="14.6" x14ac:dyDescent="0.4">
      <c r="A1138" s="3" t="s">
        <v>1508</v>
      </c>
      <c r="B1138" s="4" t="s">
        <v>1505</v>
      </c>
      <c r="C1138" s="4" t="s">
        <v>65</v>
      </c>
    </row>
    <row r="1139" spans="1:3" ht="14.6" x14ac:dyDescent="0.4">
      <c r="A1139" s="3" t="s">
        <v>1509</v>
      </c>
      <c r="B1139" s="4" t="s">
        <v>1510</v>
      </c>
      <c r="C1139" s="4" t="s">
        <v>9</v>
      </c>
    </row>
    <row r="1140" spans="1:3" ht="14.6" x14ac:dyDescent="0.4">
      <c r="A1140" s="3" t="s">
        <v>1511</v>
      </c>
      <c r="B1140" s="4" t="s">
        <v>1498</v>
      </c>
      <c r="C1140" s="4" t="s">
        <v>9</v>
      </c>
    </row>
    <row r="1141" spans="1:3" ht="14.6" x14ac:dyDescent="0.4">
      <c r="A1141" s="3" t="s">
        <v>1512</v>
      </c>
      <c r="B1141" s="4" t="s">
        <v>1505</v>
      </c>
      <c r="C1141" s="4" t="s">
        <v>65</v>
      </c>
    </row>
    <row r="1142" spans="1:3" ht="14.6" x14ac:dyDescent="0.4">
      <c r="A1142" s="3" t="s">
        <v>1513</v>
      </c>
      <c r="B1142" s="4" t="s">
        <v>1498</v>
      </c>
      <c r="C1142" s="4" t="s">
        <v>29</v>
      </c>
    </row>
    <row r="1143" spans="1:3" ht="14.6" x14ac:dyDescent="0.4">
      <c r="A1143" s="3" t="s">
        <v>1514</v>
      </c>
      <c r="B1143" s="4" t="s">
        <v>1498</v>
      </c>
      <c r="C1143" s="4" t="s">
        <v>58</v>
      </c>
    </row>
    <row r="1144" spans="1:3" ht="14.6" x14ac:dyDescent="0.4">
      <c r="A1144" s="3" t="s">
        <v>1515</v>
      </c>
      <c r="B1144" s="4" t="s">
        <v>1498</v>
      </c>
      <c r="C1144" s="4" t="s">
        <v>47</v>
      </c>
    </row>
    <row r="1145" spans="1:3" ht="14.6" x14ac:dyDescent="0.4">
      <c r="A1145" s="3" t="s">
        <v>1516</v>
      </c>
      <c r="B1145" s="4" t="s">
        <v>1505</v>
      </c>
      <c r="C1145" s="4" t="s">
        <v>6</v>
      </c>
    </row>
    <row r="1146" spans="1:3" ht="14.6" x14ac:dyDescent="0.4">
      <c r="A1146" s="3" t="s">
        <v>1517</v>
      </c>
      <c r="B1146" s="4" t="s">
        <v>1505</v>
      </c>
      <c r="C1146" s="4" t="s">
        <v>29</v>
      </c>
    </row>
    <row r="1147" spans="1:3" ht="14.6" x14ac:dyDescent="0.4">
      <c r="B1147" s="4"/>
      <c r="C1147" s="4"/>
    </row>
    <row r="1148" spans="1:3" ht="14.6" x14ac:dyDescent="0.4">
      <c r="B1148" s="4"/>
      <c r="C1148" s="4"/>
    </row>
    <row r="1149" spans="1:3" ht="14.6" x14ac:dyDescent="0.4">
      <c r="B1149" s="4"/>
      <c r="C1149" s="4"/>
    </row>
    <row r="1150" spans="1:3" ht="14.6" x14ac:dyDescent="0.4">
      <c r="B1150" s="4"/>
      <c r="C1150" s="4"/>
    </row>
    <row r="1151" spans="1:3" ht="14.6" x14ac:dyDescent="0.4">
      <c r="B1151" s="4"/>
      <c r="C1151" s="4"/>
    </row>
    <row r="1152" spans="1:3" ht="14.6" x14ac:dyDescent="0.4">
      <c r="B1152" s="4"/>
      <c r="C1152" s="4"/>
    </row>
    <row r="1153" spans="2:3" ht="14.6" x14ac:dyDescent="0.4">
      <c r="B1153" s="4"/>
      <c r="C1153" s="4"/>
    </row>
    <row r="1154" spans="2:3" ht="14.6" x14ac:dyDescent="0.4">
      <c r="B1154" s="4"/>
      <c r="C1154" s="4"/>
    </row>
    <row r="1155" spans="2:3" ht="14.6" x14ac:dyDescent="0.4">
      <c r="B1155" s="4"/>
      <c r="C1155" s="4"/>
    </row>
    <row r="1156" spans="2:3" ht="14.6" x14ac:dyDescent="0.4">
      <c r="B1156" s="4"/>
      <c r="C1156" s="4"/>
    </row>
    <row r="1157" spans="2:3" ht="14.6" x14ac:dyDescent="0.4">
      <c r="B1157" s="4"/>
      <c r="C1157" s="4"/>
    </row>
    <row r="1158" spans="2:3" ht="14.6" x14ac:dyDescent="0.4">
      <c r="B1158" s="4"/>
      <c r="C1158" s="4"/>
    </row>
    <row r="1159" spans="2:3" ht="14.6" x14ac:dyDescent="0.4">
      <c r="B1159" s="4"/>
      <c r="C1159" s="4"/>
    </row>
    <row r="1160" spans="2:3" ht="14.6" x14ac:dyDescent="0.4">
      <c r="B1160" s="4"/>
      <c r="C1160" s="4"/>
    </row>
    <row r="1161" spans="2:3" ht="14.6" x14ac:dyDescent="0.4">
      <c r="B1161" s="4"/>
      <c r="C1161" s="4"/>
    </row>
    <row r="1162" spans="2:3" ht="14.6" x14ac:dyDescent="0.4">
      <c r="B1162" s="4"/>
      <c r="C1162" s="4"/>
    </row>
    <row r="1163" spans="2:3" ht="14.6" x14ac:dyDescent="0.4">
      <c r="B1163" s="4"/>
      <c r="C1163" s="4"/>
    </row>
    <row r="1164" spans="2:3" ht="14.6" x14ac:dyDescent="0.4">
      <c r="B1164" s="4"/>
      <c r="C1164" s="4"/>
    </row>
    <row r="1165" spans="2:3" ht="14.6" x14ac:dyDescent="0.4">
      <c r="B1165" s="4"/>
      <c r="C1165" s="4"/>
    </row>
    <row r="1166" spans="2:3" ht="14.6" x14ac:dyDescent="0.4">
      <c r="B1166" s="4"/>
      <c r="C1166" s="4"/>
    </row>
    <row r="1167" spans="2:3" ht="14.6" x14ac:dyDescent="0.4">
      <c r="B1167" s="4"/>
      <c r="C1167" s="4"/>
    </row>
    <row r="1168" spans="2:3" ht="14.6" x14ac:dyDescent="0.4">
      <c r="B1168" s="4"/>
      <c r="C1168" s="4"/>
    </row>
    <row r="1169" spans="2:3" ht="14.6" x14ac:dyDescent="0.4">
      <c r="B1169" s="4"/>
      <c r="C1169" s="4"/>
    </row>
    <row r="1170" spans="2:3" ht="14.6" x14ac:dyDescent="0.4">
      <c r="B1170" s="4"/>
      <c r="C1170" s="4"/>
    </row>
    <row r="1171" spans="2:3" ht="14.6" x14ac:dyDescent="0.4">
      <c r="B1171" s="4"/>
      <c r="C1171" s="4"/>
    </row>
    <row r="1172" spans="2:3" ht="14.6" x14ac:dyDescent="0.4">
      <c r="B1172" s="4"/>
      <c r="C1172" s="4"/>
    </row>
    <row r="1173" spans="2:3" ht="14.6" x14ac:dyDescent="0.4">
      <c r="B1173" s="4"/>
      <c r="C1173" s="4"/>
    </row>
    <row r="1174" spans="2:3" ht="14.6" x14ac:dyDescent="0.4">
      <c r="B1174" s="4"/>
      <c r="C1174" s="4"/>
    </row>
    <row r="1175" spans="2:3" ht="14.6" x14ac:dyDescent="0.4">
      <c r="B1175" s="4"/>
      <c r="C1175" s="4"/>
    </row>
    <row r="1176" spans="2:3" ht="14.6" x14ac:dyDescent="0.4">
      <c r="B1176" s="4"/>
      <c r="C1176" s="4"/>
    </row>
    <row r="1177" spans="2:3" ht="14.6" x14ac:dyDescent="0.4">
      <c r="B1177" s="4"/>
      <c r="C1177" s="4"/>
    </row>
    <row r="1178" spans="2:3" ht="14.6" x14ac:dyDescent="0.4">
      <c r="B1178" s="4"/>
      <c r="C1178" s="4"/>
    </row>
    <row r="1179" spans="2:3" ht="14.6" x14ac:dyDescent="0.4">
      <c r="B1179" s="4"/>
      <c r="C1179" s="4"/>
    </row>
    <row r="1180" spans="2:3" ht="14.6" x14ac:dyDescent="0.4">
      <c r="B1180" s="4"/>
      <c r="C1180" s="4"/>
    </row>
    <row r="1181" spans="2:3" ht="14.6" x14ac:dyDescent="0.4">
      <c r="B1181" s="4"/>
      <c r="C1181" s="4"/>
    </row>
    <row r="1182" spans="2:3" ht="14.6" x14ac:dyDescent="0.4">
      <c r="B1182" s="4"/>
      <c r="C1182" s="4"/>
    </row>
    <row r="1183" spans="2:3" ht="14.6" x14ac:dyDescent="0.4">
      <c r="B1183" s="4"/>
      <c r="C1183" s="4"/>
    </row>
    <row r="1184" spans="2:3" ht="14.6" x14ac:dyDescent="0.4">
      <c r="B1184" s="4"/>
      <c r="C1184" s="4"/>
    </row>
    <row r="1185" spans="2:3" ht="14.6" x14ac:dyDescent="0.4">
      <c r="B1185" s="4"/>
      <c r="C1185" s="4"/>
    </row>
    <row r="1186" spans="2:3" ht="14.6" x14ac:dyDescent="0.4">
      <c r="B1186" s="4"/>
      <c r="C1186" s="4"/>
    </row>
    <row r="1187" spans="2:3" ht="14.6" x14ac:dyDescent="0.4">
      <c r="B1187" s="4"/>
      <c r="C1187" s="4"/>
    </row>
    <row r="1188" spans="2:3" ht="14.6" x14ac:dyDescent="0.4">
      <c r="B1188" s="4"/>
      <c r="C1188" s="4"/>
    </row>
    <row r="1189" spans="2:3" ht="14.6" x14ac:dyDescent="0.4">
      <c r="B1189" s="4"/>
      <c r="C1189" s="4"/>
    </row>
    <row r="1190" spans="2:3" ht="14.6" x14ac:dyDescent="0.4">
      <c r="B1190" s="4"/>
      <c r="C1190" s="4"/>
    </row>
    <row r="1191" spans="2:3" ht="14.6" x14ac:dyDescent="0.4">
      <c r="B1191" s="4"/>
      <c r="C1191" s="4"/>
    </row>
    <row r="1192" spans="2:3" ht="14.6" x14ac:dyDescent="0.4">
      <c r="B1192" s="4"/>
      <c r="C1192" s="4"/>
    </row>
    <row r="1193" spans="2:3" ht="14.6" x14ac:dyDescent="0.4">
      <c r="B1193" s="4"/>
      <c r="C1193" s="4"/>
    </row>
    <row r="1194" spans="2:3" ht="14.6" x14ac:dyDescent="0.4">
      <c r="B1194" s="4"/>
      <c r="C1194" s="4"/>
    </row>
    <row r="1195" spans="2:3" ht="14.6" x14ac:dyDescent="0.4">
      <c r="B1195" s="4"/>
      <c r="C1195" s="4"/>
    </row>
    <row r="1196" spans="2:3" ht="14.6" x14ac:dyDescent="0.4">
      <c r="B1196" s="4"/>
      <c r="C1196" s="4"/>
    </row>
    <row r="1197" spans="2:3" ht="14.6" x14ac:dyDescent="0.4">
      <c r="B1197" s="4"/>
      <c r="C1197" s="4"/>
    </row>
    <row r="1198" spans="2:3" ht="14.6" x14ac:dyDescent="0.4">
      <c r="B1198" s="4"/>
      <c r="C1198" s="4"/>
    </row>
    <row r="1199" spans="2:3" ht="14.6" x14ac:dyDescent="0.4">
      <c r="B1199" s="4"/>
      <c r="C1199" s="4"/>
    </row>
    <row r="1200" spans="2:3" ht="14.6" x14ac:dyDescent="0.4">
      <c r="B1200" s="4"/>
      <c r="C1200" s="4"/>
    </row>
    <row r="1201" spans="2:3" ht="14.6" x14ac:dyDescent="0.4">
      <c r="B1201" s="4"/>
      <c r="C1201" s="4"/>
    </row>
    <row r="1202" spans="2:3" ht="14.6" x14ac:dyDescent="0.4">
      <c r="B1202" s="4"/>
      <c r="C1202" s="4"/>
    </row>
    <row r="1203" spans="2:3" ht="14.6" x14ac:dyDescent="0.4">
      <c r="B1203" s="4"/>
      <c r="C1203" s="4"/>
    </row>
    <row r="1204" spans="2:3" ht="14.6" x14ac:dyDescent="0.4">
      <c r="B1204" s="4"/>
      <c r="C1204" s="4"/>
    </row>
    <row r="1205" spans="2:3" ht="14.6" x14ac:dyDescent="0.4">
      <c r="B1205" s="4"/>
      <c r="C1205" s="4"/>
    </row>
    <row r="1206" spans="2:3" ht="14.6" x14ac:dyDescent="0.4">
      <c r="B1206" s="4"/>
      <c r="C1206" s="4"/>
    </row>
    <row r="1207" spans="2:3" ht="14.6" x14ac:dyDescent="0.4">
      <c r="B1207" s="4"/>
      <c r="C1207" s="4"/>
    </row>
    <row r="1208" spans="2:3" ht="14.6" x14ac:dyDescent="0.4">
      <c r="B1208" s="4"/>
      <c r="C1208" s="4"/>
    </row>
    <row r="1209" spans="2:3" ht="14.6" x14ac:dyDescent="0.4">
      <c r="B1209" s="4"/>
      <c r="C1209" s="4"/>
    </row>
    <row r="1210" spans="2:3" ht="14.6" x14ac:dyDescent="0.4">
      <c r="B1210" s="4"/>
      <c r="C1210" s="4"/>
    </row>
    <row r="1211" spans="2:3" ht="14.6" x14ac:dyDescent="0.4">
      <c r="B1211" s="4"/>
      <c r="C1211" s="4"/>
    </row>
    <row r="1212" spans="2:3" ht="14.6" x14ac:dyDescent="0.4">
      <c r="B1212" s="4"/>
      <c r="C1212" s="4"/>
    </row>
    <row r="1213" spans="2:3" ht="14.6" x14ac:dyDescent="0.4">
      <c r="B1213" s="4"/>
      <c r="C1213" s="4"/>
    </row>
    <row r="1214" spans="2:3" ht="14.6" x14ac:dyDescent="0.4">
      <c r="B1214" s="4"/>
      <c r="C1214" s="4"/>
    </row>
    <row r="1215" spans="2:3" ht="14.6" x14ac:dyDescent="0.4">
      <c r="B1215" s="4"/>
      <c r="C1215" s="4"/>
    </row>
    <row r="1216" spans="2:3" ht="14.6" x14ac:dyDescent="0.4">
      <c r="B1216" s="4"/>
      <c r="C1216" s="4"/>
    </row>
    <row r="1217" spans="2:3" ht="14.6" x14ac:dyDescent="0.4">
      <c r="B1217" s="4"/>
      <c r="C1217" s="4"/>
    </row>
    <row r="1218" spans="2:3" ht="14.6" x14ac:dyDescent="0.4">
      <c r="B1218" s="4"/>
      <c r="C1218" s="4"/>
    </row>
    <row r="1219" spans="2:3" ht="14.6" x14ac:dyDescent="0.4">
      <c r="B1219" s="4"/>
      <c r="C1219" s="4"/>
    </row>
    <row r="1220" spans="2:3" ht="14.6" x14ac:dyDescent="0.4">
      <c r="B1220" s="4"/>
      <c r="C1220" s="4"/>
    </row>
    <row r="1221" spans="2:3" ht="14.6" x14ac:dyDescent="0.4">
      <c r="B1221" s="4"/>
      <c r="C1221" s="4"/>
    </row>
    <row r="1222" spans="2:3" ht="14.6" x14ac:dyDescent="0.4">
      <c r="B1222" s="4"/>
      <c r="C1222" s="4"/>
    </row>
    <row r="1223" spans="2:3" ht="14.6" x14ac:dyDescent="0.4">
      <c r="B1223" s="4"/>
      <c r="C1223" s="4"/>
    </row>
    <row r="1224" spans="2:3" ht="14.6" x14ac:dyDescent="0.4">
      <c r="B1224" s="4"/>
      <c r="C1224" s="4"/>
    </row>
    <row r="1225" spans="2:3" ht="14.6" x14ac:dyDescent="0.4">
      <c r="B1225" s="4"/>
      <c r="C1225" s="4"/>
    </row>
    <row r="1226" spans="2:3" ht="14.6" x14ac:dyDescent="0.4">
      <c r="B1226" s="4"/>
      <c r="C1226" s="4"/>
    </row>
    <row r="1227" spans="2:3" ht="14.6" x14ac:dyDescent="0.4">
      <c r="B1227" s="4"/>
      <c r="C1227" s="4"/>
    </row>
    <row r="1228" spans="2:3" ht="14.6" x14ac:dyDescent="0.4">
      <c r="B1228" s="4"/>
      <c r="C1228" s="4"/>
    </row>
    <row r="1229" spans="2:3" ht="14.6" x14ac:dyDescent="0.4">
      <c r="B1229" s="4"/>
      <c r="C1229" s="4"/>
    </row>
    <row r="1230" spans="2:3" ht="14.6" x14ac:dyDescent="0.4">
      <c r="B1230" s="4"/>
      <c r="C1230" s="4"/>
    </row>
    <row r="1231" spans="2:3" ht="14.6" x14ac:dyDescent="0.4">
      <c r="B1231" s="4"/>
      <c r="C1231" s="4"/>
    </row>
    <row r="1232" spans="2:3" ht="14.6" x14ac:dyDescent="0.4">
      <c r="B1232" s="4"/>
      <c r="C1232" s="4"/>
    </row>
    <row r="1233" spans="2:3" ht="14.6" x14ac:dyDescent="0.4">
      <c r="B1233" s="4"/>
      <c r="C1233" s="4"/>
    </row>
    <row r="1234" spans="2:3" ht="14.6" x14ac:dyDescent="0.4">
      <c r="B1234" s="4"/>
      <c r="C1234" s="4"/>
    </row>
    <row r="1235" spans="2:3" ht="14.6" x14ac:dyDescent="0.4">
      <c r="B1235" s="4"/>
      <c r="C1235" s="4"/>
    </row>
    <row r="1236" spans="2:3" ht="14.6" x14ac:dyDescent="0.4">
      <c r="B1236" s="4"/>
      <c r="C1236" s="4"/>
    </row>
    <row r="1237" spans="2:3" ht="14.6" x14ac:dyDescent="0.4">
      <c r="B1237" s="4"/>
      <c r="C1237" s="4"/>
    </row>
    <row r="1238" spans="2:3" ht="14.6" x14ac:dyDescent="0.4">
      <c r="B1238" s="4"/>
      <c r="C1238" s="4"/>
    </row>
    <row r="1239" spans="2:3" ht="14.6" x14ac:dyDescent="0.4">
      <c r="B1239" s="4"/>
      <c r="C1239" s="4"/>
    </row>
    <row r="1240" spans="2:3" ht="14.6" x14ac:dyDescent="0.4">
      <c r="B1240" s="4"/>
      <c r="C1240" s="4"/>
    </row>
    <row r="1241" spans="2:3" ht="14.6" x14ac:dyDescent="0.4">
      <c r="B1241" s="4"/>
      <c r="C1241" s="4"/>
    </row>
    <row r="1242" spans="2:3" ht="14.6" x14ac:dyDescent="0.4">
      <c r="B1242" s="4"/>
      <c r="C1242" s="4"/>
    </row>
    <row r="1243" spans="2:3" ht="14.6" x14ac:dyDescent="0.4">
      <c r="B1243" s="4"/>
      <c r="C1243" s="4"/>
    </row>
    <row r="1244" spans="2:3" ht="14.6" x14ac:dyDescent="0.4">
      <c r="B1244" s="4"/>
      <c r="C1244" s="4"/>
    </row>
    <row r="1245" spans="2:3" ht="14.6" x14ac:dyDescent="0.4">
      <c r="B1245" s="4"/>
      <c r="C1245" s="4"/>
    </row>
    <row r="1246" spans="2:3" ht="14.6" x14ac:dyDescent="0.4">
      <c r="B1246" s="4"/>
      <c r="C1246" s="4"/>
    </row>
    <row r="1247" spans="2:3" ht="14.6" x14ac:dyDescent="0.4">
      <c r="B1247" s="4"/>
      <c r="C1247" s="4"/>
    </row>
    <row r="1248" spans="2:3" ht="14.6" x14ac:dyDescent="0.4">
      <c r="B1248" s="4"/>
      <c r="C1248" s="4"/>
    </row>
    <row r="1249" spans="2:3" ht="14.6" x14ac:dyDescent="0.4">
      <c r="B1249" s="4"/>
      <c r="C1249" s="4"/>
    </row>
    <row r="1250" spans="2:3" ht="14.6" x14ac:dyDescent="0.4">
      <c r="B1250" s="4"/>
      <c r="C1250" s="4"/>
    </row>
    <row r="1251" spans="2:3" ht="14.6" x14ac:dyDescent="0.4">
      <c r="B1251" s="4"/>
      <c r="C1251" s="4"/>
    </row>
    <row r="1252" spans="2:3" ht="14.6" x14ac:dyDescent="0.4">
      <c r="B1252" s="4"/>
      <c r="C1252" s="4"/>
    </row>
    <row r="1253" spans="2:3" ht="14.6" x14ac:dyDescent="0.4">
      <c r="B1253" s="4"/>
      <c r="C1253" s="4"/>
    </row>
    <row r="1254" spans="2:3" ht="14.6" x14ac:dyDescent="0.4">
      <c r="B1254" s="4"/>
      <c r="C1254" s="4"/>
    </row>
    <row r="1255" spans="2:3" ht="14.6" x14ac:dyDescent="0.4">
      <c r="B1255" s="4"/>
      <c r="C1255" s="4"/>
    </row>
    <row r="1256" spans="2:3" ht="14.6" x14ac:dyDescent="0.4">
      <c r="B1256" s="4"/>
      <c r="C1256" s="4"/>
    </row>
    <row r="1257" spans="2:3" ht="14.6" x14ac:dyDescent="0.4">
      <c r="B1257" s="4"/>
      <c r="C1257" s="4"/>
    </row>
    <row r="1258" spans="2:3" ht="14.6" x14ac:dyDescent="0.4">
      <c r="B1258" s="4"/>
      <c r="C1258" s="4"/>
    </row>
    <row r="1259" spans="2:3" ht="14.6" x14ac:dyDescent="0.4">
      <c r="B1259" s="4"/>
      <c r="C1259" s="4"/>
    </row>
    <row r="1260" spans="2:3" ht="14.6" x14ac:dyDescent="0.4">
      <c r="B1260" s="4"/>
      <c r="C1260" s="4"/>
    </row>
    <row r="1261" spans="2:3" ht="14.6" x14ac:dyDescent="0.4">
      <c r="B1261" s="4"/>
      <c r="C1261" s="4"/>
    </row>
    <row r="1262" spans="2:3" ht="14.6" x14ac:dyDescent="0.4">
      <c r="B1262" s="4"/>
      <c r="C1262" s="4"/>
    </row>
    <row r="1263" spans="2:3" ht="14.6" x14ac:dyDescent="0.4">
      <c r="B1263" s="4"/>
      <c r="C1263" s="4"/>
    </row>
    <row r="1264" spans="2:3" ht="14.6" x14ac:dyDescent="0.4">
      <c r="B1264" s="4"/>
      <c r="C1264" s="4"/>
    </row>
    <row r="1265" spans="2:3" ht="14.6" x14ac:dyDescent="0.4">
      <c r="B1265" s="4"/>
      <c r="C1265" s="4"/>
    </row>
    <row r="1266" spans="2:3" ht="14.6" x14ac:dyDescent="0.4">
      <c r="B1266" s="4"/>
      <c r="C1266" s="4"/>
    </row>
    <row r="1267" spans="2:3" ht="14.6" x14ac:dyDescent="0.4">
      <c r="B1267" s="4"/>
      <c r="C1267" s="4"/>
    </row>
    <row r="1268" spans="2:3" ht="14.6" x14ac:dyDescent="0.4">
      <c r="B1268" s="4"/>
      <c r="C1268" s="4"/>
    </row>
    <row r="1269" spans="2:3" ht="14.6" x14ac:dyDescent="0.4">
      <c r="B1269" s="4"/>
      <c r="C1269" s="4"/>
    </row>
    <row r="1270" spans="2:3" ht="14.6" x14ac:dyDescent="0.4">
      <c r="B1270" s="4"/>
      <c r="C1270" s="4"/>
    </row>
    <row r="1271" spans="2:3" ht="14.6" x14ac:dyDescent="0.4">
      <c r="B1271" s="4"/>
      <c r="C1271" s="4"/>
    </row>
    <row r="1272" spans="2:3" ht="14.6" x14ac:dyDescent="0.4">
      <c r="B1272" s="4"/>
      <c r="C1272" s="4"/>
    </row>
    <row r="1273" spans="2:3" ht="14.6" x14ac:dyDescent="0.4">
      <c r="B1273" s="4"/>
      <c r="C1273" s="4"/>
    </row>
    <row r="1274" spans="2:3" ht="14.6" x14ac:dyDescent="0.4">
      <c r="B1274" s="4"/>
      <c r="C1274" s="4"/>
    </row>
    <row r="1275" spans="2:3" ht="14.6" x14ac:dyDescent="0.4">
      <c r="B1275" s="4"/>
      <c r="C1275" s="4"/>
    </row>
    <row r="1276" spans="2:3" ht="14.6" x14ac:dyDescent="0.4">
      <c r="B1276" s="4"/>
      <c r="C1276" s="4"/>
    </row>
    <row r="1277" spans="2:3" ht="14.6" x14ac:dyDescent="0.4">
      <c r="B1277" s="4"/>
      <c r="C1277" s="4"/>
    </row>
    <row r="1278" spans="2:3" ht="14.6" x14ac:dyDescent="0.4">
      <c r="B1278" s="4"/>
      <c r="C1278" s="4"/>
    </row>
    <row r="1279" spans="2:3" ht="14.6" x14ac:dyDescent="0.4">
      <c r="B1279" s="4"/>
      <c r="C1279" s="4"/>
    </row>
    <row r="1280" spans="2:3" ht="14.6" x14ac:dyDescent="0.4">
      <c r="B1280" s="4"/>
      <c r="C1280" s="4"/>
    </row>
    <row r="1281" spans="2:3" ht="14.6" x14ac:dyDescent="0.4">
      <c r="B1281" s="4"/>
      <c r="C1281" s="4"/>
    </row>
    <row r="1282" spans="2:3" ht="14.6" x14ac:dyDescent="0.4">
      <c r="B1282" s="4"/>
      <c r="C1282" s="4"/>
    </row>
    <row r="1283" spans="2:3" ht="14.6" x14ac:dyDescent="0.4">
      <c r="B1283" s="4"/>
      <c r="C1283" s="4"/>
    </row>
    <row r="1284" spans="2:3" ht="14.6" x14ac:dyDescent="0.4">
      <c r="B1284" s="4"/>
      <c r="C1284" s="4"/>
    </row>
    <row r="1285" spans="2:3" ht="14.6" x14ac:dyDescent="0.4">
      <c r="B1285" s="4"/>
      <c r="C1285" s="4"/>
    </row>
    <row r="1286" spans="2:3" ht="14.6" x14ac:dyDescent="0.4">
      <c r="B1286" s="4"/>
      <c r="C1286" s="4"/>
    </row>
    <row r="1287" spans="2:3" ht="14.6" x14ac:dyDescent="0.4">
      <c r="B1287" s="4"/>
      <c r="C1287" s="4"/>
    </row>
    <row r="1288" spans="2:3" ht="14.6" x14ac:dyDescent="0.4">
      <c r="B1288" s="4"/>
      <c r="C1288" s="4"/>
    </row>
    <row r="1289" spans="2:3" ht="14.6" x14ac:dyDescent="0.4">
      <c r="B1289" s="4"/>
      <c r="C1289" s="4"/>
    </row>
    <row r="1290" spans="2:3" ht="14.6" x14ac:dyDescent="0.4">
      <c r="B1290" s="4"/>
      <c r="C1290" s="4"/>
    </row>
    <row r="1291" spans="2:3" ht="14.6" x14ac:dyDescent="0.4">
      <c r="B1291" s="4"/>
      <c r="C1291" s="4"/>
    </row>
    <row r="1292" spans="2:3" ht="14.6" x14ac:dyDescent="0.4">
      <c r="B1292" s="4"/>
      <c r="C1292" s="4"/>
    </row>
    <row r="1293" spans="2:3" ht="14.6" x14ac:dyDescent="0.4">
      <c r="B1293" s="4"/>
      <c r="C1293" s="4"/>
    </row>
    <row r="1294" spans="2:3" ht="14.6" x14ac:dyDescent="0.4">
      <c r="B1294" s="4"/>
      <c r="C1294" s="4"/>
    </row>
    <row r="1295" spans="2:3" ht="14.6" x14ac:dyDescent="0.4">
      <c r="B1295" s="4"/>
      <c r="C1295" s="4"/>
    </row>
    <row r="1296" spans="2:3" ht="14.6" x14ac:dyDescent="0.4">
      <c r="B1296" s="4"/>
      <c r="C1296" s="4"/>
    </row>
    <row r="1297" spans="2:3" ht="14.6" x14ac:dyDescent="0.4">
      <c r="B1297" s="4"/>
      <c r="C1297" s="4"/>
    </row>
    <row r="1298" spans="2:3" ht="14.6" x14ac:dyDescent="0.4">
      <c r="B1298" s="4"/>
      <c r="C1298" s="4"/>
    </row>
    <row r="1299" spans="2:3" ht="14.6" x14ac:dyDescent="0.4">
      <c r="B1299" s="4"/>
      <c r="C1299" s="4"/>
    </row>
    <row r="1300" spans="2:3" ht="14.6" x14ac:dyDescent="0.4">
      <c r="B1300" s="4"/>
      <c r="C1300" s="4"/>
    </row>
    <row r="1301" spans="2:3" ht="14.6" x14ac:dyDescent="0.4">
      <c r="B1301" s="4"/>
      <c r="C1301" s="4"/>
    </row>
    <row r="1302" spans="2:3" ht="14.6" x14ac:dyDescent="0.4">
      <c r="B1302" s="4"/>
      <c r="C1302" s="4"/>
    </row>
    <row r="1303" spans="2:3" ht="14.6" x14ac:dyDescent="0.4">
      <c r="B1303" s="4"/>
      <c r="C1303" s="4"/>
    </row>
    <row r="1304" spans="2:3" ht="14.6" x14ac:dyDescent="0.4">
      <c r="B1304" s="4"/>
      <c r="C1304" s="4"/>
    </row>
    <row r="1305" spans="2:3" ht="14.6" x14ac:dyDescent="0.4">
      <c r="B1305" s="4"/>
      <c r="C1305" s="4"/>
    </row>
    <row r="1306" spans="2:3" ht="14.6" x14ac:dyDescent="0.4">
      <c r="B1306" s="4"/>
      <c r="C1306" s="4"/>
    </row>
    <row r="1307" spans="2:3" ht="14.6" x14ac:dyDescent="0.4">
      <c r="B1307" s="4"/>
      <c r="C1307" s="4"/>
    </row>
    <row r="1308" spans="2:3" ht="14.6" x14ac:dyDescent="0.4">
      <c r="B1308" s="4"/>
      <c r="C1308" s="4"/>
    </row>
    <row r="1309" spans="2:3" ht="14.6" x14ac:dyDescent="0.4">
      <c r="B1309" s="4"/>
      <c r="C1309" s="4"/>
    </row>
    <row r="1310" spans="2:3" ht="14.6" x14ac:dyDescent="0.4">
      <c r="B1310" s="4"/>
      <c r="C1310" s="4"/>
    </row>
    <row r="1311" spans="2:3" ht="14.6" x14ac:dyDescent="0.4">
      <c r="B1311" s="4"/>
      <c r="C1311" s="4"/>
    </row>
    <row r="1312" spans="2:3" ht="14.6" x14ac:dyDescent="0.4">
      <c r="B1312" s="4"/>
      <c r="C1312" s="4"/>
    </row>
    <row r="1313" spans="2:3" ht="14.6" x14ac:dyDescent="0.4">
      <c r="B1313" s="4"/>
      <c r="C1313" s="4"/>
    </row>
    <row r="1314" spans="2:3" ht="14.6" x14ac:dyDescent="0.4">
      <c r="B1314" s="4"/>
      <c r="C1314" s="4"/>
    </row>
    <row r="1315" spans="2:3" ht="14.6" x14ac:dyDescent="0.4">
      <c r="B1315" s="4"/>
      <c r="C1315" s="4"/>
    </row>
    <row r="1316" spans="2:3" ht="14.6" x14ac:dyDescent="0.4">
      <c r="B1316" s="4"/>
      <c r="C1316" s="4"/>
    </row>
    <row r="1317" spans="2:3" ht="14.6" x14ac:dyDescent="0.4">
      <c r="B1317" s="4"/>
      <c r="C1317" s="4"/>
    </row>
    <row r="1318" spans="2:3" ht="14.6" x14ac:dyDescent="0.4">
      <c r="B1318" s="4"/>
      <c r="C1318" s="4"/>
    </row>
    <row r="1319" spans="2:3" ht="14.6" x14ac:dyDescent="0.4">
      <c r="B1319" s="4"/>
      <c r="C1319" s="4"/>
    </row>
    <row r="1320" spans="2:3" ht="14.6" x14ac:dyDescent="0.4">
      <c r="B1320" s="4"/>
      <c r="C1320" s="4"/>
    </row>
    <row r="1321" spans="2:3" ht="14.6" x14ac:dyDescent="0.4">
      <c r="B1321" s="4"/>
      <c r="C1321" s="4"/>
    </row>
    <row r="1322" spans="2:3" ht="14.6" x14ac:dyDescent="0.4">
      <c r="B1322" s="4"/>
      <c r="C1322" s="4"/>
    </row>
    <row r="1323" spans="2:3" ht="14.6" x14ac:dyDescent="0.4">
      <c r="B1323" s="4"/>
      <c r="C1323" s="4"/>
    </row>
    <row r="1324" spans="2:3" ht="14.6" x14ac:dyDescent="0.4">
      <c r="B1324" s="4"/>
      <c r="C1324" s="4"/>
    </row>
    <row r="1325" spans="2:3" ht="14.6" x14ac:dyDescent="0.4">
      <c r="B1325" s="4"/>
      <c r="C1325" s="4"/>
    </row>
    <row r="1326" spans="2:3" ht="14.6" x14ac:dyDescent="0.4">
      <c r="B1326" s="4"/>
      <c r="C1326" s="4"/>
    </row>
    <row r="1327" spans="2:3" ht="14.6" x14ac:dyDescent="0.4">
      <c r="B1327" s="4"/>
      <c r="C1327" s="4"/>
    </row>
    <row r="1328" spans="2:3" ht="14.6" x14ac:dyDescent="0.4">
      <c r="B1328" s="4"/>
      <c r="C1328" s="4"/>
    </row>
    <row r="1329" spans="2:3" ht="14.6" x14ac:dyDescent="0.4">
      <c r="B1329" s="4"/>
      <c r="C1329" s="4"/>
    </row>
    <row r="1330" spans="2:3" ht="14.6" x14ac:dyDescent="0.4">
      <c r="B1330" s="4"/>
      <c r="C1330" s="4"/>
    </row>
    <row r="1331" spans="2:3" ht="14.6" x14ac:dyDescent="0.4">
      <c r="B1331" s="4"/>
      <c r="C1331" s="4"/>
    </row>
    <row r="1332" spans="2:3" ht="14.6" x14ac:dyDescent="0.4">
      <c r="B1332" s="4"/>
      <c r="C1332" s="4"/>
    </row>
    <row r="1333" spans="2:3" ht="14.6" x14ac:dyDescent="0.4">
      <c r="B1333" s="4"/>
      <c r="C1333" s="4"/>
    </row>
    <row r="1334" spans="2:3" ht="14.6" x14ac:dyDescent="0.4">
      <c r="B1334" s="4"/>
      <c r="C1334" s="4"/>
    </row>
    <row r="1335" spans="2:3" ht="14.6" x14ac:dyDescent="0.4">
      <c r="B1335" s="4"/>
      <c r="C1335" s="4"/>
    </row>
    <row r="1336" spans="2:3" ht="14.6" x14ac:dyDescent="0.4">
      <c r="B1336" s="4"/>
      <c r="C1336" s="4"/>
    </row>
    <row r="1337" spans="2:3" ht="14.6" x14ac:dyDescent="0.4">
      <c r="B1337" s="4"/>
      <c r="C1337" s="4"/>
    </row>
    <row r="1338" spans="2:3" ht="14.6" x14ac:dyDescent="0.4">
      <c r="B1338" s="4"/>
      <c r="C1338" s="4"/>
    </row>
    <row r="1339" spans="2:3" ht="14.6" x14ac:dyDescent="0.4">
      <c r="B1339" s="4"/>
      <c r="C1339" s="4"/>
    </row>
    <row r="1340" spans="2:3" ht="14.6" x14ac:dyDescent="0.4">
      <c r="B1340" s="4"/>
      <c r="C1340" s="4"/>
    </row>
    <row r="1341" spans="2:3" ht="14.6" x14ac:dyDescent="0.4">
      <c r="B1341" s="4"/>
      <c r="C1341" s="4"/>
    </row>
    <row r="1342" spans="2:3" ht="14.6" x14ac:dyDescent="0.4">
      <c r="B1342" s="4"/>
      <c r="C1342" s="4"/>
    </row>
    <row r="1343" spans="2:3" ht="14.6" x14ac:dyDescent="0.4">
      <c r="B1343" s="4"/>
      <c r="C1343" s="4"/>
    </row>
    <row r="1344" spans="2:3" ht="14.6" x14ac:dyDescent="0.4">
      <c r="B1344" s="4"/>
      <c r="C1344" s="4"/>
    </row>
    <row r="1345" spans="2:3" ht="14.6" x14ac:dyDescent="0.4">
      <c r="B1345" s="4"/>
      <c r="C1345" s="4"/>
    </row>
    <row r="1346" spans="2:3" ht="14.6" x14ac:dyDescent="0.4">
      <c r="B1346" s="4"/>
      <c r="C1346" s="4"/>
    </row>
    <row r="1347" spans="2:3" ht="14.6" x14ac:dyDescent="0.4">
      <c r="B1347" s="4"/>
      <c r="C1347" s="4"/>
    </row>
    <row r="1348" spans="2:3" ht="14.6" x14ac:dyDescent="0.4">
      <c r="B1348" s="4"/>
      <c r="C1348" s="4"/>
    </row>
    <row r="1349" spans="2:3" ht="14.6" x14ac:dyDescent="0.4">
      <c r="B1349" s="4"/>
      <c r="C1349" s="4"/>
    </row>
    <row r="1350" spans="2:3" ht="14.6" x14ac:dyDescent="0.4">
      <c r="B1350" s="4"/>
      <c r="C1350" s="4"/>
    </row>
    <row r="1351" spans="2:3" ht="14.6" x14ac:dyDescent="0.4">
      <c r="B1351" s="4"/>
      <c r="C1351" s="4"/>
    </row>
    <row r="1352" spans="2:3" ht="14.6" x14ac:dyDescent="0.4">
      <c r="B1352" s="4"/>
      <c r="C1352" s="4"/>
    </row>
    <row r="1353" spans="2:3" ht="14.6" x14ac:dyDescent="0.4">
      <c r="B1353" s="4"/>
      <c r="C1353" s="4"/>
    </row>
    <row r="1354" spans="2:3" ht="14.6" x14ac:dyDescent="0.4">
      <c r="B1354" s="4"/>
      <c r="C1354" s="4"/>
    </row>
    <row r="1355" spans="2:3" ht="14.6" x14ac:dyDescent="0.4">
      <c r="B1355" s="4"/>
      <c r="C1355" s="4"/>
    </row>
    <row r="1356" spans="2:3" ht="14.6" x14ac:dyDescent="0.4">
      <c r="B1356" s="4"/>
      <c r="C1356" s="4"/>
    </row>
    <row r="1357" spans="2:3" ht="14.6" x14ac:dyDescent="0.4">
      <c r="B1357" s="4"/>
      <c r="C1357" s="4"/>
    </row>
    <row r="1358" spans="2:3" ht="14.6" x14ac:dyDescent="0.4">
      <c r="B1358" s="4"/>
      <c r="C1358" s="4"/>
    </row>
    <row r="1359" spans="2:3" ht="14.6" x14ac:dyDescent="0.4">
      <c r="B1359" s="4"/>
      <c r="C1359" s="4"/>
    </row>
    <row r="1360" spans="2:3" ht="14.6" x14ac:dyDescent="0.4">
      <c r="B1360" s="4"/>
      <c r="C1360" s="4"/>
    </row>
    <row r="1361" spans="2:3" ht="14.6" x14ac:dyDescent="0.4">
      <c r="B1361" s="4"/>
      <c r="C1361" s="4"/>
    </row>
    <row r="1362" spans="2:3" ht="14.6" x14ac:dyDescent="0.4">
      <c r="B1362" s="4"/>
      <c r="C1362" s="4"/>
    </row>
    <row r="1363" spans="2:3" ht="14.6" x14ac:dyDescent="0.4">
      <c r="B1363" s="4"/>
      <c r="C1363" s="4"/>
    </row>
    <row r="1364" spans="2:3" ht="14.6" x14ac:dyDescent="0.4">
      <c r="B1364" s="4"/>
      <c r="C1364" s="4"/>
    </row>
    <row r="1365" spans="2:3" ht="14.6" x14ac:dyDescent="0.4">
      <c r="B1365" s="4"/>
      <c r="C1365" s="4"/>
    </row>
    <row r="1366" spans="2:3" ht="14.6" x14ac:dyDescent="0.4">
      <c r="B1366" s="4"/>
      <c r="C1366" s="4"/>
    </row>
    <row r="1367" spans="2:3" ht="14.6" x14ac:dyDescent="0.4">
      <c r="B1367" s="4"/>
      <c r="C1367" s="4"/>
    </row>
    <row r="1368" spans="2:3" ht="14.6" x14ac:dyDescent="0.4">
      <c r="B1368" s="4"/>
      <c r="C1368" s="4"/>
    </row>
    <row r="1369" spans="2:3" ht="14.6" x14ac:dyDescent="0.4">
      <c r="B1369" s="4"/>
      <c r="C1369" s="4"/>
    </row>
    <row r="1370" spans="2:3" ht="14.6" x14ac:dyDescent="0.4">
      <c r="B1370" s="4"/>
      <c r="C1370" s="4"/>
    </row>
    <row r="1371" spans="2:3" ht="14.6" x14ac:dyDescent="0.4">
      <c r="B1371" s="4"/>
      <c r="C1371" s="4"/>
    </row>
    <row r="1372" spans="2:3" ht="14.6" x14ac:dyDescent="0.4">
      <c r="B1372" s="4"/>
      <c r="C1372" s="4"/>
    </row>
    <row r="1373" spans="2:3" ht="14.6" x14ac:dyDescent="0.4">
      <c r="B1373" s="4"/>
      <c r="C1373" s="4"/>
    </row>
    <row r="1374" spans="2:3" ht="14.6" x14ac:dyDescent="0.4">
      <c r="B1374" s="4"/>
      <c r="C1374" s="4"/>
    </row>
    <row r="1375" spans="2:3" ht="14.6" x14ac:dyDescent="0.4">
      <c r="B1375" s="4"/>
      <c r="C1375" s="4"/>
    </row>
    <row r="1376" spans="2:3" ht="14.6" x14ac:dyDescent="0.4">
      <c r="B1376" s="4"/>
      <c r="C1376" s="4"/>
    </row>
    <row r="1377" spans="2:3" ht="14.6" x14ac:dyDescent="0.4">
      <c r="B1377" s="4"/>
      <c r="C1377" s="4"/>
    </row>
    <row r="1378" spans="2:3" ht="14.6" x14ac:dyDescent="0.4">
      <c r="B1378" s="4"/>
      <c r="C1378" s="4"/>
    </row>
    <row r="1379" spans="2:3" ht="14.6" x14ac:dyDescent="0.4">
      <c r="B1379" s="4"/>
      <c r="C1379" s="4"/>
    </row>
    <row r="1380" spans="2:3" ht="14.6" x14ac:dyDescent="0.4">
      <c r="B1380" s="4"/>
      <c r="C1380" s="4"/>
    </row>
    <row r="1381" spans="2:3" ht="14.6" x14ac:dyDescent="0.4">
      <c r="B1381" s="4"/>
      <c r="C1381" s="4"/>
    </row>
    <row r="1382" spans="2:3" ht="14.6" x14ac:dyDescent="0.4">
      <c r="B1382" s="4"/>
      <c r="C1382" s="4"/>
    </row>
    <row r="1383" spans="2:3" ht="14.6" x14ac:dyDescent="0.4">
      <c r="B1383" s="4"/>
      <c r="C1383" s="4"/>
    </row>
    <row r="1384" spans="2:3" ht="14.6" x14ac:dyDescent="0.4">
      <c r="B1384" s="4"/>
      <c r="C1384" s="4"/>
    </row>
    <row r="1385" spans="2:3" ht="14.6" x14ac:dyDescent="0.4">
      <c r="B1385" s="4"/>
      <c r="C1385" s="4"/>
    </row>
    <row r="1386" spans="2:3" ht="14.6" x14ac:dyDescent="0.4">
      <c r="B1386" s="4"/>
      <c r="C1386" s="4"/>
    </row>
    <row r="1387" spans="2:3" ht="14.6" x14ac:dyDescent="0.4">
      <c r="B1387" s="4"/>
      <c r="C1387" s="4"/>
    </row>
    <row r="1388" spans="2:3" ht="14.6" x14ac:dyDescent="0.4">
      <c r="B1388" s="4"/>
      <c r="C1388" s="4"/>
    </row>
    <row r="1389" spans="2:3" ht="14.6" x14ac:dyDescent="0.4">
      <c r="B1389" s="4"/>
      <c r="C1389" s="4"/>
    </row>
    <row r="1390" spans="2:3" ht="14.6" x14ac:dyDescent="0.4">
      <c r="B1390" s="4"/>
      <c r="C1390" s="4"/>
    </row>
    <row r="1391" spans="2:3" ht="14.6" x14ac:dyDescent="0.4">
      <c r="B1391" s="4"/>
      <c r="C1391" s="4"/>
    </row>
    <row r="1392" spans="2:3" ht="14.6" x14ac:dyDescent="0.4">
      <c r="B1392" s="4"/>
      <c r="C1392" s="4"/>
    </row>
    <row r="1393" spans="2:3" ht="14.6" x14ac:dyDescent="0.4">
      <c r="B1393" s="4"/>
      <c r="C1393" s="4"/>
    </row>
    <row r="1394" spans="2:3" ht="14.6" x14ac:dyDescent="0.4">
      <c r="B1394" s="4"/>
      <c r="C1394" s="4"/>
    </row>
    <row r="1395" spans="2:3" ht="14.6" x14ac:dyDescent="0.4">
      <c r="B1395" s="4"/>
      <c r="C1395" s="4"/>
    </row>
    <row r="1396" spans="2:3" ht="14.6" x14ac:dyDescent="0.4">
      <c r="B1396" s="4"/>
      <c r="C1396" s="4"/>
    </row>
    <row r="1397" spans="2:3" ht="14.6" x14ac:dyDescent="0.4">
      <c r="B1397" s="4"/>
      <c r="C1397" s="4"/>
    </row>
    <row r="1398" spans="2:3" ht="14.6" x14ac:dyDescent="0.4">
      <c r="B1398" s="4"/>
      <c r="C1398" s="4"/>
    </row>
    <row r="1399" spans="2:3" ht="14.6" x14ac:dyDescent="0.4">
      <c r="B1399" s="4"/>
      <c r="C1399" s="4"/>
    </row>
    <row r="1400" spans="2:3" ht="14.6" x14ac:dyDescent="0.4">
      <c r="B1400" s="4"/>
      <c r="C1400" s="4"/>
    </row>
    <row r="1401" spans="2:3" ht="14.6" x14ac:dyDescent="0.4">
      <c r="B1401" s="4"/>
      <c r="C1401" s="4"/>
    </row>
    <row r="1402" spans="2:3" ht="14.6" x14ac:dyDescent="0.4">
      <c r="B1402" s="4"/>
      <c r="C1402" s="4"/>
    </row>
    <row r="1403" spans="2:3" ht="14.6" x14ac:dyDescent="0.4">
      <c r="B1403" s="4"/>
      <c r="C1403" s="4"/>
    </row>
    <row r="1404" spans="2:3" ht="14.6" x14ac:dyDescent="0.4">
      <c r="B1404" s="4"/>
      <c r="C1404" s="4"/>
    </row>
    <row r="1405" spans="2:3" ht="14.6" x14ac:dyDescent="0.4">
      <c r="B1405" s="4"/>
      <c r="C1405" s="4"/>
    </row>
    <row r="1406" spans="2:3" ht="14.6" x14ac:dyDescent="0.4">
      <c r="B1406" s="4"/>
      <c r="C1406" s="4"/>
    </row>
    <row r="1407" spans="2:3" ht="14.6" x14ac:dyDescent="0.4">
      <c r="B1407" s="4"/>
      <c r="C1407" s="4"/>
    </row>
    <row r="1408" spans="2:3" ht="14.6" x14ac:dyDescent="0.4">
      <c r="B1408" s="4"/>
      <c r="C1408" s="4"/>
    </row>
    <row r="1409" spans="2:3" ht="14.6" x14ac:dyDescent="0.4">
      <c r="B1409" s="4"/>
      <c r="C1409" s="4"/>
    </row>
    <row r="1410" spans="2:3" ht="14.6" x14ac:dyDescent="0.4">
      <c r="B1410" s="4"/>
      <c r="C1410" s="4"/>
    </row>
    <row r="1411" spans="2:3" ht="14.6" x14ac:dyDescent="0.4">
      <c r="B1411" s="4"/>
      <c r="C1411" s="4"/>
    </row>
    <row r="1412" spans="2:3" ht="14.6" x14ac:dyDescent="0.4">
      <c r="B1412" s="4"/>
      <c r="C1412" s="4"/>
    </row>
    <row r="1413" spans="2:3" ht="14.6" x14ac:dyDescent="0.4">
      <c r="B1413" s="4"/>
      <c r="C1413" s="4"/>
    </row>
    <row r="1414" spans="2:3" ht="14.6" x14ac:dyDescent="0.4">
      <c r="B1414" s="4"/>
      <c r="C1414" s="4"/>
    </row>
    <row r="1415" spans="2:3" ht="14.6" x14ac:dyDescent="0.4">
      <c r="B1415" s="4"/>
      <c r="C1415" s="4"/>
    </row>
    <row r="1416" spans="2:3" ht="14.6" x14ac:dyDescent="0.4">
      <c r="B1416" s="4"/>
      <c r="C1416" s="4"/>
    </row>
    <row r="1417" spans="2:3" ht="14.6" x14ac:dyDescent="0.4">
      <c r="B1417" s="4"/>
      <c r="C1417" s="4"/>
    </row>
    <row r="1418" spans="2:3" ht="14.6" x14ac:dyDescent="0.4">
      <c r="B1418" s="4"/>
      <c r="C1418" s="4"/>
    </row>
    <row r="1419" spans="2:3" ht="14.6" x14ac:dyDescent="0.4">
      <c r="B1419" s="4"/>
      <c r="C1419" s="4"/>
    </row>
    <row r="1420" spans="2:3" ht="14.6" x14ac:dyDescent="0.4">
      <c r="B1420" s="4"/>
      <c r="C1420" s="4"/>
    </row>
    <row r="1421" spans="2:3" ht="14.6" x14ac:dyDescent="0.4">
      <c r="B1421" s="4"/>
      <c r="C1421" s="4"/>
    </row>
    <row r="1422" spans="2:3" ht="14.6" x14ac:dyDescent="0.4">
      <c r="B1422" s="4"/>
      <c r="C1422" s="4"/>
    </row>
    <row r="1423" spans="2:3" ht="14.6" x14ac:dyDescent="0.4">
      <c r="B1423" s="4"/>
      <c r="C1423" s="4"/>
    </row>
    <row r="1424" spans="2:3" ht="14.6" x14ac:dyDescent="0.4">
      <c r="B1424" s="4"/>
      <c r="C1424" s="4"/>
    </row>
    <row r="1425" spans="2:3" ht="14.6" x14ac:dyDescent="0.4">
      <c r="B1425" s="4"/>
      <c r="C1425" s="4"/>
    </row>
    <row r="1426" spans="2:3" ht="14.6" x14ac:dyDescent="0.4">
      <c r="B1426" s="4"/>
      <c r="C1426" s="4"/>
    </row>
    <row r="1427" spans="2:3" ht="14.6" x14ac:dyDescent="0.4">
      <c r="B1427" s="4"/>
      <c r="C1427" s="4"/>
    </row>
    <row r="1428" spans="2:3" ht="14.6" x14ac:dyDescent="0.4">
      <c r="B1428" s="4"/>
      <c r="C1428" s="4"/>
    </row>
    <row r="1429" spans="2:3" ht="14.6" x14ac:dyDescent="0.4">
      <c r="B1429" s="4"/>
      <c r="C1429" s="4"/>
    </row>
    <row r="1430" spans="2:3" ht="14.6" x14ac:dyDescent="0.4">
      <c r="B1430" s="4"/>
      <c r="C1430" s="4"/>
    </row>
    <row r="1431" spans="2:3" ht="14.6" x14ac:dyDescent="0.4">
      <c r="B1431" s="4"/>
      <c r="C1431" s="4"/>
    </row>
    <row r="1432" spans="2:3" ht="14.6" x14ac:dyDescent="0.4">
      <c r="B1432" s="4"/>
      <c r="C1432" s="4"/>
    </row>
    <row r="1433" spans="2:3" ht="14.6" x14ac:dyDescent="0.4">
      <c r="B1433" s="4"/>
      <c r="C1433" s="4"/>
    </row>
    <row r="1434" spans="2:3" ht="14.6" x14ac:dyDescent="0.4">
      <c r="B1434" s="4"/>
      <c r="C1434" s="4"/>
    </row>
    <row r="1435" spans="2:3" ht="14.6" x14ac:dyDescent="0.4">
      <c r="B1435" s="4"/>
      <c r="C1435" s="4"/>
    </row>
    <row r="1436" spans="2:3" ht="14.6" x14ac:dyDescent="0.4">
      <c r="B1436" s="4"/>
      <c r="C1436" s="4"/>
    </row>
    <row r="1437" spans="2:3" ht="14.6" x14ac:dyDescent="0.4">
      <c r="B1437" s="4"/>
      <c r="C1437" s="4"/>
    </row>
    <row r="1438" spans="2:3" ht="14.6" x14ac:dyDescent="0.4">
      <c r="B1438" s="4"/>
      <c r="C1438" s="4"/>
    </row>
    <row r="1439" spans="2:3" ht="14.6" x14ac:dyDescent="0.4">
      <c r="B1439" s="4"/>
      <c r="C1439" s="4"/>
    </row>
    <row r="1440" spans="2:3" ht="14.6" x14ac:dyDescent="0.4">
      <c r="B1440" s="4"/>
      <c r="C1440" s="4"/>
    </row>
    <row r="1441" spans="2:3" ht="14.6" x14ac:dyDescent="0.4">
      <c r="B1441" s="4"/>
      <c r="C1441" s="4"/>
    </row>
    <row r="1442" spans="2:3" ht="14.6" x14ac:dyDescent="0.4">
      <c r="B1442" s="4"/>
      <c r="C1442" s="4"/>
    </row>
    <row r="1443" spans="2:3" ht="14.6" x14ac:dyDescent="0.4">
      <c r="B1443" s="4"/>
      <c r="C1443" s="4"/>
    </row>
    <row r="1444" spans="2:3" ht="14.6" x14ac:dyDescent="0.4">
      <c r="B1444" s="4"/>
      <c r="C1444" s="4"/>
    </row>
    <row r="1445" spans="2:3" ht="14.6" x14ac:dyDescent="0.4">
      <c r="B1445" s="4"/>
      <c r="C1445" s="4"/>
    </row>
    <row r="1446" spans="2:3" ht="14.6" x14ac:dyDescent="0.4">
      <c r="B1446" s="4"/>
      <c r="C1446" s="4"/>
    </row>
    <row r="1447" spans="2:3" ht="14.6" x14ac:dyDescent="0.4">
      <c r="B1447" s="4"/>
      <c r="C1447" s="4"/>
    </row>
    <row r="1448" spans="2:3" ht="14.6" x14ac:dyDescent="0.4">
      <c r="B1448" s="4"/>
      <c r="C1448" s="4"/>
    </row>
    <row r="1449" spans="2:3" ht="14.6" x14ac:dyDescent="0.4">
      <c r="B1449" s="4"/>
      <c r="C1449" s="4"/>
    </row>
    <row r="1450" spans="2:3" ht="14.6" x14ac:dyDescent="0.4">
      <c r="B1450" s="4"/>
      <c r="C1450" s="4"/>
    </row>
    <row r="1451" spans="2:3" ht="14.6" x14ac:dyDescent="0.4">
      <c r="B1451" s="4"/>
      <c r="C1451" s="4"/>
    </row>
    <row r="1452" spans="2:3" ht="14.6" x14ac:dyDescent="0.4">
      <c r="B1452" s="4"/>
      <c r="C1452" s="4"/>
    </row>
    <row r="1453" spans="2:3" ht="14.6" x14ac:dyDescent="0.4">
      <c r="B1453" s="4"/>
      <c r="C1453" s="4"/>
    </row>
    <row r="1454" spans="2:3" ht="14.6" x14ac:dyDescent="0.4">
      <c r="B1454" s="4"/>
      <c r="C1454" s="4"/>
    </row>
    <row r="1455" spans="2:3" ht="14.6" x14ac:dyDescent="0.4">
      <c r="B1455" s="4"/>
      <c r="C1455" s="4"/>
    </row>
    <row r="1456" spans="2:3" ht="14.6" x14ac:dyDescent="0.4">
      <c r="B1456" s="4"/>
      <c r="C1456" s="4"/>
    </row>
    <row r="1457" spans="2:3" ht="14.6" x14ac:dyDescent="0.4">
      <c r="B1457" s="4"/>
      <c r="C1457" s="4"/>
    </row>
    <row r="1458" spans="2:3" ht="14.6" x14ac:dyDescent="0.4">
      <c r="B1458" s="4"/>
      <c r="C1458" s="4"/>
    </row>
    <row r="1459" spans="2:3" ht="14.6" x14ac:dyDescent="0.4">
      <c r="B1459" s="4"/>
      <c r="C1459" s="4"/>
    </row>
    <row r="1460" spans="2:3" ht="14.6" x14ac:dyDescent="0.4">
      <c r="B1460" s="4"/>
      <c r="C1460" s="4"/>
    </row>
    <row r="1461" spans="2:3" ht="14.6" x14ac:dyDescent="0.4">
      <c r="B1461" s="4"/>
      <c r="C1461" s="4"/>
    </row>
    <row r="1462" spans="2:3" ht="14.6" x14ac:dyDescent="0.4">
      <c r="B1462" s="4"/>
      <c r="C1462" s="4"/>
    </row>
    <row r="1463" spans="2:3" ht="14.6" x14ac:dyDescent="0.4">
      <c r="B1463" s="4"/>
      <c r="C1463" s="4"/>
    </row>
    <row r="1464" spans="2:3" ht="14.6" x14ac:dyDescent="0.4">
      <c r="B1464" s="4"/>
      <c r="C1464" s="4"/>
    </row>
    <row r="1465" spans="2:3" ht="14.6" x14ac:dyDescent="0.4">
      <c r="B1465" s="4"/>
      <c r="C1465" s="4"/>
    </row>
    <row r="1466" spans="2:3" ht="14.6" x14ac:dyDescent="0.4">
      <c r="B1466" s="4"/>
      <c r="C1466" s="4"/>
    </row>
    <row r="1467" spans="2:3" ht="14.6" x14ac:dyDescent="0.4">
      <c r="B1467" s="4"/>
      <c r="C1467" s="4"/>
    </row>
    <row r="1468" spans="2:3" ht="14.6" x14ac:dyDescent="0.4">
      <c r="B1468" s="4"/>
      <c r="C1468" s="4"/>
    </row>
    <row r="1469" spans="2:3" ht="14.6" x14ac:dyDescent="0.4">
      <c r="B1469" s="4"/>
      <c r="C1469" s="4"/>
    </row>
    <row r="1470" spans="2:3" ht="14.6" x14ac:dyDescent="0.4">
      <c r="B1470" s="4"/>
      <c r="C1470" s="4"/>
    </row>
    <row r="1471" spans="2:3" ht="14.6" x14ac:dyDescent="0.4">
      <c r="B1471" s="4"/>
      <c r="C1471" s="4"/>
    </row>
    <row r="1472" spans="2:3" ht="14.6" x14ac:dyDescent="0.4">
      <c r="B1472" s="4"/>
      <c r="C1472" s="4"/>
    </row>
    <row r="1473" spans="2:3" ht="14.6" x14ac:dyDescent="0.4">
      <c r="B1473" s="4"/>
      <c r="C1473" s="4"/>
    </row>
    <row r="1474" spans="2:3" ht="14.6" x14ac:dyDescent="0.4">
      <c r="B1474" s="4"/>
      <c r="C1474" s="4"/>
    </row>
    <row r="1475" spans="2:3" ht="14.6" x14ac:dyDescent="0.4">
      <c r="B1475" s="4"/>
      <c r="C1475" s="4"/>
    </row>
    <row r="1476" spans="2:3" ht="14.6" x14ac:dyDescent="0.4">
      <c r="B1476" s="4"/>
      <c r="C1476" s="4"/>
    </row>
    <row r="1477" spans="2:3" ht="14.6" x14ac:dyDescent="0.4">
      <c r="B1477" s="4"/>
      <c r="C1477" s="4"/>
    </row>
    <row r="1478" spans="2:3" ht="14.6" x14ac:dyDescent="0.4">
      <c r="B1478" s="4"/>
      <c r="C1478" s="4"/>
    </row>
    <row r="1479" spans="2:3" ht="14.6" x14ac:dyDescent="0.4">
      <c r="B1479" s="4"/>
      <c r="C1479" s="4"/>
    </row>
    <row r="1480" spans="2:3" ht="14.6" x14ac:dyDescent="0.4">
      <c r="B1480" s="4"/>
      <c r="C1480" s="4"/>
    </row>
    <row r="1481" spans="2:3" ht="14.6" x14ac:dyDescent="0.4">
      <c r="B1481" s="4"/>
      <c r="C1481" s="4"/>
    </row>
    <row r="1482" spans="2:3" ht="14.6" x14ac:dyDescent="0.4">
      <c r="B1482" s="4"/>
      <c r="C1482" s="4"/>
    </row>
    <row r="1483" spans="2:3" ht="14.6" x14ac:dyDescent="0.4">
      <c r="B1483" s="4"/>
      <c r="C1483" s="4"/>
    </row>
    <row r="1484" spans="2:3" ht="14.6" x14ac:dyDescent="0.4">
      <c r="B1484" s="4"/>
      <c r="C1484" s="4"/>
    </row>
    <row r="1485" spans="2:3" ht="14.6" x14ac:dyDescent="0.4">
      <c r="B1485" s="4"/>
      <c r="C1485" s="4"/>
    </row>
    <row r="1486" spans="2:3" ht="14.6" x14ac:dyDescent="0.4">
      <c r="B1486" s="4"/>
      <c r="C1486" s="4"/>
    </row>
    <row r="1487" spans="2:3" ht="14.6" x14ac:dyDescent="0.4">
      <c r="B1487" s="4"/>
      <c r="C1487" s="4"/>
    </row>
    <row r="1488" spans="2:3" ht="14.6" x14ac:dyDescent="0.4">
      <c r="B1488" s="4"/>
      <c r="C1488" s="4"/>
    </row>
    <row r="1489" spans="2:3" ht="14.6" x14ac:dyDescent="0.4">
      <c r="B1489" s="4"/>
      <c r="C1489" s="4"/>
    </row>
    <row r="1490" spans="2:3" ht="14.6" x14ac:dyDescent="0.4">
      <c r="B1490" s="4"/>
      <c r="C1490" s="4"/>
    </row>
    <row r="1491" spans="2:3" ht="14.6" x14ac:dyDescent="0.4">
      <c r="B1491" s="4"/>
      <c r="C1491" s="4"/>
    </row>
    <row r="1492" spans="2:3" ht="14.6" x14ac:dyDescent="0.4">
      <c r="B1492" s="4"/>
      <c r="C1492" s="4"/>
    </row>
    <row r="1493" spans="2:3" ht="14.6" x14ac:dyDescent="0.4">
      <c r="B1493" s="4"/>
      <c r="C1493" s="4"/>
    </row>
    <row r="1494" spans="2:3" ht="14.6" x14ac:dyDescent="0.4">
      <c r="B1494" s="4"/>
      <c r="C1494" s="4"/>
    </row>
    <row r="1495" spans="2:3" ht="14.6" x14ac:dyDescent="0.4">
      <c r="B1495" s="4"/>
      <c r="C1495" s="4"/>
    </row>
    <row r="1496" spans="2:3" ht="14.6" x14ac:dyDescent="0.4">
      <c r="B1496" s="4"/>
      <c r="C1496" s="4"/>
    </row>
    <row r="1497" spans="2:3" ht="14.6" x14ac:dyDescent="0.4">
      <c r="B1497" s="4"/>
      <c r="C1497" s="4"/>
    </row>
    <row r="1498" spans="2:3" ht="14.6" x14ac:dyDescent="0.4">
      <c r="B1498" s="4"/>
      <c r="C1498" s="4"/>
    </row>
    <row r="1499" spans="2:3" ht="14.6" x14ac:dyDescent="0.4">
      <c r="B1499" s="4"/>
      <c r="C1499" s="4"/>
    </row>
    <row r="1500" spans="2:3" ht="14.6" x14ac:dyDescent="0.4">
      <c r="B1500" s="4"/>
      <c r="C1500" s="4"/>
    </row>
    <row r="1501" spans="2:3" ht="14.6" x14ac:dyDescent="0.4">
      <c r="B1501" s="4"/>
      <c r="C1501" s="4"/>
    </row>
    <row r="1502" spans="2:3" ht="14.6" x14ac:dyDescent="0.4">
      <c r="B1502" s="4"/>
      <c r="C1502" s="4"/>
    </row>
    <row r="1503" spans="2:3" ht="14.6" x14ac:dyDescent="0.4">
      <c r="B1503" s="4"/>
      <c r="C1503" s="4"/>
    </row>
    <row r="1504" spans="2:3" ht="14.6" x14ac:dyDescent="0.4">
      <c r="B1504" s="4"/>
      <c r="C1504" s="4"/>
    </row>
    <row r="1505" spans="2:3" ht="14.6" x14ac:dyDescent="0.4">
      <c r="B1505" s="4"/>
      <c r="C1505" s="4"/>
    </row>
    <row r="1506" spans="2:3" ht="14.6" x14ac:dyDescent="0.4">
      <c r="B1506" s="4"/>
      <c r="C1506" s="4"/>
    </row>
    <row r="1507" spans="2:3" ht="14.6" x14ac:dyDescent="0.4">
      <c r="B1507" s="4"/>
      <c r="C1507" s="4"/>
    </row>
    <row r="1508" spans="2:3" ht="14.6" x14ac:dyDescent="0.4">
      <c r="B1508" s="4"/>
      <c r="C1508" s="4"/>
    </row>
    <row r="1509" spans="2:3" ht="14.6" x14ac:dyDescent="0.4">
      <c r="B1509" s="4"/>
      <c r="C1509" s="4"/>
    </row>
    <row r="1510" spans="2:3" ht="14.6" x14ac:dyDescent="0.4">
      <c r="B1510" s="4"/>
      <c r="C1510" s="4"/>
    </row>
    <row r="1511" spans="2:3" ht="14.6" x14ac:dyDescent="0.4">
      <c r="B1511" s="4"/>
      <c r="C1511" s="4"/>
    </row>
    <row r="1512" spans="2:3" ht="14.6" x14ac:dyDescent="0.4">
      <c r="B1512" s="4"/>
      <c r="C1512" s="4"/>
    </row>
    <row r="1513" spans="2:3" ht="14.6" x14ac:dyDescent="0.4">
      <c r="B1513" s="4"/>
      <c r="C1513" s="4"/>
    </row>
    <row r="1514" spans="2:3" ht="14.6" x14ac:dyDescent="0.4">
      <c r="B1514" s="4"/>
      <c r="C1514" s="4"/>
    </row>
    <row r="1515" spans="2:3" ht="14.6" x14ac:dyDescent="0.4">
      <c r="B1515" s="4"/>
      <c r="C1515" s="4"/>
    </row>
    <row r="1516" spans="2:3" ht="14.6" x14ac:dyDescent="0.4">
      <c r="B1516" s="4"/>
      <c r="C1516" s="4"/>
    </row>
    <row r="1517" spans="2:3" ht="14.6" x14ac:dyDescent="0.4">
      <c r="B1517" s="4"/>
      <c r="C1517" s="4"/>
    </row>
    <row r="1518" spans="2:3" ht="14.6" x14ac:dyDescent="0.4">
      <c r="B1518" s="4"/>
      <c r="C1518" s="4"/>
    </row>
    <row r="1519" spans="2:3" ht="14.6" x14ac:dyDescent="0.4">
      <c r="B1519" s="4"/>
      <c r="C1519" s="4"/>
    </row>
    <row r="1520" spans="2:3" ht="14.6" x14ac:dyDescent="0.4">
      <c r="B1520" s="4"/>
      <c r="C1520" s="4"/>
    </row>
    <row r="1521" spans="2:3" ht="14.6" x14ac:dyDescent="0.4">
      <c r="B1521" s="4"/>
      <c r="C1521" s="4"/>
    </row>
    <row r="1522" spans="2:3" ht="14.6" x14ac:dyDescent="0.4">
      <c r="B1522" s="4"/>
      <c r="C1522" s="4"/>
    </row>
    <row r="1523" spans="2:3" ht="14.6" x14ac:dyDescent="0.4">
      <c r="B1523" s="4"/>
      <c r="C1523" s="4"/>
    </row>
    <row r="1524" spans="2:3" ht="14.6" x14ac:dyDescent="0.4">
      <c r="B1524" s="4"/>
      <c r="C1524" s="4"/>
    </row>
    <row r="1525" spans="2:3" ht="14.6" x14ac:dyDescent="0.4">
      <c r="B1525" s="4"/>
      <c r="C1525" s="4"/>
    </row>
    <row r="1526" spans="2:3" ht="14.6" x14ac:dyDescent="0.4">
      <c r="B1526" s="4"/>
      <c r="C1526" s="4"/>
    </row>
    <row r="1527" spans="2:3" ht="14.6" x14ac:dyDescent="0.4">
      <c r="B1527" s="4"/>
      <c r="C1527" s="4"/>
    </row>
    <row r="1528" spans="2:3" ht="14.6" x14ac:dyDescent="0.4">
      <c r="B1528" s="4"/>
      <c r="C1528" s="4"/>
    </row>
    <row r="1529" spans="2:3" ht="14.6" x14ac:dyDescent="0.4">
      <c r="B1529" s="4"/>
      <c r="C1529" s="4"/>
    </row>
    <row r="1530" spans="2:3" ht="14.6" x14ac:dyDescent="0.4">
      <c r="B1530" s="4"/>
      <c r="C1530" s="4"/>
    </row>
    <row r="1531" spans="2:3" ht="14.6" x14ac:dyDescent="0.4">
      <c r="B1531" s="4"/>
      <c r="C1531" s="4"/>
    </row>
    <row r="1532" spans="2:3" ht="14.6" x14ac:dyDescent="0.4">
      <c r="B1532" s="4"/>
      <c r="C1532" s="4"/>
    </row>
    <row r="1533" spans="2:3" ht="14.6" x14ac:dyDescent="0.4">
      <c r="B1533" s="4"/>
      <c r="C1533" s="4"/>
    </row>
    <row r="1534" spans="2:3" ht="14.6" x14ac:dyDescent="0.4">
      <c r="B1534" s="4"/>
      <c r="C1534" s="4"/>
    </row>
    <row r="1535" spans="2:3" ht="14.6" x14ac:dyDescent="0.4">
      <c r="B1535" s="4"/>
      <c r="C1535" s="4"/>
    </row>
    <row r="1536" spans="2:3" ht="14.6" x14ac:dyDescent="0.4">
      <c r="B1536" s="4"/>
      <c r="C1536" s="4"/>
    </row>
    <row r="1537" spans="2:3" ht="14.6" x14ac:dyDescent="0.4">
      <c r="B1537" s="4"/>
      <c r="C1537" s="4"/>
    </row>
    <row r="1538" spans="2:3" ht="14.6" x14ac:dyDescent="0.4">
      <c r="B1538" s="4"/>
      <c r="C1538" s="4"/>
    </row>
    <row r="1539" spans="2:3" ht="14.6" x14ac:dyDescent="0.4">
      <c r="B1539" s="4"/>
      <c r="C1539" s="4"/>
    </row>
    <row r="1540" spans="2:3" ht="14.6" x14ac:dyDescent="0.4">
      <c r="B1540" s="4"/>
      <c r="C1540" s="4"/>
    </row>
    <row r="1541" spans="2:3" ht="14.6" x14ac:dyDescent="0.4">
      <c r="B1541" s="4"/>
      <c r="C1541" s="4"/>
    </row>
    <row r="1542" spans="2:3" ht="14.6" x14ac:dyDescent="0.4">
      <c r="B1542" s="4"/>
      <c r="C1542" s="4"/>
    </row>
    <row r="1543" spans="2:3" ht="14.6" x14ac:dyDescent="0.4">
      <c r="B1543" s="4"/>
      <c r="C1543" s="4"/>
    </row>
    <row r="1544" spans="2:3" ht="14.6" x14ac:dyDescent="0.4">
      <c r="B1544" s="4"/>
      <c r="C1544" s="4"/>
    </row>
    <row r="1545" spans="2:3" ht="14.6" x14ac:dyDescent="0.4">
      <c r="B1545" s="4"/>
      <c r="C1545" s="4"/>
    </row>
    <row r="1546" spans="2:3" ht="14.6" x14ac:dyDescent="0.4">
      <c r="B1546" s="4"/>
      <c r="C1546" s="4"/>
    </row>
    <row r="1547" spans="2:3" ht="14.6" x14ac:dyDescent="0.4">
      <c r="B1547" s="4"/>
      <c r="C1547" s="4"/>
    </row>
    <row r="1548" spans="2:3" ht="14.6" x14ac:dyDescent="0.4">
      <c r="B1548" s="4"/>
      <c r="C1548" s="4"/>
    </row>
    <row r="1549" spans="2:3" ht="14.6" x14ac:dyDescent="0.4">
      <c r="B1549" s="4"/>
      <c r="C1549" s="4"/>
    </row>
    <row r="1550" spans="2:3" ht="14.6" x14ac:dyDescent="0.4">
      <c r="B1550" s="4"/>
      <c r="C1550" s="4"/>
    </row>
    <row r="1551" spans="2:3" ht="14.6" x14ac:dyDescent="0.4">
      <c r="B1551" s="4"/>
      <c r="C1551" s="4"/>
    </row>
    <row r="1552" spans="2:3" ht="14.6" x14ac:dyDescent="0.4">
      <c r="B1552" s="4"/>
      <c r="C1552" s="4"/>
    </row>
    <row r="1553" spans="2:3" ht="14.6" x14ac:dyDescent="0.4">
      <c r="B1553" s="4"/>
      <c r="C1553" s="4"/>
    </row>
    <row r="1554" spans="2:3" ht="14.6" x14ac:dyDescent="0.4">
      <c r="B1554" s="4"/>
      <c r="C1554" s="4"/>
    </row>
    <row r="1555" spans="2:3" ht="14.6" x14ac:dyDescent="0.4">
      <c r="B1555" s="4"/>
      <c r="C1555" s="4"/>
    </row>
    <row r="1556" spans="2:3" ht="14.6" x14ac:dyDescent="0.4">
      <c r="B1556" s="4"/>
      <c r="C1556" s="4"/>
    </row>
    <row r="1557" spans="2:3" ht="14.6" x14ac:dyDescent="0.4">
      <c r="B1557" s="4"/>
      <c r="C1557" s="4"/>
    </row>
    <row r="1558" spans="2:3" ht="14.6" x14ac:dyDescent="0.4">
      <c r="B1558" s="4"/>
      <c r="C1558" s="4"/>
    </row>
    <row r="1559" spans="2:3" ht="14.6" x14ac:dyDescent="0.4">
      <c r="B1559" s="4"/>
      <c r="C1559" s="4"/>
    </row>
    <row r="1560" spans="2:3" ht="14.6" x14ac:dyDescent="0.4">
      <c r="B1560" s="4"/>
      <c r="C1560" s="4"/>
    </row>
    <row r="1561" spans="2:3" ht="14.6" x14ac:dyDescent="0.4">
      <c r="B1561" s="4"/>
      <c r="C1561" s="4"/>
    </row>
    <row r="1562" spans="2:3" ht="14.6" x14ac:dyDescent="0.4">
      <c r="B1562" s="4"/>
      <c r="C1562" s="4"/>
    </row>
    <row r="1563" spans="2:3" ht="14.6" x14ac:dyDescent="0.4">
      <c r="B1563" s="4"/>
      <c r="C1563" s="4"/>
    </row>
    <row r="1564" spans="2:3" ht="14.6" x14ac:dyDescent="0.4">
      <c r="B1564" s="4"/>
      <c r="C1564" s="4"/>
    </row>
    <row r="1565" spans="2:3" ht="14.6" x14ac:dyDescent="0.4">
      <c r="B1565" s="4"/>
      <c r="C1565" s="4"/>
    </row>
    <row r="1566" spans="2:3" ht="14.6" x14ac:dyDescent="0.4">
      <c r="B1566" s="4"/>
      <c r="C1566" s="4"/>
    </row>
    <row r="1567" spans="2:3" ht="14.6" x14ac:dyDescent="0.4">
      <c r="B1567" s="4"/>
      <c r="C1567" s="4"/>
    </row>
    <row r="1568" spans="2:3" ht="14.6" x14ac:dyDescent="0.4">
      <c r="B1568" s="4"/>
      <c r="C1568" s="4"/>
    </row>
    <row r="1569" spans="2:3" ht="14.6" x14ac:dyDescent="0.4">
      <c r="B1569" s="4"/>
      <c r="C1569" s="4"/>
    </row>
    <row r="1570" spans="2:3" ht="14.6" x14ac:dyDescent="0.4">
      <c r="B1570" s="4"/>
      <c r="C1570" s="4"/>
    </row>
    <row r="1571" spans="2:3" ht="14.6" x14ac:dyDescent="0.4">
      <c r="B1571" s="4"/>
      <c r="C1571" s="4"/>
    </row>
    <row r="1572" spans="2:3" ht="14.6" x14ac:dyDescent="0.4">
      <c r="B1572" s="4"/>
      <c r="C1572" s="4"/>
    </row>
    <row r="1573" spans="2:3" ht="14.6" x14ac:dyDescent="0.4">
      <c r="B1573" s="4"/>
      <c r="C1573" s="4"/>
    </row>
    <row r="1574" spans="2:3" ht="14.6" x14ac:dyDescent="0.4">
      <c r="B1574" s="4"/>
      <c r="C1574" s="4"/>
    </row>
    <row r="1575" spans="2:3" ht="14.6" x14ac:dyDescent="0.4">
      <c r="B1575" s="4"/>
      <c r="C1575" s="4"/>
    </row>
    <row r="1576" spans="2:3" ht="14.6" x14ac:dyDescent="0.4">
      <c r="B1576" s="4"/>
      <c r="C1576" s="4"/>
    </row>
    <row r="1577" spans="2:3" ht="14.6" x14ac:dyDescent="0.4">
      <c r="B1577" s="4"/>
      <c r="C1577" s="4"/>
    </row>
    <row r="1578" spans="2:3" ht="14.6" x14ac:dyDescent="0.4">
      <c r="B1578" s="4"/>
      <c r="C1578" s="4"/>
    </row>
    <row r="1579" spans="2:3" ht="14.6" x14ac:dyDescent="0.4">
      <c r="B1579" s="4"/>
      <c r="C1579" s="4"/>
    </row>
    <row r="1580" spans="2:3" ht="14.6" x14ac:dyDescent="0.4">
      <c r="B1580" s="4"/>
      <c r="C1580" s="4"/>
    </row>
    <row r="1581" spans="2:3" ht="14.6" x14ac:dyDescent="0.4">
      <c r="B1581" s="4"/>
      <c r="C1581" s="4"/>
    </row>
    <row r="1582" spans="2:3" ht="14.6" x14ac:dyDescent="0.4">
      <c r="B1582" s="4"/>
      <c r="C1582" s="4"/>
    </row>
    <row r="1583" spans="2:3" ht="14.6" x14ac:dyDescent="0.4">
      <c r="B1583" s="4"/>
      <c r="C1583" s="4"/>
    </row>
    <row r="1584" spans="2:3" ht="14.6" x14ac:dyDescent="0.4">
      <c r="B1584" s="4"/>
      <c r="C1584" s="4"/>
    </row>
    <row r="1585" spans="2:3" ht="14.6" x14ac:dyDescent="0.4">
      <c r="B1585" s="4"/>
      <c r="C1585" s="4"/>
    </row>
    <row r="1586" spans="2:3" ht="14.6" x14ac:dyDescent="0.4">
      <c r="B1586" s="4"/>
      <c r="C1586" s="4"/>
    </row>
    <row r="1587" spans="2:3" ht="14.6" x14ac:dyDescent="0.4">
      <c r="B1587" s="4"/>
      <c r="C1587" s="4"/>
    </row>
    <row r="1588" spans="2:3" ht="14.6" x14ac:dyDescent="0.4">
      <c r="B1588" s="4"/>
      <c r="C1588" s="4"/>
    </row>
    <row r="1589" spans="2:3" ht="14.6" x14ac:dyDescent="0.4">
      <c r="B1589" s="4"/>
      <c r="C1589" s="4"/>
    </row>
    <row r="1590" spans="2:3" ht="14.6" x14ac:dyDescent="0.4">
      <c r="B1590" s="4"/>
      <c r="C1590" s="4"/>
    </row>
    <row r="1591" spans="2:3" ht="14.6" x14ac:dyDescent="0.4">
      <c r="B1591" s="4"/>
      <c r="C1591" s="4"/>
    </row>
    <row r="1592" spans="2:3" ht="14.6" x14ac:dyDescent="0.4">
      <c r="B1592" s="4"/>
      <c r="C1592" s="4"/>
    </row>
    <row r="1593" spans="2:3" ht="14.6" x14ac:dyDescent="0.4">
      <c r="B1593" s="4"/>
      <c r="C1593" s="4"/>
    </row>
    <row r="1594" spans="2:3" ht="14.6" x14ac:dyDescent="0.4">
      <c r="B1594" s="4"/>
      <c r="C1594" s="4"/>
    </row>
    <row r="1595" spans="2:3" ht="14.6" x14ac:dyDescent="0.4">
      <c r="B1595" s="4"/>
      <c r="C1595" s="4"/>
    </row>
    <row r="1596" spans="2:3" ht="14.6" x14ac:dyDescent="0.4">
      <c r="B1596" s="4"/>
      <c r="C1596" s="4"/>
    </row>
    <row r="1597" spans="2:3" ht="14.6" x14ac:dyDescent="0.4">
      <c r="B1597" s="4"/>
      <c r="C1597" s="4"/>
    </row>
    <row r="1598" spans="2:3" ht="14.6" x14ac:dyDescent="0.4">
      <c r="B1598" s="4"/>
      <c r="C1598" s="4"/>
    </row>
    <row r="1599" spans="2:3" ht="14.6" x14ac:dyDescent="0.4">
      <c r="B1599" s="4"/>
      <c r="C1599" s="4"/>
    </row>
    <row r="1600" spans="2:3" ht="14.6" x14ac:dyDescent="0.4">
      <c r="B1600" s="4"/>
      <c r="C1600" s="4"/>
    </row>
    <row r="1601" spans="2:3" ht="14.6" x14ac:dyDescent="0.4">
      <c r="B1601" s="4"/>
      <c r="C1601" s="4"/>
    </row>
    <row r="1602" spans="2:3" ht="14.6" x14ac:dyDescent="0.4">
      <c r="B1602" s="4"/>
      <c r="C1602" s="4"/>
    </row>
    <row r="1603" spans="2:3" ht="14.6" x14ac:dyDescent="0.4">
      <c r="B1603" s="4"/>
      <c r="C1603" s="4"/>
    </row>
    <row r="1604" spans="2:3" ht="14.6" x14ac:dyDescent="0.4">
      <c r="B1604" s="4"/>
      <c r="C1604" s="4"/>
    </row>
    <row r="1605" spans="2:3" ht="14.6" x14ac:dyDescent="0.4">
      <c r="B1605" s="4"/>
      <c r="C1605" s="4"/>
    </row>
    <row r="1606" spans="2:3" ht="14.6" x14ac:dyDescent="0.4">
      <c r="B1606" s="4"/>
      <c r="C1606" s="4"/>
    </row>
    <row r="1607" spans="2:3" ht="14.6" x14ac:dyDescent="0.4">
      <c r="B1607" s="4"/>
      <c r="C1607" s="4"/>
    </row>
    <row r="1608" spans="2:3" ht="14.6" x14ac:dyDescent="0.4">
      <c r="B1608" s="4"/>
      <c r="C1608" s="4"/>
    </row>
    <row r="1609" spans="2:3" ht="14.6" x14ac:dyDescent="0.4">
      <c r="B1609" s="4"/>
      <c r="C1609" s="4"/>
    </row>
    <row r="1610" spans="2:3" ht="14.6" x14ac:dyDescent="0.4">
      <c r="B1610" s="4"/>
      <c r="C1610" s="4"/>
    </row>
    <row r="1611" spans="2:3" ht="14.6" x14ac:dyDescent="0.4">
      <c r="B1611" s="4"/>
      <c r="C1611" s="4"/>
    </row>
    <row r="1612" spans="2:3" ht="14.6" x14ac:dyDescent="0.4">
      <c r="B1612" s="4"/>
      <c r="C1612" s="4"/>
    </row>
    <row r="1613" spans="2:3" ht="14.6" x14ac:dyDescent="0.4">
      <c r="B1613" s="4"/>
      <c r="C1613" s="4"/>
    </row>
    <row r="1614" spans="2:3" ht="14.6" x14ac:dyDescent="0.4">
      <c r="B1614" s="4"/>
      <c r="C1614" s="4"/>
    </row>
    <row r="1615" spans="2:3" ht="14.6" x14ac:dyDescent="0.4">
      <c r="B1615" s="4"/>
      <c r="C1615" s="4"/>
    </row>
    <row r="1616" spans="2:3" ht="14.6" x14ac:dyDescent="0.4">
      <c r="B1616" s="4"/>
      <c r="C1616" s="4"/>
    </row>
    <row r="1617" spans="2:3" ht="14.6" x14ac:dyDescent="0.4">
      <c r="B1617" s="4"/>
      <c r="C1617" s="4"/>
    </row>
    <row r="1618" spans="2:3" ht="14.6" x14ac:dyDescent="0.4">
      <c r="B1618" s="4"/>
      <c r="C1618" s="4"/>
    </row>
    <row r="1619" spans="2:3" ht="14.6" x14ac:dyDescent="0.4">
      <c r="B1619" s="4"/>
      <c r="C1619" s="4"/>
    </row>
    <row r="1620" spans="2:3" ht="14.6" x14ac:dyDescent="0.4">
      <c r="B1620" s="4"/>
      <c r="C1620" s="4"/>
    </row>
    <row r="1621" spans="2:3" ht="14.6" x14ac:dyDescent="0.4">
      <c r="B1621" s="4"/>
      <c r="C1621" s="4"/>
    </row>
    <row r="1622" spans="2:3" ht="14.6" x14ac:dyDescent="0.4">
      <c r="B1622" s="4"/>
      <c r="C1622" s="4"/>
    </row>
    <row r="1623" spans="2:3" ht="14.6" x14ac:dyDescent="0.4">
      <c r="B1623" s="4"/>
      <c r="C1623" s="4"/>
    </row>
    <row r="1624" spans="2:3" ht="14.6" x14ac:dyDescent="0.4">
      <c r="B1624" s="4"/>
      <c r="C1624" s="4"/>
    </row>
    <row r="1625" spans="2:3" ht="14.6" x14ac:dyDescent="0.4">
      <c r="B1625" s="4"/>
      <c r="C1625" s="4"/>
    </row>
    <row r="1626" spans="2:3" ht="14.6" x14ac:dyDescent="0.4">
      <c r="B1626" s="4"/>
      <c r="C1626" s="4"/>
    </row>
    <row r="1627" spans="2:3" ht="14.6" x14ac:dyDescent="0.4">
      <c r="B1627" s="4"/>
      <c r="C1627" s="4"/>
    </row>
    <row r="1628" spans="2:3" ht="14.6" x14ac:dyDescent="0.4">
      <c r="B1628" s="4"/>
      <c r="C1628" s="4"/>
    </row>
    <row r="1629" spans="2:3" ht="14.6" x14ac:dyDescent="0.4">
      <c r="B1629" s="4"/>
      <c r="C1629" s="4"/>
    </row>
    <row r="1630" spans="2:3" ht="14.6" x14ac:dyDescent="0.4">
      <c r="B1630" s="4"/>
      <c r="C1630" s="4"/>
    </row>
    <row r="1631" spans="2:3" ht="14.6" x14ac:dyDescent="0.4">
      <c r="B1631" s="4"/>
      <c r="C1631" s="4"/>
    </row>
    <row r="1632" spans="2:3" ht="14.6" x14ac:dyDescent="0.4">
      <c r="B1632" s="4"/>
      <c r="C1632" s="4"/>
    </row>
    <row r="1633" spans="2:3" ht="14.6" x14ac:dyDescent="0.4">
      <c r="B1633" s="4"/>
      <c r="C1633" s="4"/>
    </row>
    <row r="1634" spans="2:3" ht="14.6" x14ac:dyDescent="0.4">
      <c r="B1634" s="4"/>
      <c r="C1634" s="4"/>
    </row>
    <row r="1635" spans="2:3" ht="14.6" x14ac:dyDescent="0.4">
      <c r="B1635" s="4"/>
      <c r="C1635" s="4"/>
    </row>
    <row r="1636" spans="2:3" ht="14.6" x14ac:dyDescent="0.4">
      <c r="B1636" s="4"/>
      <c r="C1636" s="4"/>
    </row>
    <row r="1637" spans="2:3" ht="14.6" x14ac:dyDescent="0.4">
      <c r="B1637" s="4"/>
      <c r="C1637" s="4"/>
    </row>
    <row r="1638" spans="2:3" ht="14.6" x14ac:dyDescent="0.4">
      <c r="B1638" s="4"/>
      <c r="C1638" s="4"/>
    </row>
    <row r="1639" spans="2:3" ht="14.6" x14ac:dyDescent="0.4">
      <c r="B1639" s="4"/>
      <c r="C1639" s="4"/>
    </row>
    <row r="1640" spans="2:3" ht="14.6" x14ac:dyDescent="0.4">
      <c r="B1640" s="4"/>
      <c r="C1640" s="4"/>
    </row>
    <row r="1641" spans="2:3" ht="14.6" x14ac:dyDescent="0.4">
      <c r="B1641" s="4"/>
      <c r="C1641" s="4"/>
    </row>
    <row r="1642" spans="2:3" ht="14.6" x14ac:dyDescent="0.4">
      <c r="B1642" s="4"/>
      <c r="C1642" s="4"/>
    </row>
    <row r="1643" spans="2:3" ht="14.6" x14ac:dyDescent="0.4">
      <c r="B1643" s="4"/>
      <c r="C1643" s="4"/>
    </row>
    <row r="1644" spans="2:3" ht="14.6" x14ac:dyDescent="0.4">
      <c r="B1644" s="4"/>
      <c r="C1644" s="4"/>
    </row>
    <row r="1645" spans="2:3" ht="14.6" x14ac:dyDescent="0.4">
      <c r="B1645" s="4"/>
      <c r="C1645" s="4"/>
    </row>
    <row r="1646" spans="2:3" ht="14.6" x14ac:dyDescent="0.4">
      <c r="B1646" s="4"/>
      <c r="C1646" s="4"/>
    </row>
    <row r="1647" spans="2:3" ht="14.6" x14ac:dyDescent="0.4">
      <c r="B1647" s="4"/>
      <c r="C1647" s="4"/>
    </row>
    <row r="1648" spans="2:3" ht="14.6" x14ac:dyDescent="0.4">
      <c r="B1648" s="4"/>
      <c r="C1648" s="4"/>
    </row>
    <row r="1649" spans="2:3" ht="14.6" x14ac:dyDescent="0.4">
      <c r="B1649" s="4"/>
      <c r="C1649" s="4"/>
    </row>
    <row r="1650" spans="2:3" ht="14.6" x14ac:dyDescent="0.4">
      <c r="B1650" s="4"/>
      <c r="C1650" s="4"/>
    </row>
    <row r="1651" spans="2:3" ht="14.6" x14ac:dyDescent="0.4">
      <c r="B1651" s="4"/>
      <c r="C1651" s="4"/>
    </row>
    <row r="1652" spans="2:3" ht="14.6" x14ac:dyDescent="0.4">
      <c r="B1652" s="4"/>
      <c r="C1652" s="4"/>
    </row>
    <row r="1653" spans="2:3" ht="14.6" x14ac:dyDescent="0.4">
      <c r="B1653" s="4"/>
      <c r="C1653" s="4"/>
    </row>
    <row r="1654" spans="2:3" ht="14.6" x14ac:dyDescent="0.4">
      <c r="B1654" s="4"/>
      <c r="C1654" s="4"/>
    </row>
    <row r="1655" spans="2:3" ht="14.6" x14ac:dyDescent="0.4">
      <c r="B1655" s="4"/>
      <c r="C1655" s="4"/>
    </row>
    <row r="1656" spans="2:3" ht="14.6" x14ac:dyDescent="0.4">
      <c r="B1656" s="4"/>
      <c r="C1656" s="4"/>
    </row>
    <row r="1657" spans="2:3" ht="14.6" x14ac:dyDescent="0.4">
      <c r="B1657" s="4"/>
      <c r="C1657" s="4"/>
    </row>
    <row r="1658" spans="2:3" ht="14.6" x14ac:dyDescent="0.4">
      <c r="B1658" s="4"/>
      <c r="C1658" s="4"/>
    </row>
    <row r="1659" spans="2:3" ht="14.6" x14ac:dyDescent="0.4">
      <c r="B1659" s="4"/>
      <c r="C1659" s="4"/>
    </row>
    <row r="1660" spans="2:3" ht="14.6" x14ac:dyDescent="0.4">
      <c r="B1660" s="4"/>
      <c r="C1660" s="4"/>
    </row>
    <row r="1661" spans="2:3" ht="14.6" x14ac:dyDescent="0.4">
      <c r="B1661" s="4"/>
      <c r="C1661" s="4"/>
    </row>
    <row r="1662" spans="2:3" ht="14.6" x14ac:dyDescent="0.4">
      <c r="B1662" s="4"/>
      <c r="C1662" s="4"/>
    </row>
    <row r="1663" spans="2:3" ht="14.6" x14ac:dyDescent="0.4">
      <c r="B1663" s="4"/>
      <c r="C1663" s="4"/>
    </row>
    <row r="1664" spans="2:3" ht="14.6" x14ac:dyDescent="0.4">
      <c r="B1664" s="4"/>
      <c r="C1664" s="4"/>
    </row>
    <row r="1665" spans="2:3" ht="14.6" x14ac:dyDescent="0.4">
      <c r="B1665" s="4"/>
      <c r="C1665" s="4"/>
    </row>
    <row r="1666" spans="2:3" ht="14.6" x14ac:dyDescent="0.4">
      <c r="B1666" s="4"/>
      <c r="C1666" s="4"/>
    </row>
    <row r="1667" spans="2:3" ht="14.6" x14ac:dyDescent="0.4">
      <c r="B1667" s="4"/>
      <c r="C1667" s="4"/>
    </row>
    <row r="1668" spans="2:3" ht="14.6" x14ac:dyDescent="0.4">
      <c r="B1668" s="4"/>
      <c r="C1668" s="4"/>
    </row>
    <row r="1669" spans="2:3" ht="14.6" x14ac:dyDescent="0.4">
      <c r="B1669" s="4"/>
      <c r="C1669" s="4"/>
    </row>
    <row r="1670" spans="2:3" ht="14.6" x14ac:dyDescent="0.4">
      <c r="B1670" s="4"/>
      <c r="C1670" s="4"/>
    </row>
    <row r="1671" spans="2:3" ht="14.6" x14ac:dyDescent="0.4">
      <c r="B1671" s="4"/>
      <c r="C1671" s="4"/>
    </row>
    <row r="1672" spans="2:3" ht="14.6" x14ac:dyDescent="0.4">
      <c r="B1672" s="4"/>
      <c r="C1672" s="4"/>
    </row>
    <row r="1673" spans="2:3" ht="14.6" x14ac:dyDescent="0.4">
      <c r="B1673" s="4"/>
      <c r="C1673" s="4"/>
    </row>
    <row r="1674" spans="2:3" ht="14.6" x14ac:dyDescent="0.4">
      <c r="B1674" s="4"/>
      <c r="C1674" s="4"/>
    </row>
    <row r="1675" spans="2:3" ht="14.6" x14ac:dyDescent="0.4">
      <c r="B1675" s="4"/>
      <c r="C1675" s="4"/>
    </row>
    <row r="1676" spans="2:3" ht="14.6" x14ac:dyDescent="0.4">
      <c r="B1676" s="4"/>
      <c r="C1676" s="4"/>
    </row>
    <row r="1677" spans="2:3" ht="14.6" x14ac:dyDescent="0.4">
      <c r="B1677" s="4"/>
      <c r="C1677" s="4"/>
    </row>
    <row r="1678" spans="2:3" ht="14.6" x14ac:dyDescent="0.4">
      <c r="B1678" s="4"/>
      <c r="C1678" s="4"/>
    </row>
    <row r="1679" spans="2:3" ht="14.6" x14ac:dyDescent="0.4">
      <c r="B1679" s="4"/>
      <c r="C1679" s="4"/>
    </row>
    <row r="1680" spans="2:3" ht="14.6" x14ac:dyDescent="0.4">
      <c r="B1680" s="4"/>
      <c r="C1680" s="4"/>
    </row>
    <row r="1681" spans="2:3" ht="14.6" x14ac:dyDescent="0.4">
      <c r="B1681" s="4"/>
      <c r="C1681" s="4"/>
    </row>
    <row r="1682" spans="2:3" ht="14.6" x14ac:dyDescent="0.4">
      <c r="B1682" s="4"/>
      <c r="C1682" s="4"/>
    </row>
    <row r="1683" spans="2:3" ht="14.6" x14ac:dyDescent="0.4">
      <c r="B1683" s="4"/>
      <c r="C1683" s="4"/>
    </row>
    <row r="1684" spans="2:3" ht="14.6" x14ac:dyDescent="0.4">
      <c r="B1684" s="4"/>
      <c r="C1684" s="4"/>
    </row>
    <row r="1685" spans="2:3" ht="14.6" x14ac:dyDescent="0.4">
      <c r="B1685" s="4"/>
      <c r="C1685" s="4"/>
    </row>
    <row r="1686" spans="2:3" ht="14.6" x14ac:dyDescent="0.4">
      <c r="B1686" s="4"/>
      <c r="C1686" s="4"/>
    </row>
    <row r="1687" spans="2:3" ht="14.6" x14ac:dyDescent="0.4">
      <c r="B1687" s="4"/>
      <c r="C1687" s="4"/>
    </row>
    <row r="1688" spans="2:3" ht="14.6" x14ac:dyDescent="0.4">
      <c r="B1688" s="4"/>
      <c r="C1688" s="4"/>
    </row>
    <row r="1689" spans="2:3" ht="14.6" x14ac:dyDescent="0.4">
      <c r="B1689" s="4"/>
      <c r="C1689" s="4"/>
    </row>
    <row r="1690" spans="2:3" ht="14.6" x14ac:dyDescent="0.4">
      <c r="B1690" s="4"/>
      <c r="C1690" s="4"/>
    </row>
    <row r="1691" spans="2:3" ht="14.6" x14ac:dyDescent="0.4">
      <c r="B1691" s="4"/>
      <c r="C1691" s="4"/>
    </row>
    <row r="1692" spans="2:3" ht="14.6" x14ac:dyDescent="0.4">
      <c r="B1692" s="4"/>
      <c r="C1692" s="4"/>
    </row>
    <row r="1693" spans="2:3" ht="14.6" x14ac:dyDescent="0.4">
      <c r="B1693" s="4"/>
      <c r="C1693" s="4"/>
    </row>
    <row r="1694" spans="2:3" ht="14.6" x14ac:dyDescent="0.4">
      <c r="B1694" s="4"/>
      <c r="C1694" s="4"/>
    </row>
    <row r="1695" spans="2:3" ht="14.6" x14ac:dyDescent="0.4">
      <c r="B1695" s="4"/>
      <c r="C1695" s="4"/>
    </row>
    <row r="1696" spans="2:3" ht="14.6" x14ac:dyDescent="0.4">
      <c r="B1696" s="4"/>
      <c r="C1696" s="4"/>
    </row>
    <row r="1697" spans="2:3" ht="14.6" x14ac:dyDescent="0.4">
      <c r="B1697" s="4"/>
      <c r="C1697" s="4"/>
    </row>
    <row r="1698" spans="2:3" ht="14.6" x14ac:dyDescent="0.4">
      <c r="B1698" s="4"/>
      <c r="C1698" s="4"/>
    </row>
    <row r="1699" spans="2:3" ht="14.6" x14ac:dyDescent="0.4">
      <c r="B1699" s="4"/>
      <c r="C1699" s="4"/>
    </row>
    <row r="1700" spans="2:3" ht="14.6" x14ac:dyDescent="0.4">
      <c r="B1700" s="4"/>
      <c r="C1700" s="4"/>
    </row>
    <row r="1701" spans="2:3" ht="14.6" x14ac:dyDescent="0.4">
      <c r="B1701" s="4"/>
      <c r="C1701" s="4"/>
    </row>
    <row r="1702" spans="2:3" ht="14.6" x14ac:dyDescent="0.4">
      <c r="B1702" s="4"/>
      <c r="C1702" s="4"/>
    </row>
    <row r="1703" spans="2:3" ht="14.6" x14ac:dyDescent="0.4">
      <c r="B1703" s="4"/>
      <c r="C1703" s="4"/>
    </row>
    <row r="1704" spans="2:3" ht="14.6" x14ac:dyDescent="0.4">
      <c r="B1704" s="4"/>
      <c r="C1704" s="4"/>
    </row>
    <row r="1705" spans="2:3" ht="14.6" x14ac:dyDescent="0.4">
      <c r="B1705" s="4"/>
      <c r="C1705" s="4"/>
    </row>
    <row r="1706" spans="2:3" ht="14.6" x14ac:dyDescent="0.4">
      <c r="B1706" s="4"/>
      <c r="C1706" s="4"/>
    </row>
    <row r="1707" spans="2:3" ht="14.6" x14ac:dyDescent="0.4">
      <c r="B1707" s="4"/>
      <c r="C1707" s="4"/>
    </row>
    <row r="1708" spans="2:3" ht="14.6" x14ac:dyDescent="0.4">
      <c r="B1708" s="4"/>
      <c r="C1708" s="4"/>
    </row>
    <row r="1709" spans="2:3" ht="14.6" x14ac:dyDescent="0.4">
      <c r="B1709" s="4"/>
      <c r="C1709" s="4"/>
    </row>
    <row r="1710" spans="2:3" ht="14.6" x14ac:dyDescent="0.4">
      <c r="B1710" s="4"/>
      <c r="C1710" s="4"/>
    </row>
    <row r="1711" spans="2:3" ht="14.6" x14ac:dyDescent="0.4">
      <c r="B1711" s="4"/>
      <c r="C1711" s="4"/>
    </row>
    <row r="1712" spans="2:3" ht="14.6" x14ac:dyDescent="0.4">
      <c r="B1712" s="4"/>
      <c r="C1712" s="4"/>
    </row>
    <row r="1713" spans="2:3" ht="14.6" x14ac:dyDescent="0.4">
      <c r="B1713" s="4"/>
      <c r="C1713" s="4"/>
    </row>
    <row r="1714" spans="2:3" ht="14.6" x14ac:dyDescent="0.4">
      <c r="B1714" s="4"/>
      <c r="C1714" s="4"/>
    </row>
    <row r="1715" spans="2:3" ht="14.6" x14ac:dyDescent="0.4">
      <c r="B1715" s="4"/>
      <c r="C1715" s="4"/>
    </row>
    <row r="1716" spans="2:3" ht="14.6" x14ac:dyDescent="0.4">
      <c r="B1716" s="4"/>
      <c r="C1716" s="4"/>
    </row>
    <row r="1717" spans="2:3" ht="14.6" x14ac:dyDescent="0.4">
      <c r="B1717" s="4"/>
      <c r="C1717" s="4"/>
    </row>
    <row r="1718" spans="2:3" ht="14.6" x14ac:dyDescent="0.4">
      <c r="B1718" s="4"/>
      <c r="C1718" s="4"/>
    </row>
    <row r="1719" spans="2:3" ht="14.6" x14ac:dyDescent="0.4">
      <c r="B1719" s="4"/>
      <c r="C1719" s="4"/>
    </row>
    <row r="1720" spans="2:3" ht="14.6" x14ac:dyDescent="0.4">
      <c r="B1720" s="4"/>
      <c r="C1720" s="4"/>
    </row>
    <row r="1721" spans="2:3" ht="14.6" x14ac:dyDescent="0.4">
      <c r="B1721" s="4"/>
      <c r="C1721" s="4"/>
    </row>
    <row r="1722" spans="2:3" ht="14.6" x14ac:dyDescent="0.4">
      <c r="B1722" s="4"/>
      <c r="C1722" s="4"/>
    </row>
    <row r="1723" spans="2:3" ht="14.6" x14ac:dyDescent="0.4">
      <c r="B1723" s="4"/>
      <c r="C1723" s="4"/>
    </row>
    <row r="1724" spans="2:3" ht="14.6" x14ac:dyDescent="0.4">
      <c r="B1724" s="4"/>
      <c r="C1724" s="4"/>
    </row>
    <row r="1725" spans="2:3" ht="14.6" x14ac:dyDescent="0.4">
      <c r="B1725" s="4"/>
      <c r="C1725" s="4"/>
    </row>
    <row r="1726" spans="2:3" ht="14.6" x14ac:dyDescent="0.4">
      <c r="B1726" s="4"/>
      <c r="C1726" s="4"/>
    </row>
    <row r="1727" spans="2:3" ht="14.6" x14ac:dyDescent="0.4">
      <c r="B1727" s="4"/>
      <c r="C1727" s="4"/>
    </row>
    <row r="1728" spans="2:3" ht="14.6" x14ac:dyDescent="0.4">
      <c r="B1728" s="4"/>
      <c r="C1728" s="4"/>
    </row>
    <row r="1729" spans="2:3" ht="14.6" x14ac:dyDescent="0.4">
      <c r="B1729" s="4"/>
      <c r="C1729" s="4"/>
    </row>
    <row r="1730" spans="2:3" ht="14.6" x14ac:dyDescent="0.4">
      <c r="B1730" s="4"/>
      <c r="C1730" s="4"/>
    </row>
    <row r="1731" spans="2:3" ht="14.6" x14ac:dyDescent="0.4">
      <c r="B1731" s="4"/>
      <c r="C1731" s="4"/>
    </row>
    <row r="1732" spans="2:3" ht="14.6" x14ac:dyDescent="0.4">
      <c r="B1732" s="4"/>
      <c r="C1732" s="4"/>
    </row>
    <row r="1733" spans="2:3" ht="14.6" x14ac:dyDescent="0.4">
      <c r="B1733" s="4"/>
      <c r="C1733" s="4"/>
    </row>
    <row r="1734" spans="2:3" ht="14.6" x14ac:dyDescent="0.4">
      <c r="B1734" s="4"/>
      <c r="C1734" s="4"/>
    </row>
    <row r="1735" spans="2:3" ht="14.6" x14ac:dyDescent="0.4">
      <c r="B1735" s="4"/>
      <c r="C1735" s="4"/>
    </row>
    <row r="1736" spans="2:3" ht="14.6" x14ac:dyDescent="0.4">
      <c r="B1736" s="4"/>
      <c r="C1736" s="4"/>
    </row>
    <row r="1737" spans="2:3" ht="14.6" x14ac:dyDescent="0.4">
      <c r="B1737" s="4"/>
      <c r="C1737" s="4"/>
    </row>
    <row r="1738" spans="2:3" ht="14.6" x14ac:dyDescent="0.4">
      <c r="B1738" s="4"/>
      <c r="C1738" s="4"/>
    </row>
    <row r="1739" spans="2:3" ht="14.6" x14ac:dyDescent="0.4">
      <c r="B1739" s="4"/>
      <c r="C1739" s="4"/>
    </row>
    <row r="1740" spans="2:3" ht="14.6" x14ac:dyDescent="0.4">
      <c r="B1740" s="4"/>
      <c r="C1740" s="4"/>
    </row>
    <row r="1741" spans="2:3" ht="14.6" x14ac:dyDescent="0.4">
      <c r="B1741" s="4"/>
      <c r="C1741" s="4"/>
    </row>
    <row r="1742" spans="2:3" ht="14.6" x14ac:dyDescent="0.4">
      <c r="B1742" s="4"/>
      <c r="C1742" s="4"/>
    </row>
    <row r="1743" spans="2:3" ht="14.6" x14ac:dyDescent="0.4">
      <c r="B1743" s="4"/>
      <c r="C1743" s="4"/>
    </row>
    <row r="1744" spans="2:3" ht="14.6" x14ac:dyDescent="0.4">
      <c r="B1744" s="4"/>
      <c r="C1744" s="4"/>
    </row>
    <row r="1745" spans="2:3" ht="14.6" x14ac:dyDescent="0.4">
      <c r="B1745" s="4"/>
      <c r="C1745" s="4"/>
    </row>
    <row r="1746" spans="2:3" ht="14.6" x14ac:dyDescent="0.4">
      <c r="B1746" s="4"/>
      <c r="C1746" s="4"/>
    </row>
    <row r="1747" spans="2:3" ht="14.6" x14ac:dyDescent="0.4">
      <c r="B1747" s="4"/>
      <c r="C1747" s="4"/>
    </row>
    <row r="1748" spans="2:3" ht="14.6" x14ac:dyDescent="0.4">
      <c r="B1748" s="4"/>
      <c r="C1748" s="4"/>
    </row>
    <row r="1749" spans="2:3" ht="14.6" x14ac:dyDescent="0.4">
      <c r="B1749" s="4"/>
      <c r="C1749" s="4"/>
    </row>
    <row r="1750" spans="2:3" ht="14.6" x14ac:dyDescent="0.4">
      <c r="B1750" s="4"/>
      <c r="C1750" s="4"/>
    </row>
    <row r="1751" spans="2:3" ht="14.6" x14ac:dyDescent="0.4">
      <c r="B1751" s="4"/>
      <c r="C1751" s="4"/>
    </row>
    <row r="1752" spans="2:3" ht="14.6" x14ac:dyDescent="0.4">
      <c r="B1752" s="4"/>
      <c r="C1752" s="4"/>
    </row>
    <row r="1753" spans="2:3" ht="14.6" x14ac:dyDescent="0.4">
      <c r="B1753" s="4"/>
      <c r="C1753" s="4"/>
    </row>
    <row r="1754" spans="2:3" ht="14.6" x14ac:dyDescent="0.4">
      <c r="B1754" s="4"/>
      <c r="C1754" s="4"/>
    </row>
    <row r="1755" spans="2:3" ht="14.6" x14ac:dyDescent="0.4">
      <c r="B1755" s="4"/>
      <c r="C1755" s="4"/>
    </row>
    <row r="1756" spans="2:3" ht="14.6" x14ac:dyDescent="0.4">
      <c r="B1756" s="4"/>
      <c r="C1756" s="4"/>
    </row>
    <row r="1757" spans="2:3" ht="14.6" x14ac:dyDescent="0.4">
      <c r="B1757" s="4"/>
      <c r="C1757" s="4"/>
    </row>
    <row r="1758" spans="2:3" ht="14.6" x14ac:dyDescent="0.4">
      <c r="B1758" s="4"/>
      <c r="C1758" s="4"/>
    </row>
    <row r="1759" spans="2:3" ht="14.6" x14ac:dyDescent="0.4">
      <c r="B1759" s="4"/>
      <c r="C1759" s="4"/>
    </row>
    <row r="1760" spans="2:3" ht="14.6" x14ac:dyDescent="0.4">
      <c r="B1760" s="4"/>
      <c r="C1760" s="4"/>
    </row>
    <row r="1761" spans="2:3" ht="14.6" x14ac:dyDescent="0.4">
      <c r="B1761" s="4"/>
      <c r="C1761" s="4"/>
    </row>
    <row r="1762" spans="2:3" ht="14.6" x14ac:dyDescent="0.4">
      <c r="B1762" s="4"/>
      <c r="C1762" s="4"/>
    </row>
    <row r="1763" spans="2:3" ht="14.6" x14ac:dyDescent="0.4">
      <c r="B1763" s="4"/>
      <c r="C1763" s="4"/>
    </row>
    <row r="1764" spans="2:3" ht="14.6" x14ac:dyDescent="0.4">
      <c r="B1764" s="4"/>
      <c r="C1764" s="4"/>
    </row>
    <row r="1765" spans="2:3" ht="14.6" x14ac:dyDescent="0.4">
      <c r="B1765" s="4"/>
      <c r="C1765" s="4"/>
    </row>
    <row r="1766" spans="2:3" ht="14.6" x14ac:dyDescent="0.4">
      <c r="B1766" s="4"/>
      <c r="C1766" s="4"/>
    </row>
    <row r="1767" spans="2:3" ht="14.6" x14ac:dyDescent="0.4">
      <c r="B1767" s="4"/>
      <c r="C1767" s="4"/>
    </row>
    <row r="1768" spans="2:3" ht="14.6" x14ac:dyDescent="0.4">
      <c r="B1768" s="4"/>
      <c r="C1768" s="4"/>
    </row>
    <row r="1769" spans="2:3" ht="14.6" x14ac:dyDescent="0.4">
      <c r="B1769" s="4"/>
      <c r="C1769" s="4"/>
    </row>
    <row r="1770" spans="2:3" ht="14.6" x14ac:dyDescent="0.4">
      <c r="B1770" s="4"/>
      <c r="C1770" s="4"/>
    </row>
    <row r="1771" spans="2:3" ht="14.6" x14ac:dyDescent="0.4">
      <c r="B1771" s="4"/>
      <c r="C1771" s="4"/>
    </row>
    <row r="1772" spans="2:3" ht="14.6" x14ac:dyDescent="0.4">
      <c r="B1772" s="4"/>
      <c r="C1772" s="4"/>
    </row>
    <row r="1773" spans="2:3" ht="14.6" x14ac:dyDescent="0.4">
      <c r="B1773" s="4"/>
      <c r="C1773" s="4"/>
    </row>
    <row r="1774" spans="2:3" ht="14.6" x14ac:dyDescent="0.4">
      <c r="B1774" s="4"/>
      <c r="C1774" s="4"/>
    </row>
    <row r="1775" spans="2:3" ht="14.6" x14ac:dyDescent="0.4">
      <c r="B1775" s="4"/>
      <c r="C1775" s="4"/>
    </row>
    <row r="1776" spans="2:3" ht="14.6" x14ac:dyDescent="0.4">
      <c r="B1776" s="4"/>
      <c r="C1776" s="4"/>
    </row>
    <row r="1777" spans="2:3" ht="14.6" x14ac:dyDescent="0.4">
      <c r="B1777" s="4"/>
      <c r="C1777" s="4"/>
    </row>
    <row r="1778" spans="2:3" ht="14.6" x14ac:dyDescent="0.4">
      <c r="B1778" s="4"/>
      <c r="C1778" s="4"/>
    </row>
    <row r="1779" spans="2:3" ht="14.6" x14ac:dyDescent="0.4">
      <c r="B1779" s="4"/>
      <c r="C1779" s="4"/>
    </row>
    <row r="1780" spans="2:3" ht="14.6" x14ac:dyDescent="0.4">
      <c r="B1780" s="4"/>
      <c r="C1780" s="4"/>
    </row>
    <row r="1781" spans="2:3" ht="14.6" x14ac:dyDescent="0.4">
      <c r="B1781" s="4"/>
      <c r="C1781" s="4"/>
    </row>
    <row r="1782" spans="2:3" ht="14.6" x14ac:dyDescent="0.4">
      <c r="B1782" s="4"/>
      <c r="C1782" s="4"/>
    </row>
    <row r="1783" spans="2:3" ht="14.6" x14ac:dyDescent="0.4">
      <c r="B1783" s="4"/>
      <c r="C1783" s="4"/>
    </row>
    <row r="1784" spans="2:3" ht="14.6" x14ac:dyDescent="0.4">
      <c r="B1784" s="4"/>
      <c r="C1784" s="4"/>
    </row>
    <row r="1785" spans="2:3" ht="14.6" x14ac:dyDescent="0.4">
      <c r="B1785" s="4"/>
      <c r="C1785" s="4"/>
    </row>
    <row r="1786" spans="2:3" ht="14.6" x14ac:dyDescent="0.4">
      <c r="B1786" s="4"/>
      <c r="C1786" s="4"/>
    </row>
    <row r="1787" spans="2:3" ht="14.6" x14ac:dyDescent="0.4">
      <c r="B1787" s="4"/>
      <c r="C1787" s="4"/>
    </row>
    <row r="1788" spans="2:3" ht="14.6" x14ac:dyDescent="0.4">
      <c r="B1788" s="4"/>
      <c r="C1788" s="4"/>
    </row>
    <row r="1789" spans="2:3" ht="14.6" x14ac:dyDescent="0.4">
      <c r="B1789" s="4"/>
      <c r="C1789" s="4"/>
    </row>
    <row r="1790" spans="2:3" ht="14.6" x14ac:dyDescent="0.4">
      <c r="B1790" s="4"/>
      <c r="C1790" s="4"/>
    </row>
    <row r="1791" spans="2:3" ht="14.6" x14ac:dyDescent="0.4">
      <c r="B1791" s="4"/>
      <c r="C1791" s="4"/>
    </row>
    <row r="1792" spans="2:3" ht="14.6" x14ac:dyDescent="0.4">
      <c r="B1792" s="4"/>
      <c r="C1792" s="4"/>
    </row>
    <row r="1793" spans="2:3" ht="14.6" x14ac:dyDescent="0.4">
      <c r="B1793" s="4"/>
      <c r="C1793" s="4"/>
    </row>
    <row r="1794" spans="2:3" ht="14.6" x14ac:dyDescent="0.4">
      <c r="B1794" s="4"/>
      <c r="C1794" s="4"/>
    </row>
    <row r="1795" spans="2:3" ht="14.6" x14ac:dyDescent="0.4">
      <c r="B1795" s="4"/>
      <c r="C1795" s="4"/>
    </row>
    <row r="1796" spans="2:3" ht="14.6" x14ac:dyDescent="0.4">
      <c r="B1796" s="4"/>
      <c r="C1796" s="4"/>
    </row>
    <row r="1797" spans="2:3" ht="14.6" x14ac:dyDescent="0.4">
      <c r="B1797" s="4"/>
      <c r="C1797" s="4"/>
    </row>
    <row r="1798" spans="2:3" ht="14.6" x14ac:dyDescent="0.4">
      <c r="B1798" s="4"/>
      <c r="C1798" s="4"/>
    </row>
    <row r="1799" spans="2:3" ht="14.6" x14ac:dyDescent="0.4">
      <c r="B1799" s="4"/>
      <c r="C1799" s="4"/>
    </row>
    <row r="1800" spans="2:3" ht="14.6" x14ac:dyDescent="0.4">
      <c r="B1800" s="4"/>
      <c r="C1800" s="4"/>
    </row>
    <row r="1801" spans="2:3" ht="14.6" x14ac:dyDescent="0.4">
      <c r="B1801" s="4"/>
      <c r="C1801" s="4"/>
    </row>
    <row r="1802" spans="2:3" ht="14.6" x14ac:dyDescent="0.4">
      <c r="B1802" s="4"/>
      <c r="C1802" s="4"/>
    </row>
    <row r="1803" spans="2:3" ht="14.6" x14ac:dyDescent="0.4">
      <c r="B1803" s="4"/>
      <c r="C1803" s="4"/>
    </row>
    <row r="1804" spans="2:3" ht="14.6" x14ac:dyDescent="0.4">
      <c r="B1804" s="4"/>
      <c r="C1804" s="4"/>
    </row>
    <row r="1805" spans="2:3" ht="14.6" x14ac:dyDescent="0.4">
      <c r="B1805" s="4"/>
      <c r="C1805" s="4"/>
    </row>
    <row r="1806" spans="2:3" ht="14.6" x14ac:dyDescent="0.4">
      <c r="B1806" s="4"/>
      <c r="C1806" s="4"/>
    </row>
    <row r="1807" spans="2:3" ht="14.6" x14ac:dyDescent="0.4">
      <c r="B1807" s="4"/>
      <c r="C1807" s="4"/>
    </row>
    <row r="1808" spans="2:3" ht="14.6" x14ac:dyDescent="0.4">
      <c r="B1808" s="4"/>
      <c r="C1808" s="4"/>
    </row>
    <row r="1809" spans="2:3" ht="14.6" x14ac:dyDescent="0.4">
      <c r="B1809" s="4"/>
      <c r="C1809" s="4"/>
    </row>
    <row r="1810" spans="2:3" ht="14.6" x14ac:dyDescent="0.4">
      <c r="B1810" s="4"/>
      <c r="C1810" s="4"/>
    </row>
    <row r="1811" spans="2:3" ht="14.6" x14ac:dyDescent="0.4">
      <c r="B1811" s="4"/>
      <c r="C1811" s="4"/>
    </row>
    <row r="1812" spans="2:3" ht="14.6" x14ac:dyDescent="0.4">
      <c r="B1812" s="4"/>
      <c r="C1812" s="4"/>
    </row>
    <row r="1813" spans="2:3" ht="14.6" x14ac:dyDescent="0.4">
      <c r="B1813" s="4"/>
      <c r="C1813" s="4"/>
    </row>
    <row r="1814" spans="2:3" ht="14.6" x14ac:dyDescent="0.4">
      <c r="B1814" s="4"/>
      <c r="C1814" s="4"/>
    </row>
    <row r="1815" spans="2:3" ht="14.6" x14ac:dyDescent="0.4">
      <c r="B1815" s="4"/>
      <c r="C1815" s="4"/>
    </row>
    <row r="1816" spans="2:3" ht="14.6" x14ac:dyDescent="0.4">
      <c r="B1816" s="4"/>
      <c r="C1816" s="4"/>
    </row>
    <row r="1817" spans="2:3" ht="14.6" x14ac:dyDescent="0.4">
      <c r="B1817" s="4"/>
      <c r="C1817" s="4"/>
    </row>
    <row r="1818" spans="2:3" ht="14.6" x14ac:dyDescent="0.4">
      <c r="B1818" s="4"/>
      <c r="C1818" s="4"/>
    </row>
    <row r="1819" spans="2:3" ht="14.6" x14ac:dyDescent="0.4">
      <c r="B1819" s="4"/>
      <c r="C1819" s="4"/>
    </row>
    <row r="1820" spans="2:3" ht="14.6" x14ac:dyDescent="0.4">
      <c r="B1820" s="4"/>
      <c r="C1820" s="4"/>
    </row>
    <row r="1821" spans="2:3" ht="14.6" x14ac:dyDescent="0.4">
      <c r="B1821" s="4"/>
      <c r="C1821" s="4"/>
    </row>
    <row r="1822" spans="2:3" ht="14.6" x14ac:dyDescent="0.4">
      <c r="B1822" s="4"/>
      <c r="C1822" s="4"/>
    </row>
    <row r="1823" spans="2:3" ht="14.6" x14ac:dyDescent="0.4">
      <c r="B1823" s="4"/>
      <c r="C1823" s="4"/>
    </row>
    <row r="1824" spans="2:3" ht="14.6" x14ac:dyDescent="0.4">
      <c r="B1824" s="4"/>
      <c r="C1824" s="4"/>
    </row>
    <row r="1825" spans="2:3" ht="14.6" x14ac:dyDescent="0.4">
      <c r="B1825" s="4"/>
      <c r="C1825" s="4"/>
    </row>
    <row r="1826" spans="2:3" ht="14.6" x14ac:dyDescent="0.4">
      <c r="B1826" s="4"/>
      <c r="C1826" s="4"/>
    </row>
    <row r="1827" spans="2:3" ht="14.6" x14ac:dyDescent="0.4">
      <c r="B1827" s="4"/>
      <c r="C1827" s="4"/>
    </row>
    <row r="1828" spans="2:3" ht="14.6" x14ac:dyDescent="0.4">
      <c r="B1828" s="4"/>
      <c r="C1828" s="4"/>
    </row>
    <row r="1829" spans="2:3" ht="14.6" x14ac:dyDescent="0.4">
      <c r="B1829" s="4"/>
      <c r="C1829" s="4"/>
    </row>
    <row r="1830" spans="2:3" ht="14.6" x14ac:dyDescent="0.4">
      <c r="B1830" s="4"/>
      <c r="C1830" s="4"/>
    </row>
    <row r="1831" spans="2:3" ht="14.6" x14ac:dyDescent="0.4">
      <c r="B1831" s="4"/>
      <c r="C1831" s="4"/>
    </row>
    <row r="1832" spans="2:3" ht="14.6" x14ac:dyDescent="0.4">
      <c r="B1832" s="4"/>
      <c r="C1832" s="4"/>
    </row>
    <row r="1833" spans="2:3" ht="14.6" x14ac:dyDescent="0.4">
      <c r="B1833" s="4"/>
      <c r="C1833" s="4"/>
    </row>
    <row r="1834" spans="2:3" ht="14.6" x14ac:dyDescent="0.4">
      <c r="B1834" s="4"/>
      <c r="C1834" s="4"/>
    </row>
    <row r="1835" spans="2:3" ht="14.6" x14ac:dyDescent="0.4">
      <c r="B1835" s="4"/>
      <c r="C1835" s="4"/>
    </row>
    <row r="1836" spans="2:3" ht="14.6" x14ac:dyDescent="0.4">
      <c r="B1836" s="4"/>
      <c r="C1836" s="4"/>
    </row>
    <row r="1837" spans="2:3" ht="14.6" x14ac:dyDescent="0.4">
      <c r="B1837" s="4"/>
      <c r="C1837" s="4"/>
    </row>
    <row r="1838" spans="2:3" ht="14.6" x14ac:dyDescent="0.4">
      <c r="B1838" s="4"/>
      <c r="C1838" s="4"/>
    </row>
    <row r="1839" spans="2:3" ht="14.6" x14ac:dyDescent="0.4">
      <c r="B1839" s="4"/>
      <c r="C1839" s="4"/>
    </row>
    <row r="1840" spans="2:3" ht="14.6" x14ac:dyDescent="0.4">
      <c r="B1840" s="4"/>
      <c r="C1840" s="4"/>
    </row>
    <row r="1841" spans="2:3" ht="14.6" x14ac:dyDescent="0.4">
      <c r="B1841" s="4"/>
      <c r="C1841" s="4"/>
    </row>
    <row r="1842" spans="2:3" ht="14.6" x14ac:dyDescent="0.4">
      <c r="B1842" s="4"/>
      <c r="C1842" s="4"/>
    </row>
    <row r="1843" spans="2:3" ht="14.6" x14ac:dyDescent="0.4">
      <c r="B1843" s="4"/>
      <c r="C1843" s="4"/>
    </row>
    <row r="1844" spans="2:3" ht="14.6" x14ac:dyDescent="0.4">
      <c r="B1844" s="4"/>
      <c r="C1844" s="4"/>
    </row>
    <row r="1845" spans="2:3" ht="14.6" x14ac:dyDescent="0.4">
      <c r="B1845" s="4"/>
      <c r="C1845" s="4"/>
    </row>
    <row r="1846" spans="2:3" ht="14.6" x14ac:dyDescent="0.4">
      <c r="B1846" s="4"/>
      <c r="C1846" s="4"/>
    </row>
    <row r="1847" spans="2:3" ht="14.6" x14ac:dyDescent="0.4">
      <c r="B1847" s="4"/>
      <c r="C1847" s="4"/>
    </row>
    <row r="1848" spans="2:3" ht="14.6" x14ac:dyDescent="0.4">
      <c r="B1848" s="4"/>
      <c r="C1848" s="4"/>
    </row>
    <row r="1849" spans="2:3" ht="14.6" x14ac:dyDescent="0.4">
      <c r="B1849" s="4"/>
      <c r="C1849" s="4"/>
    </row>
    <row r="1850" spans="2:3" ht="14.6" x14ac:dyDescent="0.4">
      <c r="B1850" s="4"/>
      <c r="C1850" s="4"/>
    </row>
    <row r="1851" spans="2:3" ht="14.6" x14ac:dyDescent="0.4">
      <c r="B1851" s="4"/>
      <c r="C1851" s="4"/>
    </row>
    <row r="1852" spans="2:3" ht="14.6" x14ac:dyDescent="0.4">
      <c r="B1852" s="4"/>
      <c r="C1852" s="4"/>
    </row>
    <row r="1853" spans="2:3" ht="14.6" x14ac:dyDescent="0.4">
      <c r="B1853" s="4"/>
      <c r="C1853" s="4"/>
    </row>
    <row r="1854" spans="2:3" ht="14.6" x14ac:dyDescent="0.4">
      <c r="B1854" s="4"/>
      <c r="C1854" s="4"/>
    </row>
    <row r="1855" spans="2:3" ht="14.6" x14ac:dyDescent="0.4">
      <c r="B1855" s="4"/>
      <c r="C1855" s="4"/>
    </row>
    <row r="1856" spans="2:3" ht="14.6" x14ac:dyDescent="0.4">
      <c r="B1856" s="4"/>
      <c r="C1856" s="4"/>
    </row>
    <row r="1857" spans="2:3" ht="14.6" x14ac:dyDescent="0.4">
      <c r="B1857" s="4"/>
      <c r="C1857" s="4"/>
    </row>
    <row r="1858" spans="2:3" ht="14.6" x14ac:dyDescent="0.4">
      <c r="B1858" s="4"/>
      <c r="C1858" s="4"/>
    </row>
    <row r="1859" spans="2:3" ht="14.6" x14ac:dyDescent="0.4">
      <c r="B1859" s="4"/>
      <c r="C1859" s="4"/>
    </row>
    <row r="1860" spans="2:3" ht="14.6" x14ac:dyDescent="0.4">
      <c r="B1860" s="4"/>
      <c r="C1860" s="4"/>
    </row>
    <row r="1861" spans="2:3" ht="14.6" x14ac:dyDescent="0.4">
      <c r="B1861" s="4"/>
      <c r="C1861" s="4"/>
    </row>
    <row r="1862" spans="2:3" ht="14.6" x14ac:dyDescent="0.4">
      <c r="B1862" s="4"/>
      <c r="C1862" s="4"/>
    </row>
    <row r="1863" spans="2:3" ht="14.6" x14ac:dyDescent="0.4">
      <c r="B1863" s="4"/>
      <c r="C1863" s="4"/>
    </row>
    <row r="1864" spans="2:3" ht="14.6" x14ac:dyDescent="0.4">
      <c r="B1864" s="4"/>
      <c r="C1864" s="4"/>
    </row>
    <row r="1865" spans="2:3" ht="14.6" x14ac:dyDescent="0.4">
      <c r="B1865" s="4"/>
      <c r="C1865" s="4"/>
    </row>
    <row r="1866" spans="2:3" ht="14.6" x14ac:dyDescent="0.4">
      <c r="B1866" s="4"/>
      <c r="C1866" s="4"/>
    </row>
    <row r="1867" spans="2:3" ht="14.6" x14ac:dyDescent="0.4">
      <c r="B1867" s="4"/>
      <c r="C1867" s="4"/>
    </row>
    <row r="1868" spans="2:3" ht="14.6" x14ac:dyDescent="0.4">
      <c r="B1868" s="4"/>
      <c r="C1868" s="4"/>
    </row>
    <row r="1869" spans="2:3" ht="14.6" x14ac:dyDescent="0.4">
      <c r="B1869" s="4"/>
      <c r="C1869" s="4"/>
    </row>
    <row r="1870" spans="2:3" ht="14.6" x14ac:dyDescent="0.4">
      <c r="B1870" s="4"/>
      <c r="C1870" s="4"/>
    </row>
    <row r="1871" spans="2:3" ht="14.6" x14ac:dyDescent="0.4">
      <c r="B1871" s="4"/>
      <c r="C1871" s="4"/>
    </row>
    <row r="1872" spans="2:3" ht="14.6" x14ac:dyDescent="0.4">
      <c r="B1872" s="4"/>
      <c r="C1872" s="4"/>
    </row>
    <row r="1873" spans="2:3" ht="14.6" x14ac:dyDescent="0.4">
      <c r="B1873" s="4"/>
      <c r="C1873" s="4"/>
    </row>
    <row r="1874" spans="2:3" ht="14.6" x14ac:dyDescent="0.4">
      <c r="B1874" s="4"/>
      <c r="C1874" s="4"/>
    </row>
    <row r="1875" spans="2:3" ht="14.6" x14ac:dyDescent="0.4">
      <c r="B1875" s="4"/>
      <c r="C1875" s="4"/>
    </row>
    <row r="1876" spans="2:3" ht="14.6" x14ac:dyDescent="0.4">
      <c r="B1876" s="4"/>
      <c r="C1876" s="4"/>
    </row>
    <row r="1877" spans="2:3" ht="14.6" x14ac:dyDescent="0.4">
      <c r="B1877" s="4"/>
      <c r="C1877" s="4"/>
    </row>
    <row r="1878" spans="2:3" ht="14.6" x14ac:dyDescent="0.4">
      <c r="B1878" s="4"/>
      <c r="C1878" s="4"/>
    </row>
    <row r="1879" spans="2:3" ht="14.6" x14ac:dyDescent="0.4">
      <c r="B1879" s="4"/>
      <c r="C1879" s="4"/>
    </row>
    <row r="1880" spans="2:3" ht="14.6" x14ac:dyDescent="0.4">
      <c r="B1880" s="4"/>
      <c r="C1880" s="4"/>
    </row>
    <row r="1881" spans="2:3" ht="14.6" x14ac:dyDescent="0.4">
      <c r="B1881" s="4"/>
      <c r="C1881" s="4"/>
    </row>
    <row r="1882" spans="2:3" ht="14.6" x14ac:dyDescent="0.4">
      <c r="B1882" s="4"/>
      <c r="C1882" s="4"/>
    </row>
    <row r="1883" spans="2:3" ht="14.6" x14ac:dyDescent="0.4">
      <c r="B1883" s="4"/>
      <c r="C1883" s="4"/>
    </row>
    <row r="1884" spans="2:3" ht="14.6" x14ac:dyDescent="0.4">
      <c r="B1884" s="4"/>
      <c r="C1884" s="4"/>
    </row>
    <row r="1885" spans="2:3" ht="14.6" x14ac:dyDescent="0.4">
      <c r="B1885" s="4"/>
      <c r="C1885" s="4"/>
    </row>
    <row r="1886" spans="2:3" ht="14.6" x14ac:dyDescent="0.4">
      <c r="B1886" s="4"/>
      <c r="C1886" s="4"/>
    </row>
    <row r="1887" spans="2:3" ht="14.6" x14ac:dyDescent="0.4">
      <c r="B1887" s="4"/>
      <c r="C1887" s="4"/>
    </row>
    <row r="1888" spans="2:3" ht="14.6" x14ac:dyDescent="0.4">
      <c r="B1888" s="4"/>
      <c r="C1888" s="4"/>
    </row>
    <row r="1889" spans="2:3" ht="14.6" x14ac:dyDescent="0.4">
      <c r="B1889" s="4"/>
      <c r="C1889" s="4"/>
    </row>
    <row r="1890" spans="2:3" ht="14.6" x14ac:dyDescent="0.4">
      <c r="B1890" s="4"/>
      <c r="C1890" s="4"/>
    </row>
    <row r="1891" spans="2:3" ht="14.6" x14ac:dyDescent="0.4">
      <c r="B1891" s="4"/>
      <c r="C1891" s="4"/>
    </row>
    <row r="1892" spans="2:3" ht="14.6" x14ac:dyDescent="0.4">
      <c r="B1892" s="4"/>
      <c r="C1892" s="4"/>
    </row>
    <row r="1893" spans="2:3" ht="14.6" x14ac:dyDescent="0.4">
      <c r="B1893" s="4"/>
      <c r="C1893" s="4"/>
    </row>
    <row r="1894" spans="2:3" ht="14.6" x14ac:dyDescent="0.4">
      <c r="B1894" s="4"/>
      <c r="C1894" s="4"/>
    </row>
    <row r="1895" spans="2:3" ht="14.6" x14ac:dyDescent="0.4">
      <c r="B1895" s="4"/>
      <c r="C1895" s="4"/>
    </row>
    <row r="1896" spans="2:3" ht="14.6" x14ac:dyDescent="0.4">
      <c r="B1896" s="4"/>
      <c r="C1896" s="4"/>
    </row>
    <row r="1897" spans="2:3" ht="14.6" x14ac:dyDescent="0.4">
      <c r="B1897" s="4"/>
      <c r="C1897" s="4"/>
    </row>
    <row r="1898" spans="2:3" ht="14.6" x14ac:dyDescent="0.4">
      <c r="B1898" s="4"/>
      <c r="C1898" s="4"/>
    </row>
    <row r="1899" spans="2:3" ht="14.6" x14ac:dyDescent="0.4">
      <c r="B1899" s="4"/>
      <c r="C1899" s="4"/>
    </row>
    <row r="1900" spans="2:3" ht="14.6" x14ac:dyDescent="0.4">
      <c r="B1900" s="4"/>
      <c r="C1900" s="4"/>
    </row>
    <row r="1901" spans="2:3" ht="14.6" x14ac:dyDescent="0.4">
      <c r="B1901" s="4"/>
      <c r="C1901" s="4"/>
    </row>
    <row r="1902" spans="2:3" ht="14.6" x14ac:dyDescent="0.4">
      <c r="B1902" s="4"/>
      <c r="C1902" s="4"/>
    </row>
    <row r="1903" spans="2:3" ht="14.6" x14ac:dyDescent="0.4">
      <c r="B1903" s="4"/>
      <c r="C1903" s="4"/>
    </row>
    <row r="1904" spans="2:3" ht="14.6" x14ac:dyDescent="0.4">
      <c r="B1904" s="4"/>
      <c r="C1904" s="4"/>
    </row>
    <row r="1905" spans="2:3" ht="14.6" x14ac:dyDescent="0.4">
      <c r="B1905" s="4"/>
      <c r="C1905" s="4"/>
    </row>
    <row r="1906" spans="2:3" ht="14.6" x14ac:dyDescent="0.4">
      <c r="B1906" s="4"/>
      <c r="C1906" s="4"/>
    </row>
    <row r="1907" spans="2:3" ht="14.6" x14ac:dyDescent="0.4">
      <c r="B1907" s="4"/>
      <c r="C1907" s="4"/>
    </row>
    <row r="1908" spans="2:3" ht="14.6" x14ac:dyDescent="0.4">
      <c r="B1908" s="4"/>
      <c r="C1908" s="4"/>
    </row>
    <row r="1909" spans="2:3" ht="14.6" x14ac:dyDescent="0.4">
      <c r="B1909" s="4"/>
      <c r="C1909" s="4"/>
    </row>
    <row r="1910" spans="2:3" ht="14.6" x14ac:dyDescent="0.4">
      <c r="B1910" s="4"/>
      <c r="C1910" s="4"/>
    </row>
    <row r="1911" spans="2:3" ht="14.6" x14ac:dyDescent="0.4">
      <c r="B1911" s="4"/>
      <c r="C1911" s="4"/>
    </row>
    <row r="1912" spans="2:3" ht="14.6" x14ac:dyDescent="0.4">
      <c r="B1912" s="4"/>
      <c r="C1912" s="4"/>
    </row>
    <row r="1913" spans="2:3" ht="14.6" x14ac:dyDescent="0.4">
      <c r="B1913" s="4"/>
      <c r="C1913" s="4"/>
    </row>
    <row r="1914" spans="2:3" ht="14.6" x14ac:dyDescent="0.4">
      <c r="B1914" s="4"/>
      <c r="C1914" s="4"/>
    </row>
    <row r="1915" spans="2:3" ht="14.6" x14ac:dyDescent="0.4">
      <c r="B1915" s="4"/>
      <c r="C1915" s="4"/>
    </row>
    <row r="1916" spans="2:3" ht="14.6" x14ac:dyDescent="0.4">
      <c r="B1916" s="4"/>
      <c r="C1916" s="4"/>
    </row>
    <row r="1917" spans="2:3" ht="14.6" x14ac:dyDescent="0.4">
      <c r="B1917" s="4"/>
      <c r="C1917" s="4"/>
    </row>
    <row r="1918" spans="2:3" ht="14.6" x14ac:dyDescent="0.4">
      <c r="B1918" s="4"/>
      <c r="C1918" s="4"/>
    </row>
    <row r="1919" spans="2:3" ht="14.6" x14ac:dyDescent="0.4">
      <c r="B1919" s="4"/>
      <c r="C1919" s="4"/>
    </row>
    <row r="1920" spans="2:3" ht="14.6" x14ac:dyDescent="0.4">
      <c r="B1920" s="4"/>
      <c r="C1920" s="4"/>
    </row>
    <row r="1921" spans="2:3" ht="14.6" x14ac:dyDescent="0.4">
      <c r="B1921" s="4"/>
      <c r="C1921" s="4"/>
    </row>
    <row r="1922" spans="2:3" ht="14.6" x14ac:dyDescent="0.4">
      <c r="B1922" s="4"/>
      <c r="C1922" s="4"/>
    </row>
    <row r="1923" spans="2:3" ht="14.6" x14ac:dyDescent="0.4">
      <c r="B1923" s="4"/>
      <c r="C1923" s="4"/>
    </row>
    <row r="1924" spans="2:3" ht="14.6" x14ac:dyDescent="0.4">
      <c r="B1924" s="4"/>
      <c r="C1924" s="4"/>
    </row>
    <row r="1925" spans="2:3" ht="14.6" x14ac:dyDescent="0.4">
      <c r="B1925" s="4"/>
      <c r="C1925" s="4"/>
    </row>
    <row r="1926" spans="2:3" ht="14.6" x14ac:dyDescent="0.4">
      <c r="B1926" s="4"/>
      <c r="C1926" s="4"/>
    </row>
    <row r="1927" spans="2:3" ht="14.6" x14ac:dyDescent="0.4">
      <c r="B1927" s="4"/>
      <c r="C1927" s="4"/>
    </row>
    <row r="1928" spans="2:3" ht="14.6" x14ac:dyDescent="0.4">
      <c r="B1928" s="4"/>
      <c r="C1928" s="4"/>
    </row>
    <row r="1929" spans="2:3" ht="14.6" x14ac:dyDescent="0.4">
      <c r="B1929" s="4"/>
      <c r="C1929" s="4"/>
    </row>
    <row r="1930" spans="2:3" ht="14.6" x14ac:dyDescent="0.4">
      <c r="B1930" s="4"/>
      <c r="C1930" s="4"/>
    </row>
    <row r="1931" spans="2:3" ht="14.6" x14ac:dyDescent="0.4">
      <c r="B1931" s="4"/>
      <c r="C1931" s="4"/>
    </row>
    <row r="1932" spans="2:3" ht="14.6" x14ac:dyDescent="0.4">
      <c r="B1932" s="4"/>
      <c r="C1932" s="4"/>
    </row>
    <row r="1933" spans="2:3" ht="14.6" x14ac:dyDescent="0.4">
      <c r="B1933" s="4"/>
      <c r="C1933" s="4"/>
    </row>
    <row r="1934" spans="2:3" ht="14.6" x14ac:dyDescent="0.4">
      <c r="B1934" s="4"/>
      <c r="C1934" s="4"/>
    </row>
    <row r="1935" spans="2:3" ht="14.6" x14ac:dyDescent="0.4">
      <c r="B1935" s="4"/>
      <c r="C1935" s="4"/>
    </row>
    <row r="1936" spans="2:3" ht="14.6" x14ac:dyDescent="0.4">
      <c r="B1936" s="4"/>
      <c r="C1936" s="4"/>
    </row>
    <row r="1937" spans="2:3" ht="14.6" x14ac:dyDescent="0.4">
      <c r="B1937" s="4"/>
      <c r="C1937" s="4"/>
    </row>
    <row r="1938" spans="2:3" ht="14.6" x14ac:dyDescent="0.4">
      <c r="B1938" s="4"/>
      <c r="C1938" s="4"/>
    </row>
    <row r="1939" spans="2:3" ht="14.6" x14ac:dyDescent="0.4">
      <c r="B1939" s="4"/>
      <c r="C1939" s="4"/>
    </row>
    <row r="1940" spans="2:3" ht="14.6" x14ac:dyDescent="0.4">
      <c r="B1940" s="4"/>
      <c r="C1940" s="4"/>
    </row>
    <row r="1941" spans="2:3" ht="14.6" x14ac:dyDescent="0.4">
      <c r="B1941" s="4"/>
      <c r="C1941" s="4"/>
    </row>
    <row r="1942" spans="2:3" ht="14.6" x14ac:dyDescent="0.4">
      <c r="B1942" s="4"/>
      <c r="C1942" s="4"/>
    </row>
    <row r="1943" spans="2:3" ht="14.6" x14ac:dyDescent="0.4">
      <c r="B1943" s="4"/>
      <c r="C1943" s="4"/>
    </row>
    <row r="1944" spans="2:3" ht="14.6" x14ac:dyDescent="0.4">
      <c r="B1944" s="4"/>
      <c r="C1944" s="4"/>
    </row>
    <row r="1945" spans="2:3" ht="14.6" x14ac:dyDescent="0.4">
      <c r="B1945" s="4"/>
      <c r="C1945" s="4"/>
    </row>
    <row r="1946" spans="2:3" ht="14.6" x14ac:dyDescent="0.4">
      <c r="B1946" s="4"/>
      <c r="C1946" s="4"/>
    </row>
    <row r="1947" spans="2:3" ht="14.6" x14ac:dyDescent="0.4">
      <c r="B1947" s="4"/>
      <c r="C1947" s="4"/>
    </row>
    <row r="1948" spans="2:3" ht="14.6" x14ac:dyDescent="0.4">
      <c r="B1948" s="4"/>
      <c r="C1948" s="4"/>
    </row>
    <row r="1949" spans="2:3" ht="14.6" x14ac:dyDescent="0.4">
      <c r="B1949" s="4"/>
      <c r="C1949" s="4"/>
    </row>
    <row r="1950" spans="2:3" ht="14.6" x14ac:dyDescent="0.4">
      <c r="B1950" s="4"/>
      <c r="C1950" s="4"/>
    </row>
    <row r="1951" spans="2:3" ht="14.6" x14ac:dyDescent="0.4">
      <c r="B1951" s="4"/>
      <c r="C1951" s="4"/>
    </row>
    <row r="1952" spans="2:3" ht="14.6" x14ac:dyDescent="0.4">
      <c r="B1952" s="4"/>
      <c r="C1952" s="4"/>
    </row>
    <row r="1953" spans="2:3" ht="14.6" x14ac:dyDescent="0.4">
      <c r="B1953" s="4"/>
      <c r="C1953" s="4"/>
    </row>
    <row r="1954" spans="2:3" ht="14.6" x14ac:dyDescent="0.4">
      <c r="B1954" s="4"/>
      <c r="C1954" s="4"/>
    </row>
    <row r="1955" spans="2:3" ht="14.6" x14ac:dyDescent="0.4">
      <c r="B1955" s="4"/>
      <c r="C1955" s="4"/>
    </row>
    <row r="1956" spans="2:3" ht="14.6" x14ac:dyDescent="0.4">
      <c r="B1956" s="4"/>
      <c r="C1956" s="4"/>
    </row>
    <row r="1957" spans="2:3" ht="14.6" x14ac:dyDescent="0.4">
      <c r="B1957" s="4"/>
      <c r="C1957" s="4"/>
    </row>
    <row r="1958" spans="2:3" ht="14.6" x14ac:dyDescent="0.4">
      <c r="B1958" s="4"/>
      <c r="C1958" s="4"/>
    </row>
    <row r="1959" spans="2:3" ht="14.6" x14ac:dyDescent="0.4">
      <c r="B1959" s="4"/>
      <c r="C1959" s="4"/>
    </row>
    <row r="1960" spans="2:3" ht="14.6" x14ac:dyDescent="0.4">
      <c r="B1960" s="4"/>
      <c r="C1960" s="4"/>
    </row>
    <row r="1961" spans="2:3" ht="14.6" x14ac:dyDescent="0.4">
      <c r="B1961" s="4"/>
      <c r="C1961" s="4"/>
    </row>
    <row r="1962" spans="2:3" ht="14.6" x14ac:dyDescent="0.4">
      <c r="B1962" s="4"/>
      <c r="C1962" s="4"/>
    </row>
    <row r="1963" spans="2:3" ht="14.6" x14ac:dyDescent="0.4">
      <c r="B1963" s="4"/>
      <c r="C1963" s="4"/>
    </row>
    <row r="1964" spans="2:3" ht="14.6" x14ac:dyDescent="0.4">
      <c r="B1964" s="4"/>
      <c r="C1964" s="4"/>
    </row>
    <row r="1965" spans="2:3" ht="14.6" x14ac:dyDescent="0.4">
      <c r="B1965" s="4"/>
      <c r="C1965" s="4"/>
    </row>
    <row r="1966" spans="2:3" ht="14.6" x14ac:dyDescent="0.4">
      <c r="B1966" s="4"/>
      <c r="C1966" s="4"/>
    </row>
    <row r="1967" spans="2:3" ht="14.6" x14ac:dyDescent="0.4">
      <c r="B1967" s="4"/>
      <c r="C1967" s="4"/>
    </row>
    <row r="1968" spans="2:3" ht="14.6" x14ac:dyDescent="0.4">
      <c r="B1968" s="4"/>
      <c r="C1968" s="4"/>
    </row>
    <row r="1969" spans="2:3" ht="14.6" x14ac:dyDescent="0.4">
      <c r="B1969" s="4"/>
      <c r="C1969" s="4"/>
    </row>
    <row r="1970" spans="2:3" ht="14.6" x14ac:dyDescent="0.4">
      <c r="B1970" s="4"/>
      <c r="C1970" s="4"/>
    </row>
    <row r="1971" spans="2:3" ht="14.6" x14ac:dyDescent="0.4">
      <c r="B1971" s="4"/>
      <c r="C1971" s="4"/>
    </row>
    <row r="1972" spans="2:3" ht="14.6" x14ac:dyDescent="0.4">
      <c r="B1972" s="4"/>
      <c r="C1972" s="4"/>
    </row>
    <row r="1973" spans="2:3" ht="14.6" x14ac:dyDescent="0.4">
      <c r="B1973" s="4"/>
      <c r="C1973" s="4"/>
    </row>
    <row r="1974" spans="2:3" ht="14.6" x14ac:dyDescent="0.4">
      <c r="B1974" s="4"/>
      <c r="C1974" s="4"/>
    </row>
    <row r="1975" spans="2:3" ht="14.6" x14ac:dyDescent="0.4">
      <c r="B1975" s="4"/>
      <c r="C1975" s="4"/>
    </row>
    <row r="1976" spans="2:3" ht="14.6" x14ac:dyDescent="0.4">
      <c r="B1976" s="4"/>
      <c r="C1976" s="4"/>
    </row>
    <row r="1977" spans="2:3" ht="14.6" x14ac:dyDescent="0.4">
      <c r="B1977" s="4"/>
      <c r="C1977" s="4"/>
    </row>
    <row r="1978" spans="2:3" ht="14.6" x14ac:dyDescent="0.4">
      <c r="B1978" s="4"/>
      <c r="C1978" s="4"/>
    </row>
    <row r="1979" spans="2:3" ht="14.6" x14ac:dyDescent="0.4">
      <c r="B1979" s="4"/>
      <c r="C1979" s="4"/>
    </row>
    <row r="1980" spans="2:3" ht="14.6" x14ac:dyDescent="0.4">
      <c r="B1980" s="4"/>
      <c r="C1980" s="4"/>
    </row>
    <row r="1981" spans="2:3" ht="14.6" x14ac:dyDescent="0.4">
      <c r="B1981" s="4"/>
      <c r="C1981" s="4"/>
    </row>
    <row r="1982" spans="2:3" ht="14.6" x14ac:dyDescent="0.4">
      <c r="B1982" s="4"/>
      <c r="C1982" s="4"/>
    </row>
    <row r="1983" spans="2:3" ht="14.6" x14ac:dyDescent="0.4">
      <c r="B1983" s="4"/>
      <c r="C1983" s="4"/>
    </row>
    <row r="1984" spans="2:3" ht="14.6" x14ac:dyDescent="0.4">
      <c r="B1984" s="4"/>
      <c r="C1984" s="4"/>
    </row>
    <row r="1985" spans="2:3" ht="14.6" x14ac:dyDescent="0.4">
      <c r="B1985" s="4"/>
      <c r="C1985" s="4"/>
    </row>
    <row r="1986" spans="2:3" ht="14.6" x14ac:dyDescent="0.4">
      <c r="B1986" s="4"/>
      <c r="C1986" s="4"/>
    </row>
    <row r="1987" spans="2:3" ht="14.6" x14ac:dyDescent="0.4">
      <c r="B1987" s="4"/>
      <c r="C1987" s="4"/>
    </row>
    <row r="1988" spans="2:3" ht="14.6" x14ac:dyDescent="0.4">
      <c r="B1988" s="4"/>
      <c r="C1988" s="4"/>
    </row>
    <row r="1989" spans="2:3" ht="14.6" x14ac:dyDescent="0.4">
      <c r="B1989" s="4"/>
      <c r="C1989" s="4"/>
    </row>
    <row r="1990" spans="2:3" ht="14.6" x14ac:dyDescent="0.4">
      <c r="B1990" s="4"/>
      <c r="C1990" s="4"/>
    </row>
    <row r="1991" spans="2:3" ht="14.6" x14ac:dyDescent="0.4">
      <c r="B1991" s="4"/>
      <c r="C1991" s="4"/>
    </row>
    <row r="1992" spans="2:3" ht="14.6" x14ac:dyDescent="0.4">
      <c r="B1992" s="4"/>
      <c r="C1992" s="4"/>
    </row>
    <row r="1993" spans="2:3" ht="14.6" x14ac:dyDescent="0.4">
      <c r="B1993" s="4"/>
      <c r="C1993" s="4"/>
    </row>
    <row r="1994" spans="2:3" ht="14.6" x14ac:dyDescent="0.4">
      <c r="B1994" s="4"/>
      <c r="C1994" s="4"/>
    </row>
    <row r="1995" spans="2:3" ht="14.6" x14ac:dyDescent="0.4">
      <c r="B1995" s="4"/>
      <c r="C1995" s="4"/>
    </row>
    <row r="1996" spans="2:3" ht="14.6" x14ac:dyDescent="0.4">
      <c r="B1996" s="4"/>
      <c r="C1996" s="4"/>
    </row>
    <row r="1997" spans="2:3" ht="14.6" x14ac:dyDescent="0.4">
      <c r="B1997" s="4"/>
      <c r="C1997" s="4"/>
    </row>
    <row r="1998" spans="2:3" ht="14.6" x14ac:dyDescent="0.4">
      <c r="B1998" s="4"/>
      <c r="C1998" s="4"/>
    </row>
    <row r="1999" spans="2:3" ht="14.6" x14ac:dyDescent="0.4">
      <c r="B1999" s="4"/>
      <c r="C1999" s="4"/>
    </row>
    <row r="2000" spans="2:3" ht="14.6" x14ac:dyDescent="0.4">
      <c r="B2000" s="4"/>
      <c r="C2000" s="4"/>
    </row>
    <row r="2001" spans="2:3" ht="14.6" x14ac:dyDescent="0.4">
      <c r="B2001" s="4"/>
      <c r="C2001" s="4"/>
    </row>
    <row r="2002" spans="2:3" ht="14.6" x14ac:dyDescent="0.4">
      <c r="B2002" s="4"/>
      <c r="C2002" s="4"/>
    </row>
    <row r="2003" spans="2:3" ht="14.6" x14ac:dyDescent="0.4">
      <c r="B2003" s="4"/>
      <c r="C2003" s="4"/>
    </row>
    <row r="2004" spans="2:3" ht="14.6" x14ac:dyDescent="0.4">
      <c r="B2004" s="4"/>
      <c r="C2004" s="4"/>
    </row>
    <row r="2005" spans="2:3" ht="14.6" x14ac:dyDescent="0.4">
      <c r="B2005" s="4"/>
      <c r="C2005" s="4"/>
    </row>
    <row r="2006" spans="2:3" ht="14.6" x14ac:dyDescent="0.4">
      <c r="B2006" s="4"/>
      <c r="C2006" s="4"/>
    </row>
    <row r="2007" spans="2:3" ht="14.6" x14ac:dyDescent="0.4">
      <c r="B2007" s="4"/>
      <c r="C2007" s="4"/>
    </row>
    <row r="2008" spans="2:3" ht="14.6" x14ac:dyDescent="0.4">
      <c r="B2008" s="4"/>
      <c r="C2008" s="4"/>
    </row>
    <row r="2009" spans="2:3" ht="14.6" x14ac:dyDescent="0.4">
      <c r="B2009" s="4"/>
      <c r="C2009" s="4"/>
    </row>
    <row r="2010" spans="2:3" ht="14.6" x14ac:dyDescent="0.4">
      <c r="B2010" s="4"/>
      <c r="C2010" s="4"/>
    </row>
    <row r="2011" spans="2:3" ht="14.6" x14ac:dyDescent="0.4">
      <c r="B2011" s="4"/>
      <c r="C2011" s="4"/>
    </row>
    <row r="2012" spans="2:3" ht="14.6" x14ac:dyDescent="0.4">
      <c r="B2012" s="4"/>
      <c r="C2012" s="4"/>
    </row>
    <row r="2013" spans="2:3" ht="14.6" x14ac:dyDescent="0.4">
      <c r="B2013" s="4"/>
      <c r="C2013" s="4"/>
    </row>
    <row r="2014" spans="2:3" ht="14.6" x14ac:dyDescent="0.4">
      <c r="B2014" s="4"/>
      <c r="C2014" s="4"/>
    </row>
    <row r="2015" spans="2:3" ht="14.6" x14ac:dyDescent="0.4">
      <c r="B2015" s="4"/>
      <c r="C2015" s="4"/>
    </row>
    <row r="2016" spans="2:3" ht="14.6" x14ac:dyDescent="0.4">
      <c r="B2016" s="4"/>
      <c r="C2016" s="4"/>
    </row>
    <row r="2017" spans="2:3" ht="14.6" x14ac:dyDescent="0.4">
      <c r="B2017" s="4"/>
      <c r="C2017" s="4"/>
    </row>
    <row r="2018" spans="2:3" ht="14.6" x14ac:dyDescent="0.4">
      <c r="B2018" s="4"/>
      <c r="C2018" s="4"/>
    </row>
    <row r="2019" spans="2:3" ht="14.6" x14ac:dyDescent="0.4">
      <c r="B2019" s="4"/>
      <c r="C2019" s="4"/>
    </row>
    <row r="2020" spans="2:3" ht="14.6" x14ac:dyDescent="0.4">
      <c r="B2020" s="4"/>
      <c r="C2020" s="4"/>
    </row>
    <row r="2021" spans="2:3" ht="14.6" x14ac:dyDescent="0.4">
      <c r="B2021" s="4"/>
      <c r="C2021" s="4"/>
    </row>
    <row r="2022" spans="2:3" ht="14.6" x14ac:dyDescent="0.4">
      <c r="B2022" s="4"/>
      <c r="C2022" s="4"/>
    </row>
    <row r="2023" spans="2:3" ht="14.6" x14ac:dyDescent="0.4">
      <c r="B2023" s="4"/>
      <c r="C2023" s="4"/>
    </row>
    <row r="2024" spans="2:3" ht="14.6" x14ac:dyDescent="0.4">
      <c r="B2024" s="4"/>
      <c r="C2024" s="4"/>
    </row>
    <row r="2025" spans="2:3" ht="14.6" x14ac:dyDescent="0.4">
      <c r="B2025" s="4"/>
      <c r="C2025" s="4"/>
    </row>
    <row r="2026" spans="2:3" ht="14.6" x14ac:dyDescent="0.4">
      <c r="B2026" s="4"/>
      <c r="C2026" s="4"/>
    </row>
    <row r="2027" spans="2:3" ht="14.6" x14ac:dyDescent="0.4">
      <c r="B2027" s="4"/>
      <c r="C2027" s="4"/>
    </row>
    <row r="2028" spans="2:3" ht="14.6" x14ac:dyDescent="0.4">
      <c r="B2028" s="4"/>
      <c r="C2028" s="4"/>
    </row>
    <row r="2029" spans="2:3" ht="14.6" x14ac:dyDescent="0.4">
      <c r="B2029" s="4"/>
      <c r="C2029" s="4"/>
    </row>
    <row r="2030" spans="2:3" ht="14.6" x14ac:dyDescent="0.4">
      <c r="B2030" s="4"/>
      <c r="C2030" s="4"/>
    </row>
    <row r="2031" spans="2:3" ht="14.6" x14ac:dyDescent="0.4">
      <c r="B2031" s="4"/>
      <c r="C2031" s="4"/>
    </row>
    <row r="2032" spans="2:3" ht="14.6" x14ac:dyDescent="0.4">
      <c r="B2032" s="4"/>
      <c r="C2032" s="4"/>
    </row>
    <row r="2033" spans="2:3" ht="14.6" x14ac:dyDescent="0.4">
      <c r="B2033" s="4"/>
      <c r="C2033" s="4"/>
    </row>
    <row r="2034" spans="2:3" ht="14.6" x14ac:dyDescent="0.4">
      <c r="B2034" s="4"/>
      <c r="C2034" s="4"/>
    </row>
    <row r="2035" spans="2:3" ht="14.6" x14ac:dyDescent="0.4">
      <c r="B2035" s="4"/>
      <c r="C2035" s="4"/>
    </row>
    <row r="2036" spans="2:3" ht="14.6" x14ac:dyDescent="0.4">
      <c r="B2036" s="4"/>
      <c r="C2036" s="4"/>
    </row>
    <row r="2037" spans="2:3" ht="14.6" x14ac:dyDescent="0.4">
      <c r="B2037" s="4"/>
      <c r="C2037" s="4"/>
    </row>
    <row r="2038" spans="2:3" ht="14.6" x14ac:dyDescent="0.4">
      <c r="B2038" s="4"/>
      <c r="C2038" s="4"/>
    </row>
    <row r="2039" spans="2:3" ht="14.6" x14ac:dyDescent="0.4">
      <c r="B2039" s="4"/>
      <c r="C2039" s="4"/>
    </row>
    <row r="2040" spans="2:3" ht="14.6" x14ac:dyDescent="0.4">
      <c r="B2040" s="4"/>
      <c r="C2040" s="4"/>
    </row>
    <row r="2041" spans="2:3" ht="14.6" x14ac:dyDescent="0.4">
      <c r="B2041" s="4"/>
      <c r="C2041" s="4"/>
    </row>
    <row r="2042" spans="2:3" ht="14.6" x14ac:dyDescent="0.4">
      <c r="B2042" s="4"/>
      <c r="C2042" s="4"/>
    </row>
    <row r="2043" spans="2:3" ht="14.6" x14ac:dyDescent="0.4">
      <c r="B2043" s="4"/>
      <c r="C2043" s="4"/>
    </row>
    <row r="2044" spans="2:3" ht="14.6" x14ac:dyDescent="0.4">
      <c r="B2044" s="4"/>
      <c r="C2044" s="4"/>
    </row>
    <row r="2045" spans="2:3" ht="14.6" x14ac:dyDescent="0.4">
      <c r="B2045" s="4"/>
      <c r="C2045" s="4"/>
    </row>
    <row r="2046" spans="2:3" ht="14.6" x14ac:dyDescent="0.4">
      <c r="B2046" s="4"/>
      <c r="C2046" s="4"/>
    </row>
    <row r="2047" spans="2:3" ht="14.6" x14ac:dyDescent="0.4">
      <c r="B2047" s="4"/>
      <c r="C2047" s="4"/>
    </row>
    <row r="2048" spans="2:3" ht="14.6" x14ac:dyDescent="0.4">
      <c r="B2048" s="4"/>
      <c r="C2048" s="4"/>
    </row>
    <row r="2049" spans="2:3" ht="14.6" x14ac:dyDescent="0.4">
      <c r="B2049" s="4"/>
      <c r="C2049" s="4"/>
    </row>
    <row r="2050" spans="2:3" ht="14.6" x14ac:dyDescent="0.4">
      <c r="B2050" s="4"/>
      <c r="C2050" s="4"/>
    </row>
    <row r="2051" spans="2:3" ht="14.6" x14ac:dyDescent="0.4">
      <c r="B2051" s="4"/>
      <c r="C2051" s="4"/>
    </row>
    <row r="2052" spans="2:3" ht="14.6" x14ac:dyDescent="0.4">
      <c r="B2052" s="4"/>
      <c r="C2052" s="4"/>
    </row>
    <row r="2053" spans="2:3" ht="14.6" x14ac:dyDescent="0.4">
      <c r="B2053" s="4"/>
      <c r="C2053" s="4"/>
    </row>
    <row r="2054" spans="2:3" ht="14.6" x14ac:dyDescent="0.4">
      <c r="B2054" s="4"/>
      <c r="C2054" s="4"/>
    </row>
    <row r="2055" spans="2:3" ht="14.6" x14ac:dyDescent="0.4">
      <c r="B2055" s="4"/>
      <c r="C2055" s="4"/>
    </row>
    <row r="2056" spans="2:3" ht="14.6" x14ac:dyDescent="0.4">
      <c r="B2056" s="4"/>
      <c r="C2056" s="4"/>
    </row>
    <row r="2057" spans="2:3" ht="14.6" x14ac:dyDescent="0.4">
      <c r="B2057" s="4"/>
      <c r="C2057" s="4"/>
    </row>
    <row r="2058" spans="2:3" ht="14.6" x14ac:dyDescent="0.4">
      <c r="B2058" s="4"/>
      <c r="C2058" s="4"/>
    </row>
    <row r="2059" spans="2:3" ht="14.6" x14ac:dyDescent="0.4">
      <c r="B2059" s="4"/>
      <c r="C2059" s="4"/>
    </row>
    <row r="2060" spans="2:3" ht="14.6" x14ac:dyDescent="0.4">
      <c r="B2060" s="4"/>
      <c r="C2060" s="4"/>
    </row>
    <row r="2061" spans="2:3" ht="14.6" x14ac:dyDescent="0.4">
      <c r="B2061" s="4"/>
      <c r="C2061" s="4"/>
    </row>
    <row r="2062" spans="2:3" ht="14.6" x14ac:dyDescent="0.4">
      <c r="B2062" s="4"/>
      <c r="C2062" s="4"/>
    </row>
    <row r="2063" spans="2:3" ht="14.6" x14ac:dyDescent="0.4">
      <c r="B2063" s="4"/>
      <c r="C2063" s="4"/>
    </row>
    <row r="2064" spans="2:3" ht="14.6" x14ac:dyDescent="0.4">
      <c r="B2064" s="4"/>
      <c r="C2064" s="4"/>
    </row>
    <row r="2065" spans="2:3" ht="14.6" x14ac:dyDescent="0.4">
      <c r="B2065" s="4"/>
      <c r="C2065" s="4"/>
    </row>
    <row r="2066" spans="2:3" ht="14.6" x14ac:dyDescent="0.4">
      <c r="B2066" s="4"/>
      <c r="C2066" s="4"/>
    </row>
    <row r="2067" spans="2:3" ht="14.6" x14ac:dyDescent="0.4">
      <c r="B2067" s="4"/>
      <c r="C2067" s="4"/>
    </row>
    <row r="2068" spans="2:3" ht="14.6" x14ac:dyDescent="0.4">
      <c r="B2068" s="4"/>
      <c r="C2068" s="4"/>
    </row>
    <row r="2069" spans="2:3" ht="14.6" x14ac:dyDescent="0.4">
      <c r="B2069" s="4"/>
      <c r="C2069" s="4"/>
    </row>
    <row r="2070" spans="2:3" ht="14.6" x14ac:dyDescent="0.4">
      <c r="B2070" s="4"/>
      <c r="C2070" s="4"/>
    </row>
    <row r="2071" spans="2:3" ht="14.6" x14ac:dyDescent="0.4">
      <c r="B2071" s="4"/>
      <c r="C2071" s="4"/>
    </row>
    <row r="2072" spans="2:3" ht="14.6" x14ac:dyDescent="0.4">
      <c r="B2072" s="4"/>
      <c r="C2072" s="4"/>
    </row>
    <row r="2073" spans="2:3" ht="14.6" x14ac:dyDescent="0.4">
      <c r="B2073" s="4"/>
      <c r="C2073" s="4"/>
    </row>
    <row r="2074" spans="2:3" ht="14.6" x14ac:dyDescent="0.4">
      <c r="B2074" s="4"/>
      <c r="C2074" s="4"/>
    </row>
    <row r="2075" spans="2:3" ht="14.6" x14ac:dyDescent="0.4">
      <c r="B2075" s="4"/>
      <c r="C2075" s="4"/>
    </row>
    <row r="2076" spans="2:3" ht="14.6" x14ac:dyDescent="0.4">
      <c r="B2076" s="4"/>
      <c r="C2076" s="4"/>
    </row>
    <row r="2077" spans="2:3" ht="14.6" x14ac:dyDescent="0.4">
      <c r="B2077" s="4"/>
      <c r="C2077" s="4"/>
    </row>
    <row r="2078" spans="2:3" ht="14.6" x14ac:dyDescent="0.4">
      <c r="B2078" s="4"/>
      <c r="C2078" s="4"/>
    </row>
    <row r="2079" spans="2:3" ht="14.6" x14ac:dyDescent="0.4">
      <c r="B2079" s="4"/>
      <c r="C2079" s="4"/>
    </row>
    <row r="2080" spans="2:3" ht="14.6" x14ac:dyDescent="0.4">
      <c r="B2080" s="4"/>
      <c r="C2080" s="4"/>
    </row>
    <row r="2081" spans="2:3" ht="14.6" x14ac:dyDescent="0.4">
      <c r="B2081" s="4"/>
      <c r="C2081" s="4"/>
    </row>
    <row r="2082" spans="2:3" ht="14.6" x14ac:dyDescent="0.4">
      <c r="B2082" s="4"/>
      <c r="C2082" s="4"/>
    </row>
    <row r="2083" spans="2:3" ht="14.6" x14ac:dyDescent="0.4">
      <c r="B2083" s="4"/>
      <c r="C2083" s="4"/>
    </row>
    <row r="2084" spans="2:3" ht="14.6" x14ac:dyDescent="0.4">
      <c r="B2084" s="4"/>
      <c r="C2084" s="4"/>
    </row>
    <row r="2085" spans="2:3" ht="14.6" x14ac:dyDescent="0.4">
      <c r="B2085" s="4"/>
      <c r="C2085" s="4"/>
    </row>
    <row r="2086" spans="2:3" ht="14.6" x14ac:dyDescent="0.4">
      <c r="B2086" s="4"/>
      <c r="C2086" s="4"/>
    </row>
    <row r="2087" spans="2:3" ht="14.6" x14ac:dyDescent="0.4">
      <c r="B2087" s="4"/>
      <c r="C2087" s="4"/>
    </row>
    <row r="2088" spans="2:3" ht="14.6" x14ac:dyDescent="0.4">
      <c r="B2088" s="4"/>
      <c r="C2088" s="4"/>
    </row>
    <row r="2089" spans="2:3" ht="14.6" x14ac:dyDescent="0.4">
      <c r="B2089" s="4"/>
      <c r="C2089" s="4"/>
    </row>
    <row r="2090" spans="2:3" ht="14.6" x14ac:dyDescent="0.4">
      <c r="B2090" s="4"/>
      <c r="C2090" s="4"/>
    </row>
    <row r="2091" spans="2:3" ht="14.6" x14ac:dyDescent="0.4">
      <c r="B2091" s="4"/>
      <c r="C2091" s="4"/>
    </row>
    <row r="2092" spans="2:3" ht="14.6" x14ac:dyDescent="0.4">
      <c r="B2092" s="4"/>
      <c r="C2092" s="4"/>
    </row>
    <row r="2093" spans="2:3" ht="14.6" x14ac:dyDescent="0.4">
      <c r="B2093" s="4"/>
      <c r="C2093" s="4"/>
    </row>
    <row r="2094" spans="2:3" ht="14.6" x14ac:dyDescent="0.4">
      <c r="B2094" s="4"/>
      <c r="C2094" s="4"/>
    </row>
    <row r="2095" spans="2:3" ht="14.6" x14ac:dyDescent="0.4">
      <c r="B2095" s="4"/>
      <c r="C2095" s="4"/>
    </row>
    <row r="2096" spans="2:3" ht="14.6" x14ac:dyDescent="0.4">
      <c r="B2096" s="4"/>
      <c r="C2096" s="4"/>
    </row>
    <row r="2097" spans="2:3" ht="14.6" x14ac:dyDescent="0.4">
      <c r="B2097" s="4"/>
      <c r="C2097" s="4"/>
    </row>
    <row r="2098" spans="2:3" ht="14.6" x14ac:dyDescent="0.4">
      <c r="B2098" s="4"/>
      <c r="C2098" s="4"/>
    </row>
    <row r="2099" spans="2:3" ht="14.6" x14ac:dyDescent="0.4">
      <c r="B2099" s="4"/>
      <c r="C2099" s="4"/>
    </row>
    <row r="2100" spans="2:3" ht="14.6" x14ac:dyDescent="0.4">
      <c r="B2100" s="4"/>
      <c r="C2100" s="4"/>
    </row>
    <row r="2101" spans="2:3" ht="14.6" x14ac:dyDescent="0.4">
      <c r="B2101" s="4"/>
      <c r="C2101" s="4"/>
    </row>
    <row r="2102" spans="2:3" ht="14.6" x14ac:dyDescent="0.4">
      <c r="B2102" s="4"/>
      <c r="C2102" s="4"/>
    </row>
    <row r="2103" spans="2:3" ht="14.6" x14ac:dyDescent="0.4">
      <c r="B2103" s="4"/>
      <c r="C2103" s="4"/>
    </row>
    <row r="2104" spans="2:3" ht="14.6" x14ac:dyDescent="0.4">
      <c r="B2104" s="4"/>
      <c r="C2104" s="4"/>
    </row>
    <row r="2105" spans="2:3" ht="14.6" x14ac:dyDescent="0.4">
      <c r="B2105" s="4"/>
      <c r="C2105" s="4"/>
    </row>
    <row r="2106" spans="2:3" ht="14.6" x14ac:dyDescent="0.4">
      <c r="B2106" s="4"/>
      <c r="C2106" s="4"/>
    </row>
    <row r="2107" spans="2:3" ht="14.6" x14ac:dyDescent="0.4">
      <c r="B2107" s="4"/>
      <c r="C2107" s="4"/>
    </row>
    <row r="2108" spans="2:3" ht="14.6" x14ac:dyDescent="0.4">
      <c r="B2108" s="4"/>
      <c r="C2108" s="4"/>
    </row>
    <row r="2109" spans="2:3" ht="14.6" x14ac:dyDescent="0.4">
      <c r="B2109" s="4"/>
      <c r="C2109" s="4"/>
    </row>
    <row r="2110" spans="2:3" ht="14.6" x14ac:dyDescent="0.4">
      <c r="B2110" s="4"/>
      <c r="C2110" s="4"/>
    </row>
    <row r="2111" spans="2:3" ht="14.6" x14ac:dyDescent="0.4">
      <c r="B2111" s="4"/>
      <c r="C2111" s="4"/>
    </row>
    <row r="2112" spans="2:3" ht="14.6" x14ac:dyDescent="0.4">
      <c r="B2112" s="4"/>
      <c r="C2112" s="4"/>
    </row>
    <row r="2113" spans="2:3" ht="14.6" x14ac:dyDescent="0.4">
      <c r="B2113" s="4"/>
      <c r="C2113" s="4"/>
    </row>
    <row r="2114" spans="2:3" ht="14.6" x14ac:dyDescent="0.4">
      <c r="B2114" s="4"/>
      <c r="C2114" s="4"/>
    </row>
    <row r="2115" spans="2:3" ht="14.6" x14ac:dyDescent="0.4">
      <c r="B2115" s="4"/>
      <c r="C2115" s="4"/>
    </row>
    <row r="2116" spans="2:3" ht="14.6" x14ac:dyDescent="0.4">
      <c r="B2116" s="4"/>
      <c r="C2116" s="4"/>
    </row>
    <row r="2117" spans="2:3" ht="14.6" x14ac:dyDescent="0.4">
      <c r="B2117" s="4"/>
      <c r="C2117" s="4"/>
    </row>
    <row r="2118" spans="2:3" ht="14.6" x14ac:dyDescent="0.4">
      <c r="B2118" s="4"/>
      <c r="C2118" s="4"/>
    </row>
    <row r="2119" spans="2:3" ht="14.6" x14ac:dyDescent="0.4">
      <c r="B2119" s="4"/>
      <c r="C2119" s="4"/>
    </row>
    <row r="2120" spans="2:3" ht="14.6" x14ac:dyDescent="0.4">
      <c r="B2120" s="4"/>
      <c r="C2120" s="4"/>
    </row>
    <row r="2121" spans="2:3" ht="14.6" x14ac:dyDescent="0.4">
      <c r="B2121" s="4"/>
      <c r="C2121" s="4"/>
    </row>
    <row r="2122" spans="2:3" ht="14.6" x14ac:dyDescent="0.4">
      <c r="B2122" s="4"/>
      <c r="C2122" s="4"/>
    </row>
    <row r="2123" spans="2:3" ht="14.6" x14ac:dyDescent="0.4">
      <c r="B2123" s="4"/>
      <c r="C2123" s="4"/>
    </row>
    <row r="2124" spans="2:3" ht="14.6" x14ac:dyDescent="0.4">
      <c r="B2124" s="4"/>
      <c r="C2124" s="4"/>
    </row>
    <row r="2125" spans="2:3" ht="14.6" x14ac:dyDescent="0.4">
      <c r="B2125" s="4"/>
      <c r="C2125" s="4"/>
    </row>
    <row r="2126" spans="2:3" ht="14.6" x14ac:dyDescent="0.4">
      <c r="B2126" s="4"/>
      <c r="C2126" s="4"/>
    </row>
    <row r="2127" spans="2:3" ht="14.6" x14ac:dyDescent="0.4">
      <c r="B2127" s="4"/>
      <c r="C2127" s="4"/>
    </row>
    <row r="2128" spans="2:3" ht="14.6" x14ac:dyDescent="0.4">
      <c r="B2128" s="4"/>
      <c r="C2128" s="4"/>
    </row>
    <row r="2129" spans="2:3" ht="14.6" x14ac:dyDescent="0.4">
      <c r="B2129" s="4"/>
      <c r="C2129" s="4"/>
    </row>
    <row r="2130" spans="2:3" ht="14.6" x14ac:dyDescent="0.4">
      <c r="B2130" s="4"/>
      <c r="C2130" s="4"/>
    </row>
    <row r="2131" spans="2:3" ht="14.6" x14ac:dyDescent="0.4">
      <c r="B2131" s="4"/>
      <c r="C2131" s="4"/>
    </row>
    <row r="2132" spans="2:3" ht="14.6" x14ac:dyDescent="0.4">
      <c r="B2132" s="4"/>
      <c r="C2132" s="4"/>
    </row>
    <row r="2133" spans="2:3" ht="14.6" x14ac:dyDescent="0.4">
      <c r="B2133" s="4"/>
      <c r="C2133" s="4"/>
    </row>
    <row r="2134" spans="2:3" ht="14.6" x14ac:dyDescent="0.4">
      <c r="B2134" s="4"/>
      <c r="C2134" s="4"/>
    </row>
    <row r="2135" spans="2:3" ht="14.6" x14ac:dyDescent="0.4">
      <c r="B2135" s="4"/>
      <c r="C2135" s="4"/>
    </row>
    <row r="2136" spans="2:3" ht="14.6" x14ac:dyDescent="0.4">
      <c r="B2136" s="4"/>
      <c r="C2136" s="4"/>
    </row>
    <row r="2137" spans="2:3" ht="14.6" x14ac:dyDescent="0.4">
      <c r="B2137" s="4"/>
      <c r="C2137" s="4"/>
    </row>
    <row r="2138" spans="2:3" ht="14.6" x14ac:dyDescent="0.4">
      <c r="B2138" s="4"/>
      <c r="C2138" s="4"/>
    </row>
    <row r="2139" spans="2:3" ht="14.6" x14ac:dyDescent="0.4">
      <c r="B2139" s="4"/>
      <c r="C2139" s="4"/>
    </row>
    <row r="2140" spans="2:3" ht="14.6" x14ac:dyDescent="0.4">
      <c r="B2140" s="4"/>
      <c r="C2140" s="4"/>
    </row>
    <row r="2141" spans="2:3" ht="14.6" x14ac:dyDescent="0.4">
      <c r="B2141" s="4"/>
      <c r="C2141" s="4"/>
    </row>
    <row r="2142" spans="2:3" ht="14.6" x14ac:dyDescent="0.4">
      <c r="B2142" s="4"/>
      <c r="C2142" s="4"/>
    </row>
    <row r="2143" spans="2:3" ht="14.6" x14ac:dyDescent="0.4">
      <c r="B2143" s="4"/>
      <c r="C2143" s="4"/>
    </row>
    <row r="2144" spans="2:3" ht="14.6" x14ac:dyDescent="0.4">
      <c r="B2144" s="4"/>
      <c r="C2144" s="4"/>
    </row>
    <row r="2145" spans="2:3" ht="14.6" x14ac:dyDescent="0.4">
      <c r="B2145" s="4"/>
      <c r="C2145" s="4"/>
    </row>
    <row r="2146" spans="2:3" ht="14.6" x14ac:dyDescent="0.4">
      <c r="B2146" s="4"/>
      <c r="C2146"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2146"/>
  <sheetViews>
    <sheetView topLeftCell="A226" workbookViewId="0"/>
  </sheetViews>
  <sheetFormatPr defaultColWidth="12.61328125" defaultRowHeight="15.75" customHeight="1" x14ac:dyDescent="0.3"/>
  <cols>
    <col min="2" max="2" width="47.3828125" customWidth="1"/>
    <col min="3" max="3" width="35.765625" customWidth="1"/>
    <col min="5" max="5" width="54.23046875" customWidth="1"/>
  </cols>
  <sheetData>
    <row r="1" spans="1:26" ht="15.75" customHeight="1" x14ac:dyDescent="0.4">
      <c r="A1" s="5" t="s">
        <v>0</v>
      </c>
      <c r="B1" s="5" t="s">
        <v>1</v>
      </c>
      <c r="C1" s="5" t="s">
        <v>2</v>
      </c>
      <c r="D1" s="6" t="s">
        <v>1518</v>
      </c>
      <c r="E1" s="6" t="s">
        <v>1519</v>
      </c>
      <c r="F1" s="2"/>
      <c r="G1" s="2"/>
      <c r="H1" s="2"/>
      <c r="I1" s="2"/>
      <c r="J1" s="2"/>
      <c r="K1" s="2"/>
      <c r="L1" s="2"/>
      <c r="M1" s="2"/>
      <c r="N1" s="2"/>
      <c r="O1" s="2"/>
      <c r="P1" s="2"/>
      <c r="Q1" s="2"/>
      <c r="R1" s="2"/>
      <c r="S1" s="2"/>
      <c r="T1" s="2"/>
      <c r="U1" s="2"/>
      <c r="V1" s="2"/>
      <c r="W1" s="2"/>
      <c r="X1" s="2"/>
      <c r="Y1" s="2"/>
      <c r="Z1" s="2"/>
    </row>
    <row r="2" spans="1:26" ht="15.75" customHeight="1" x14ac:dyDescent="0.4">
      <c r="A2" s="7" t="s">
        <v>4</v>
      </c>
      <c r="B2" s="4" t="s">
        <v>5</v>
      </c>
      <c r="C2" s="4" t="s">
        <v>6</v>
      </c>
      <c r="D2" s="8" t="s">
        <v>1520</v>
      </c>
      <c r="E2" s="8" t="s">
        <v>1521</v>
      </c>
    </row>
    <row r="3" spans="1:26" ht="15.75" customHeight="1" x14ac:dyDescent="0.4">
      <c r="A3" s="7" t="s">
        <v>7</v>
      </c>
      <c r="B3" s="4" t="s">
        <v>8</v>
      </c>
      <c r="C3" s="4" t="s">
        <v>9</v>
      </c>
      <c r="D3" s="8" t="s">
        <v>1520</v>
      </c>
      <c r="E3" s="8" t="s">
        <v>1521</v>
      </c>
    </row>
    <row r="4" spans="1:26" ht="15.75" customHeight="1" x14ac:dyDescent="0.4">
      <c r="A4" s="7" t="s">
        <v>10</v>
      </c>
      <c r="B4" s="4" t="s">
        <v>11</v>
      </c>
      <c r="C4" s="4" t="s">
        <v>12</v>
      </c>
      <c r="D4" s="8" t="s">
        <v>1522</v>
      </c>
      <c r="E4" s="8" t="s">
        <v>1523</v>
      </c>
    </row>
    <row r="5" spans="1:26" ht="15.75" customHeight="1" x14ac:dyDescent="0.4">
      <c r="A5" s="7" t="s">
        <v>13</v>
      </c>
      <c r="B5" s="4" t="s">
        <v>14</v>
      </c>
      <c r="C5" s="4" t="s">
        <v>15</v>
      </c>
      <c r="D5" s="8" t="s">
        <v>1520</v>
      </c>
      <c r="E5" s="8" t="s">
        <v>1521</v>
      </c>
    </row>
    <row r="6" spans="1:26" ht="15.75" customHeight="1" x14ac:dyDescent="0.4">
      <c r="A6" s="7" t="s">
        <v>16</v>
      </c>
      <c r="B6" s="4" t="s">
        <v>17</v>
      </c>
      <c r="C6" s="4" t="s">
        <v>18</v>
      </c>
      <c r="D6" s="8" t="s">
        <v>1522</v>
      </c>
      <c r="E6" s="8" t="s">
        <v>1524</v>
      </c>
    </row>
    <row r="7" spans="1:26" ht="15.75" customHeight="1" x14ac:dyDescent="0.4">
      <c r="A7" s="7" t="s">
        <v>19</v>
      </c>
      <c r="B7" s="4" t="s">
        <v>20</v>
      </c>
      <c r="C7" s="4" t="s">
        <v>21</v>
      </c>
      <c r="D7" s="8" t="s">
        <v>1522</v>
      </c>
      <c r="E7" s="8" t="s">
        <v>1523</v>
      </c>
    </row>
    <row r="8" spans="1:26" ht="15.75" customHeight="1" x14ac:dyDescent="0.4">
      <c r="A8" s="7" t="s">
        <v>22</v>
      </c>
      <c r="B8" s="4" t="s">
        <v>23</v>
      </c>
      <c r="C8" s="4" t="s">
        <v>24</v>
      </c>
      <c r="D8" s="8" t="s">
        <v>1520</v>
      </c>
      <c r="E8" s="8" t="s">
        <v>1521</v>
      </c>
    </row>
    <row r="9" spans="1:26" ht="15.75" customHeight="1" x14ac:dyDescent="0.4">
      <c r="A9" s="7" t="s">
        <v>25</v>
      </c>
      <c r="B9" s="4" t="s">
        <v>26</v>
      </c>
      <c r="C9" s="4" t="s">
        <v>15</v>
      </c>
      <c r="D9" s="8" t="s">
        <v>1520</v>
      </c>
      <c r="E9" s="8" t="s">
        <v>1521</v>
      </c>
    </row>
    <row r="10" spans="1:26" ht="15.75" customHeight="1" x14ac:dyDescent="0.4">
      <c r="A10" s="7" t="s">
        <v>27</v>
      </c>
      <c r="B10" s="4" t="s">
        <v>28</v>
      </c>
      <c r="C10" s="4" t="s">
        <v>29</v>
      </c>
      <c r="D10" s="8" t="s">
        <v>1522</v>
      </c>
      <c r="E10" s="8" t="s">
        <v>1525</v>
      </c>
    </row>
    <row r="11" spans="1:26" ht="15.75" customHeight="1" x14ac:dyDescent="0.4">
      <c r="A11" s="7" t="s">
        <v>30</v>
      </c>
      <c r="B11" s="4" t="s">
        <v>31</v>
      </c>
      <c r="C11" s="4" t="s">
        <v>12</v>
      </c>
      <c r="D11" s="8" t="s">
        <v>1520</v>
      </c>
      <c r="E11" s="8" t="s">
        <v>1521</v>
      </c>
    </row>
    <row r="12" spans="1:26" ht="15.75" customHeight="1" x14ac:dyDescent="0.4">
      <c r="A12" s="7" t="s">
        <v>32</v>
      </c>
      <c r="B12" s="4" t="s">
        <v>33</v>
      </c>
      <c r="C12" s="4" t="s">
        <v>34</v>
      </c>
      <c r="D12" s="8" t="s">
        <v>1522</v>
      </c>
      <c r="E12" s="8" t="s">
        <v>1523</v>
      </c>
    </row>
    <row r="13" spans="1:26" ht="15.75" customHeight="1" x14ac:dyDescent="0.4">
      <c r="A13" s="7" t="s">
        <v>35</v>
      </c>
      <c r="B13" s="4" t="s">
        <v>36</v>
      </c>
      <c r="C13" s="4" t="s">
        <v>21</v>
      </c>
      <c r="D13" s="8" t="s">
        <v>1522</v>
      </c>
      <c r="E13" s="8" t="s">
        <v>1526</v>
      </c>
    </row>
    <row r="14" spans="1:26" ht="15.75" customHeight="1" x14ac:dyDescent="0.4">
      <c r="A14" s="7" t="s">
        <v>37</v>
      </c>
      <c r="B14" s="4" t="s">
        <v>38</v>
      </c>
      <c r="C14" s="4" t="s">
        <v>12</v>
      </c>
      <c r="D14" s="8" t="s">
        <v>1520</v>
      </c>
      <c r="E14" s="8" t="s">
        <v>1521</v>
      </c>
    </row>
    <row r="15" spans="1:26" ht="15.75" customHeight="1" x14ac:dyDescent="0.4">
      <c r="A15" s="7" t="s">
        <v>39</v>
      </c>
      <c r="B15" s="4" t="s">
        <v>40</v>
      </c>
      <c r="C15" s="4" t="s">
        <v>15</v>
      </c>
      <c r="D15" s="8" t="s">
        <v>1522</v>
      </c>
      <c r="E15" s="8" t="s">
        <v>1523</v>
      </c>
    </row>
    <row r="16" spans="1:26" ht="15.75" customHeight="1" x14ac:dyDescent="0.4">
      <c r="A16" s="7" t="s">
        <v>41</v>
      </c>
      <c r="B16" s="4" t="s">
        <v>42</v>
      </c>
      <c r="C16" s="4" t="s">
        <v>34</v>
      </c>
      <c r="D16" s="8" t="s">
        <v>1520</v>
      </c>
      <c r="E16" s="8" t="s">
        <v>1521</v>
      </c>
    </row>
    <row r="17" spans="1:5" ht="15.75" customHeight="1" x14ac:dyDescent="0.4">
      <c r="A17" s="7" t="s">
        <v>43</v>
      </c>
      <c r="B17" s="4" t="s">
        <v>44</v>
      </c>
      <c r="C17" s="4" t="s">
        <v>15</v>
      </c>
      <c r="D17" s="8" t="s">
        <v>1522</v>
      </c>
      <c r="E17" s="8" t="s">
        <v>1525</v>
      </c>
    </row>
    <row r="18" spans="1:5" ht="15.75" customHeight="1" x14ac:dyDescent="0.4">
      <c r="A18" s="7" t="s">
        <v>45</v>
      </c>
      <c r="B18" s="4" t="s">
        <v>46</v>
      </c>
      <c r="C18" s="4" t="s">
        <v>47</v>
      </c>
      <c r="D18" s="8" t="s">
        <v>1522</v>
      </c>
      <c r="E18" s="8" t="s">
        <v>1527</v>
      </c>
    </row>
    <row r="19" spans="1:5" ht="15.75" customHeight="1" x14ac:dyDescent="0.4">
      <c r="A19" s="7" t="s">
        <v>48</v>
      </c>
      <c r="B19" s="4" t="s">
        <v>49</v>
      </c>
      <c r="C19" s="4" t="s">
        <v>18</v>
      </c>
      <c r="D19" s="8" t="s">
        <v>1520</v>
      </c>
      <c r="E19" s="8" t="s">
        <v>1521</v>
      </c>
    </row>
    <row r="20" spans="1:5" ht="15.75" customHeight="1" x14ac:dyDescent="0.4">
      <c r="A20" s="7" t="s">
        <v>50</v>
      </c>
      <c r="B20" s="4" t="s">
        <v>40</v>
      </c>
      <c r="C20" s="4" t="s">
        <v>34</v>
      </c>
      <c r="D20" s="8" t="s">
        <v>1522</v>
      </c>
      <c r="E20" s="8" t="s">
        <v>1525</v>
      </c>
    </row>
    <row r="21" spans="1:5" ht="15.75" customHeight="1" x14ac:dyDescent="0.4">
      <c r="A21" s="7" t="s">
        <v>51</v>
      </c>
      <c r="B21" s="4" t="s">
        <v>46</v>
      </c>
      <c r="C21" s="4" t="s">
        <v>52</v>
      </c>
      <c r="D21" s="8" t="s">
        <v>1522</v>
      </c>
      <c r="E21" s="8" t="s">
        <v>1523</v>
      </c>
    </row>
    <row r="22" spans="1:5" ht="15.75" customHeight="1" x14ac:dyDescent="0.4">
      <c r="A22" s="7" t="s">
        <v>53</v>
      </c>
      <c r="B22" s="4" t="s">
        <v>54</v>
      </c>
      <c r="C22" s="4" t="s">
        <v>55</v>
      </c>
      <c r="D22" s="8" t="s">
        <v>1522</v>
      </c>
      <c r="E22" s="8" t="s">
        <v>1527</v>
      </c>
    </row>
    <row r="23" spans="1:5" ht="15.75" customHeight="1" x14ac:dyDescent="0.4">
      <c r="A23" s="7" t="s">
        <v>56</v>
      </c>
      <c r="B23" s="4" t="s">
        <v>57</v>
      </c>
      <c r="C23" s="4" t="s">
        <v>58</v>
      </c>
      <c r="D23" s="8" t="s">
        <v>1520</v>
      </c>
      <c r="E23" s="8" t="s">
        <v>1521</v>
      </c>
    </row>
    <row r="24" spans="1:5" ht="15.75" customHeight="1" x14ac:dyDescent="0.4">
      <c r="A24" s="7" t="s">
        <v>59</v>
      </c>
      <c r="B24" s="4" t="s">
        <v>60</v>
      </c>
      <c r="C24" s="4" t="s">
        <v>12</v>
      </c>
      <c r="D24" s="8" t="s">
        <v>1522</v>
      </c>
      <c r="E24" s="8" t="s">
        <v>1527</v>
      </c>
    </row>
    <row r="25" spans="1:5" ht="15.75" customHeight="1" x14ac:dyDescent="0.4">
      <c r="A25" s="7" t="s">
        <v>61</v>
      </c>
      <c r="B25" s="4" t="s">
        <v>62</v>
      </c>
      <c r="C25" s="4" t="s">
        <v>9</v>
      </c>
      <c r="D25" s="8" t="s">
        <v>1522</v>
      </c>
      <c r="E25" s="8" t="s">
        <v>1525</v>
      </c>
    </row>
    <row r="26" spans="1:5" ht="15.75" customHeight="1" x14ac:dyDescent="0.4">
      <c r="A26" s="7" t="s">
        <v>63</v>
      </c>
      <c r="B26" s="4" t="s">
        <v>64</v>
      </c>
      <c r="C26" s="4" t="s">
        <v>65</v>
      </c>
      <c r="D26" s="8" t="s">
        <v>1520</v>
      </c>
      <c r="E26" s="8" t="s">
        <v>1521</v>
      </c>
    </row>
    <row r="27" spans="1:5" ht="15.75" customHeight="1" x14ac:dyDescent="0.4">
      <c r="A27" s="7" t="s">
        <v>66</v>
      </c>
      <c r="B27" s="4" t="s">
        <v>67</v>
      </c>
      <c r="C27" s="4" t="s">
        <v>68</v>
      </c>
      <c r="D27" s="8" t="s">
        <v>1520</v>
      </c>
      <c r="E27" s="8" t="s">
        <v>1521</v>
      </c>
    </row>
    <row r="28" spans="1:5" ht="15.75" customHeight="1" x14ac:dyDescent="0.4">
      <c r="A28" s="7" t="s">
        <v>69</v>
      </c>
      <c r="B28" s="4" t="s">
        <v>70</v>
      </c>
      <c r="C28" s="4" t="s">
        <v>29</v>
      </c>
      <c r="D28" s="8" t="s">
        <v>1520</v>
      </c>
      <c r="E28" s="8" t="s">
        <v>1521</v>
      </c>
    </row>
    <row r="29" spans="1:5" ht="15.75" customHeight="1" x14ac:dyDescent="0.4">
      <c r="A29" s="7" t="s">
        <v>71</v>
      </c>
      <c r="B29" s="4" t="s">
        <v>72</v>
      </c>
      <c r="C29" s="4" t="s">
        <v>18</v>
      </c>
      <c r="D29" s="8" t="s">
        <v>1520</v>
      </c>
      <c r="E29" s="8" t="s">
        <v>1528</v>
      </c>
    </row>
    <row r="30" spans="1:5" ht="15.75" customHeight="1" x14ac:dyDescent="0.4">
      <c r="A30" s="7" t="s">
        <v>73</v>
      </c>
      <c r="B30" s="4" t="s">
        <v>74</v>
      </c>
      <c r="C30" s="4" t="s">
        <v>65</v>
      </c>
      <c r="D30" s="8" t="s">
        <v>1520</v>
      </c>
      <c r="E30" s="8" t="s">
        <v>1528</v>
      </c>
    </row>
    <row r="31" spans="1:5" ht="15.75" customHeight="1" x14ac:dyDescent="0.4">
      <c r="A31" s="7" t="s">
        <v>75</v>
      </c>
      <c r="B31" s="4" t="s">
        <v>76</v>
      </c>
      <c r="C31" s="4" t="s">
        <v>65</v>
      </c>
      <c r="D31" s="8" t="s">
        <v>1522</v>
      </c>
      <c r="E31" s="8" t="s">
        <v>1527</v>
      </c>
    </row>
    <row r="32" spans="1:5" ht="15.75" customHeight="1" x14ac:dyDescent="0.4">
      <c r="A32" s="7" t="s">
        <v>77</v>
      </c>
      <c r="B32" s="4" t="s">
        <v>78</v>
      </c>
      <c r="C32" s="4" t="s">
        <v>55</v>
      </c>
      <c r="D32" s="8" t="s">
        <v>1520</v>
      </c>
      <c r="E32" s="8" t="s">
        <v>1528</v>
      </c>
    </row>
    <row r="33" spans="1:5" ht="15.75" customHeight="1" x14ac:dyDescent="0.4">
      <c r="A33" s="7" t="s">
        <v>79</v>
      </c>
      <c r="B33" s="4" t="s">
        <v>80</v>
      </c>
      <c r="C33" s="4" t="s">
        <v>55</v>
      </c>
      <c r="D33" s="8" t="s">
        <v>1522</v>
      </c>
      <c r="E33" s="8" t="s">
        <v>1523</v>
      </c>
    </row>
    <row r="34" spans="1:5" ht="15.75" customHeight="1" x14ac:dyDescent="0.4">
      <c r="A34" s="7" t="s">
        <v>81</v>
      </c>
      <c r="B34" s="4" t="s">
        <v>82</v>
      </c>
      <c r="C34" s="4" t="s">
        <v>68</v>
      </c>
      <c r="D34" s="8" t="s">
        <v>1522</v>
      </c>
      <c r="E34" s="8" t="s">
        <v>1523</v>
      </c>
    </row>
    <row r="35" spans="1:5" ht="15.75" customHeight="1" x14ac:dyDescent="0.4">
      <c r="A35" s="7" t="s">
        <v>83</v>
      </c>
      <c r="B35" s="4" t="s">
        <v>84</v>
      </c>
      <c r="C35" s="4" t="s">
        <v>9</v>
      </c>
      <c r="D35" s="8" t="s">
        <v>1520</v>
      </c>
      <c r="E35" s="8" t="s">
        <v>1528</v>
      </c>
    </row>
    <row r="36" spans="1:5" ht="15.75" customHeight="1" x14ac:dyDescent="0.4">
      <c r="A36" s="7" t="s">
        <v>85</v>
      </c>
      <c r="B36" s="4" t="s">
        <v>86</v>
      </c>
      <c r="C36" s="4" t="s">
        <v>24</v>
      </c>
      <c r="D36" s="8" t="s">
        <v>1522</v>
      </c>
      <c r="E36" s="8" t="s">
        <v>1523</v>
      </c>
    </row>
    <row r="37" spans="1:5" ht="14.6" x14ac:dyDescent="0.4">
      <c r="A37" s="7" t="s">
        <v>87</v>
      </c>
      <c r="B37" s="4" t="s">
        <v>88</v>
      </c>
      <c r="C37" s="4" t="s">
        <v>47</v>
      </c>
      <c r="D37" s="8" t="s">
        <v>1520</v>
      </c>
      <c r="E37" s="8" t="s">
        <v>1528</v>
      </c>
    </row>
    <row r="38" spans="1:5" ht="14.6" x14ac:dyDescent="0.4">
      <c r="A38" s="7" t="s">
        <v>89</v>
      </c>
      <c r="B38" s="4" t="s">
        <v>90</v>
      </c>
      <c r="C38" s="4" t="s">
        <v>65</v>
      </c>
      <c r="D38" s="8" t="s">
        <v>1522</v>
      </c>
      <c r="E38" s="8" t="s">
        <v>1525</v>
      </c>
    </row>
    <row r="39" spans="1:5" ht="14.6" x14ac:dyDescent="0.4">
      <c r="A39" s="7" t="s">
        <v>91</v>
      </c>
      <c r="B39" s="4" t="s">
        <v>57</v>
      </c>
      <c r="C39" s="4" t="s">
        <v>15</v>
      </c>
      <c r="D39" s="8" t="s">
        <v>1522</v>
      </c>
      <c r="E39" s="8" t="s">
        <v>1527</v>
      </c>
    </row>
    <row r="40" spans="1:5" ht="14.6" x14ac:dyDescent="0.4">
      <c r="A40" s="7" t="s">
        <v>92</v>
      </c>
      <c r="B40" s="4" t="s">
        <v>93</v>
      </c>
      <c r="C40" s="4" t="s">
        <v>18</v>
      </c>
      <c r="D40" s="8" t="s">
        <v>1522</v>
      </c>
      <c r="E40" s="8" t="s">
        <v>1527</v>
      </c>
    </row>
    <row r="41" spans="1:5" ht="14.6" x14ac:dyDescent="0.4">
      <c r="A41" s="7" t="s">
        <v>94</v>
      </c>
      <c r="B41" s="4" t="s">
        <v>95</v>
      </c>
      <c r="C41" s="4" t="s">
        <v>65</v>
      </c>
      <c r="D41" s="8" t="s">
        <v>1522</v>
      </c>
      <c r="E41" s="8" t="s">
        <v>1527</v>
      </c>
    </row>
    <row r="42" spans="1:5" ht="14.6" x14ac:dyDescent="0.4">
      <c r="A42" s="7" t="s">
        <v>96</v>
      </c>
      <c r="B42" s="4" t="s">
        <v>8</v>
      </c>
      <c r="C42" s="4" t="s">
        <v>29</v>
      </c>
      <c r="D42" s="8" t="s">
        <v>1522</v>
      </c>
      <c r="E42" s="8" t="s">
        <v>1523</v>
      </c>
    </row>
    <row r="43" spans="1:5" ht="14.6" x14ac:dyDescent="0.4">
      <c r="A43" s="7" t="s">
        <v>97</v>
      </c>
      <c r="B43" s="4" t="s">
        <v>98</v>
      </c>
      <c r="C43" s="4" t="s">
        <v>15</v>
      </c>
      <c r="D43" s="8" t="s">
        <v>1522</v>
      </c>
      <c r="E43" s="8" t="s">
        <v>1523</v>
      </c>
    </row>
    <row r="44" spans="1:5" ht="14.6" x14ac:dyDescent="0.4">
      <c r="A44" s="7" t="s">
        <v>99</v>
      </c>
      <c r="B44" s="4" t="s">
        <v>98</v>
      </c>
      <c r="C44" s="4" t="s">
        <v>6</v>
      </c>
      <c r="D44" s="8" t="s">
        <v>1520</v>
      </c>
      <c r="E44" s="8" t="s">
        <v>1528</v>
      </c>
    </row>
    <row r="45" spans="1:5" ht="14.6" x14ac:dyDescent="0.4">
      <c r="A45" s="7" t="s">
        <v>100</v>
      </c>
      <c r="B45" s="4" t="s">
        <v>101</v>
      </c>
      <c r="C45" s="4" t="s">
        <v>29</v>
      </c>
      <c r="D45" s="8" t="s">
        <v>1520</v>
      </c>
      <c r="E45" s="8" t="s">
        <v>1528</v>
      </c>
    </row>
    <row r="46" spans="1:5" ht="14.6" x14ac:dyDescent="0.4">
      <c r="A46" s="7" t="s">
        <v>102</v>
      </c>
      <c r="B46" s="4" t="s">
        <v>103</v>
      </c>
      <c r="C46" s="4" t="s">
        <v>52</v>
      </c>
      <c r="D46" s="8" t="s">
        <v>1522</v>
      </c>
      <c r="E46" s="8" t="s">
        <v>1523</v>
      </c>
    </row>
    <row r="47" spans="1:5" ht="14.6" x14ac:dyDescent="0.4">
      <c r="A47" s="7" t="s">
        <v>104</v>
      </c>
      <c r="B47" s="4" t="s">
        <v>105</v>
      </c>
      <c r="C47" s="4" t="s">
        <v>47</v>
      </c>
      <c r="D47" s="8" t="s">
        <v>1520</v>
      </c>
      <c r="E47" s="8" t="s">
        <v>1528</v>
      </c>
    </row>
    <row r="48" spans="1:5" ht="14.6" x14ac:dyDescent="0.4">
      <c r="A48" s="7" t="s">
        <v>106</v>
      </c>
      <c r="B48" s="4" t="s">
        <v>82</v>
      </c>
      <c r="C48" s="4" t="s">
        <v>34</v>
      </c>
      <c r="D48" s="8" t="s">
        <v>1522</v>
      </c>
      <c r="E48" s="8" t="s">
        <v>1527</v>
      </c>
    </row>
    <row r="49" spans="1:5" ht="14.6" x14ac:dyDescent="0.4">
      <c r="A49" s="7" t="s">
        <v>107</v>
      </c>
      <c r="B49" s="4" t="s">
        <v>108</v>
      </c>
      <c r="C49" s="4" t="s">
        <v>47</v>
      </c>
      <c r="D49" s="8" t="s">
        <v>1520</v>
      </c>
      <c r="E49" s="8" t="s">
        <v>1528</v>
      </c>
    </row>
    <row r="50" spans="1:5" ht="14.6" x14ac:dyDescent="0.4">
      <c r="A50" s="7" t="s">
        <v>109</v>
      </c>
      <c r="B50" s="4" t="s">
        <v>110</v>
      </c>
      <c r="C50" s="4" t="s">
        <v>65</v>
      </c>
      <c r="D50" s="8" t="s">
        <v>1522</v>
      </c>
      <c r="E50" s="8" t="s">
        <v>1525</v>
      </c>
    </row>
    <row r="51" spans="1:5" ht="14.6" x14ac:dyDescent="0.4">
      <c r="A51" s="7" t="s">
        <v>111</v>
      </c>
      <c r="B51" s="4" t="s">
        <v>112</v>
      </c>
      <c r="C51" s="4" t="s">
        <v>58</v>
      </c>
      <c r="D51" s="8" t="s">
        <v>1520</v>
      </c>
      <c r="E51" s="8" t="s">
        <v>1528</v>
      </c>
    </row>
    <row r="52" spans="1:5" ht="14.6" x14ac:dyDescent="0.4">
      <c r="A52" s="7" t="s">
        <v>113</v>
      </c>
      <c r="B52" s="4" t="s">
        <v>114</v>
      </c>
      <c r="C52" s="4" t="s">
        <v>18</v>
      </c>
      <c r="D52" s="8" t="s">
        <v>1522</v>
      </c>
      <c r="E52" s="8" t="s">
        <v>1525</v>
      </c>
    </row>
    <row r="53" spans="1:5" ht="14.6" x14ac:dyDescent="0.4">
      <c r="A53" s="7" t="s">
        <v>115</v>
      </c>
      <c r="B53" s="4" t="s">
        <v>116</v>
      </c>
      <c r="C53" s="4" t="s">
        <v>55</v>
      </c>
      <c r="D53" s="8" t="s">
        <v>1522</v>
      </c>
      <c r="E53" s="8" t="s">
        <v>1523</v>
      </c>
    </row>
    <row r="54" spans="1:5" ht="14.6" x14ac:dyDescent="0.4">
      <c r="A54" s="7" t="s">
        <v>117</v>
      </c>
      <c r="B54" s="4" t="s">
        <v>118</v>
      </c>
      <c r="C54" s="4" t="s">
        <v>65</v>
      </c>
      <c r="D54" s="8" t="s">
        <v>1520</v>
      </c>
      <c r="E54" s="8" t="s">
        <v>1528</v>
      </c>
    </row>
    <row r="55" spans="1:5" ht="14.6" x14ac:dyDescent="0.4">
      <c r="A55" s="7" t="s">
        <v>119</v>
      </c>
      <c r="B55" s="4" t="s">
        <v>120</v>
      </c>
      <c r="C55" s="4" t="s">
        <v>68</v>
      </c>
      <c r="D55" s="8" t="s">
        <v>1520</v>
      </c>
      <c r="E55" s="8" t="s">
        <v>1528</v>
      </c>
    </row>
    <row r="56" spans="1:5" ht="14.6" x14ac:dyDescent="0.4">
      <c r="A56" s="7" t="s">
        <v>121</v>
      </c>
      <c r="B56" s="4" t="s">
        <v>122</v>
      </c>
      <c r="C56" s="4" t="s">
        <v>29</v>
      </c>
      <c r="D56" s="8" t="s">
        <v>1520</v>
      </c>
      <c r="E56" s="8" t="s">
        <v>1528</v>
      </c>
    </row>
    <row r="57" spans="1:5" ht="14.6" x14ac:dyDescent="0.4">
      <c r="A57" s="7" t="s">
        <v>123</v>
      </c>
      <c r="B57" s="4" t="s">
        <v>124</v>
      </c>
      <c r="C57" s="4" t="s">
        <v>34</v>
      </c>
      <c r="D57" s="8" t="s">
        <v>1520</v>
      </c>
      <c r="E57" s="8" t="s">
        <v>1528</v>
      </c>
    </row>
    <row r="58" spans="1:5" ht="14.6" x14ac:dyDescent="0.4">
      <c r="A58" s="7" t="s">
        <v>125</v>
      </c>
      <c r="B58" s="4" t="s">
        <v>126</v>
      </c>
      <c r="C58" s="4" t="s">
        <v>15</v>
      </c>
      <c r="D58" s="8" t="s">
        <v>1520</v>
      </c>
      <c r="E58" s="8" t="s">
        <v>1528</v>
      </c>
    </row>
    <row r="59" spans="1:5" ht="14.6" x14ac:dyDescent="0.4">
      <c r="A59" s="7" t="s">
        <v>127</v>
      </c>
      <c r="B59" s="4" t="s">
        <v>128</v>
      </c>
      <c r="C59" s="4" t="s">
        <v>9</v>
      </c>
      <c r="D59" s="8" t="s">
        <v>1522</v>
      </c>
      <c r="E59" s="8" t="s">
        <v>1527</v>
      </c>
    </row>
    <row r="60" spans="1:5" ht="14.6" x14ac:dyDescent="0.4">
      <c r="A60" s="7" t="s">
        <v>129</v>
      </c>
      <c r="B60" s="4" t="s">
        <v>74</v>
      </c>
      <c r="C60" s="4" t="s">
        <v>12</v>
      </c>
      <c r="D60" s="8" t="s">
        <v>1520</v>
      </c>
      <c r="E60" s="8" t="s">
        <v>1528</v>
      </c>
    </row>
    <row r="61" spans="1:5" ht="14.6" x14ac:dyDescent="0.4">
      <c r="A61" s="7" t="s">
        <v>130</v>
      </c>
      <c r="B61" s="4" t="s">
        <v>131</v>
      </c>
      <c r="C61" s="4" t="s">
        <v>6</v>
      </c>
      <c r="D61" s="8" t="s">
        <v>1520</v>
      </c>
      <c r="E61" s="8" t="s">
        <v>1528</v>
      </c>
    </row>
    <row r="62" spans="1:5" ht="14.6" x14ac:dyDescent="0.4">
      <c r="A62" s="7" t="s">
        <v>132</v>
      </c>
      <c r="B62" s="4" t="s">
        <v>133</v>
      </c>
      <c r="C62" s="4" t="s">
        <v>12</v>
      </c>
      <c r="D62" s="8" t="s">
        <v>1520</v>
      </c>
      <c r="E62" s="8" t="s">
        <v>1528</v>
      </c>
    </row>
    <row r="63" spans="1:5" ht="14.6" x14ac:dyDescent="0.4">
      <c r="A63" s="7" t="s">
        <v>134</v>
      </c>
      <c r="B63" s="4" t="s">
        <v>135</v>
      </c>
      <c r="C63" s="4" t="s">
        <v>68</v>
      </c>
      <c r="D63" s="8" t="s">
        <v>1520</v>
      </c>
      <c r="E63" s="8" t="s">
        <v>1528</v>
      </c>
    </row>
    <row r="64" spans="1:5" ht="14.6" x14ac:dyDescent="0.4">
      <c r="A64" s="7" t="s">
        <v>136</v>
      </c>
      <c r="B64" s="4" t="s">
        <v>137</v>
      </c>
      <c r="C64" s="4" t="s">
        <v>47</v>
      </c>
      <c r="D64" s="8" t="s">
        <v>1522</v>
      </c>
      <c r="E64" s="8" t="s">
        <v>1527</v>
      </c>
    </row>
    <row r="65" spans="1:5" ht="14.6" x14ac:dyDescent="0.4">
      <c r="A65" s="7" t="s">
        <v>138</v>
      </c>
      <c r="B65" s="4" t="s">
        <v>139</v>
      </c>
      <c r="C65" s="4" t="s">
        <v>15</v>
      </c>
      <c r="D65" s="8" t="s">
        <v>1520</v>
      </c>
      <c r="E65" s="8" t="s">
        <v>1528</v>
      </c>
    </row>
    <row r="66" spans="1:5" ht="14.6" x14ac:dyDescent="0.4">
      <c r="A66" s="7" t="s">
        <v>140</v>
      </c>
      <c r="B66" s="4" t="s">
        <v>141</v>
      </c>
      <c r="C66" s="4" t="s">
        <v>6</v>
      </c>
      <c r="D66" s="8" t="s">
        <v>1522</v>
      </c>
      <c r="E66" s="8" t="s">
        <v>1529</v>
      </c>
    </row>
    <row r="67" spans="1:5" ht="14.6" x14ac:dyDescent="0.4">
      <c r="A67" s="7" t="s">
        <v>142</v>
      </c>
      <c r="B67" s="4" t="s">
        <v>101</v>
      </c>
      <c r="C67" s="4" t="s">
        <v>12</v>
      </c>
      <c r="D67" s="8" t="s">
        <v>1520</v>
      </c>
      <c r="E67" s="8" t="s">
        <v>1528</v>
      </c>
    </row>
    <row r="68" spans="1:5" ht="14.6" x14ac:dyDescent="0.4">
      <c r="A68" s="7" t="s">
        <v>143</v>
      </c>
      <c r="B68" s="4" t="s">
        <v>144</v>
      </c>
      <c r="C68" s="4" t="s">
        <v>47</v>
      </c>
      <c r="D68" s="8" t="s">
        <v>1520</v>
      </c>
      <c r="E68" s="8" t="s">
        <v>1528</v>
      </c>
    </row>
    <row r="69" spans="1:5" ht="14.6" x14ac:dyDescent="0.4">
      <c r="A69" s="7" t="s">
        <v>145</v>
      </c>
      <c r="B69" s="4" t="s">
        <v>146</v>
      </c>
      <c r="C69" s="4" t="s">
        <v>9</v>
      </c>
      <c r="D69" s="8" t="s">
        <v>1522</v>
      </c>
      <c r="E69" s="8" t="s">
        <v>1527</v>
      </c>
    </row>
    <row r="70" spans="1:5" ht="14.6" x14ac:dyDescent="0.4">
      <c r="A70" s="7" t="s">
        <v>147</v>
      </c>
      <c r="B70" s="4" t="s">
        <v>101</v>
      </c>
      <c r="C70" s="4" t="s">
        <v>68</v>
      </c>
      <c r="D70" s="8" t="s">
        <v>1522</v>
      </c>
      <c r="E70" s="8" t="s">
        <v>1530</v>
      </c>
    </row>
    <row r="71" spans="1:5" ht="14.6" x14ac:dyDescent="0.4">
      <c r="A71" s="7" t="s">
        <v>148</v>
      </c>
      <c r="B71" s="4" t="s">
        <v>149</v>
      </c>
      <c r="C71" s="4" t="s">
        <v>47</v>
      </c>
      <c r="D71" s="8" t="s">
        <v>1520</v>
      </c>
      <c r="E71" s="8" t="s">
        <v>1528</v>
      </c>
    </row>
    <row r="72" spans="1:5" ht="14.6" x14ac:dyDescent="0.4">
      <c r="A72" s="7" t="s">
        <v>150</v>
      </c>
      <c r="B72" s="4" t="s">
        <v>151</v>
      </c>
      <c r="C72" s="4" t="s">
        <v>9</v>
      </c>
      <c r="D72" s="8" t="s">
        <v>1520</v>
      </c>
      <c r="E72" s="8" t="s">
        <v>1528</v>
      </c>
    </row>
    <row r="73" spans="1:5" ht="14.6" x14ac:dyDescent="0.4">
      <c r="A73" s="7" t="s">
        <v>152</v>
      </c>
      <c r="B73" s="4" t="s">
        <v>11</v>
      </c>
      <c r="C73" s="4" t="s">
        <v>21</v>
      </c>
      <c r="D73" s="8" t="s">
        <v>1520</v>
      </c>
      <c r="E73" s="8" t="s">
        <v>1528</v>
      </c>
    </row>
    <row r="74" spans="1:5" ht="14.6" x14ac:dyDescent="0.4">
      <c r="A74" s="7" t="s">
        <v>153</v>
      </c>
      <c r="B74" s="4" t="s">
        <v>154</v>
      </c>
      <c r="C74" s="4" t="s">
        <v>34</v>
      </c>
      <c r="D74" s="8" t="s">
        <v>1520</v>
      </c>
      <c r="E74" s="8" t="s">
        <v>1528</v>
      </c>
    </row>
    <row r="75" spans="1:5" ht="14.6" x14ac:dyDescent="0.4">
      <c r="A75" s="7" t="s">
        <v>155</v>
      </c>
      <c r="B75" s="4" t="s">
        <v>156</v>
      </c>
      <c r="C75" s="4" t="s">
        <v>52</v>
      </c>
      <c r="D75" s="8" t="s">
        <v>1520</v>
      </c>
      <c r="E75" s="8" t="s">
        <v>1528</v>
      </c>
    </row>
    <row r="76" spans="1:5" ht="14.6" x14ac:dyDescent="0.4">
      <c r="A76" s="7" t="s">
        <v>157</v>
      </c>
      <c r="B76" s="4" t="s">
        <v>158</v>
      </c>
      <c r="C76" s="4" t="s">
        <v>29</v>
      </c>
      <c r="D76" s="8" t="s">
        <v>1522</v>
      </c>
      <c r="E76" s="8" t="s">
        <v>1531</v>
      </c>
    </row>
    <row r="77" spans="1:5" ht="14.6" x14ac:dyDescent="0.4">
      <c r="A77" s="7" t="s">
        <v>159</v>
      </c>
      <c r="B77" s="4" t="s">
        <v>160</v>
      </c>
      <c r="C77" s="4" t="s">
        <v>58</v>
      </c>
      <c r="D77" s="8" t="s">
        <v>1522</v>
      </c>
      <c r="E77" s="8" t="s">
        <v>1531</v>
      </c>
    </row>
    <row r="78" spans="1:5" ht="14.6" x14ac:dyDescent="0.4">
      <c r="A78" s="7" t="s">
        <v>161</v>
      </c>
      <c r="B78" s="4" t="s">
        <v>162</v>
      </c>
      <c r="C78" s="4" t="s">
        <v>34</v>
      </c>
      <c r="D78" s="8" t="s">
        <v>1520</v>
      </c>
      <c r="E78" s="8" t="s">
        <v>1528</v>
      </c>
    </row>
    <row r="79" spans="1:5" ht="14.6" x14ac:dyDescent="0.4">
      <c r="A79" s="7" t="s">
        <v>163</v>
      </c>
      <c r="B79" s="4" t="s">
        <v>164</v>
      </c>
      <c r="C79" s="4" t="s">
        <v>65</v>
      </c>
      <c r="D79" s="8" t="s">
        <v>1520</v>
      </c>
      <c r="E79" s="8" t="s">
        <v>1528</v>
      </c>
    </row>
    <row r="80" spans="1:5" ht="14.6" x14ac:dyDescent="0.4">
      <c r="A80" s="7" t="s">
        <v>165</v>
      </c>
      <c r="B80" s="4" t="s">
        <v>95</v>
      </c>
      <c r="C80" s="4" t="s">
        <v>29</v>
      </c>
      <c r="D80" s="8" t="s">
        <v>1520</v>
      </c>
      <c r="E80" s="8" t="s">
        <v>1528</v>
      </c>
    </row>
    <row r="81" spans="1:5" ht="14.6" x14ac:dyDescent="0.4">
      <c r="A81" s="7" t="s">
        <v>166</v>
      </c>
      <c r="B81" s="4" t="s">
        <v>167</v>
      </c>
      <c r="C81" s="4" t="s">
        <v>47</v>
      </c>
      <c r="D81" s="8" t="s">
        <v>1520</v>
      </c>
      <c r="E81" s="8" t="s">
        <v>1528</v>
      </c>
    </row>
    <row r="82" spans="1:5" ht="14.6" x14ac:dyDescent="0.4">
      <c r="A82" s="7" t="s">
        <v>168</v>
      </c>
      <c r="B82" s="4" t="s">
        <v>169</v>
      </c>
      <c r="C82" s="4" t="s">
        <v>52</v>
      </c>
      <c r="D82" s="8" t="s">
        <v>1520</v>
      </c>
      <c r="E82" s="8" t="s">
        <v>1528</v>
      </c>
    </row>
    <row r="83" spans="1:5" ht="14.6" x14ac:dyDescent="0.4">
      <c r="A83" s="7" t="s">
        <v>170</v>
      </c>
      <c r="B83" s="4" t="s">
        <v>171</v>
      </c>
      <c r="C83" s="4" t="s">
        <v>34</v>
      </c>
      <c r="D83" s="8" t="s">
        <v>1520</v>
      </c>
      <c r="E83" s="8" t="s">
        <v>1528</v>
      </c>
    </row>
    <row r="84" spans="1:5" ht="14.6" x14ac:dyDescent="0.4">
      <c r="A84" s="7" t="s">
        <v>172</v>
      </c>
      <c r="B84" s="4" t="s">
        <v>44</v>
      </c>
      <c r="C84" s="4" t="s">
        <v>47</v>
      </c>
      <c r="D84" s="8" t="s">
        <v>1522</v>
      </c>
      <c r="E84" s="8" t="s">
        <v>1527</v>
      </c>
    </row>
    <row r="85" spans="1:5" ht="14.6" x14ac:dyDescent="0.4">
      <c r="A85" s="7" t="s">
        <v>173</v>
      </c>
      <c r="B85" s="4" t="s">
        <v>174</v>
      </c>
      <c r="C85" s="4" t="s">
        <v>12</v>
      </c>
      <c r="D85" s="8" t="s">
        <v>1520</v>
      </c>
      <c r="E85" s="8" t="s">
        <v>1528</v>
      </c>
    </row>
    <row r="86" spans="1:5" ht="14.6" x14ac:dyDescent="0.4">
      <c r="A86" s="7" t="s">
        <v>175</v>
      </c>
      <c r="B86" s="4" t="s">
        <v>176</v>
      </c>
      <c r="C86" s="4" t="s">
        <v>12</v>
      </c>
      <c r="D86" s="8" t="s">
        <v>1520</v>
      </c>
      <c r="E86" s="8" t="s">
        <v>1528</v>
      </c>
    </row>
    <row r="87" spans="1:5" ht="14.6" x14ac:dyDescent="0.4">
      <c r="A87" s="7" t="s">
        <v>177</v>
      </c>
      <c r="B87" s="4" t="s">
        <v>178</v>
      </c>
      <c r="C87" s="4" t="s">
        <v>52</v>
      </c>
      <c r="D87" s="8" t="s">
        <v>1522</v>
      </c>
      <c r="E87" s="8" t="s">
        <v>1523</v>
      </c>
    </row>
    <row r="88" spans="1:5" ht="14.6" x14ac:dyDescent="0.4">
      <c r="A88" s="7" t="s">
        <v>179</v>
      </c>
      <c r="B88" s="4" t="s">
        <v>180</v>
      </c>
      <c r="C88" s="4" t="s">
        <v>18</v>
      </c>
      <c r="D88" s="8" t="s">
        <v>1522</v>
      </c>
      <c r="E88" s="8" t="s">
        <v>1523</v>
      </c>
    </row>
    <row r="89" spans="1:5" ht="14.6" x14ac:dyDescent="0.4">
      <c r="A89" s="7" t="s">
        <v>181</v>
      </c>
      <c r="B89" s="4" t="s">
        <v>182</v>
      </c>
      <c r="C89" s="4" t="s">
        <v>12</v>
      </c>
      <c r="D89" s="8" t="s">
        <v>1520</v>
      </c>
      <c r="E89" s="8" t="s">
        <v>1528</v>
      </c>
    </row>
    <row r="90" spans="1:5" ht="14.6" x14ac:dyDescent="0.4">
      <c r="A90" s="7" t="s">
        <v>183</v>
      </c>
      <c r="B90" s="4" t="s">
        <v>184</v>
      </c>
      <c r="C90" s="4" t="s">
        <v>68</v>
      </c>
      <c r="D90" s="8" t="s">
        <v>1522</v>
      </c>
      <c r="E90" s="8" t="s">
        <v>1525</v>
      </c>
    </row>
    <row r="91" spans="1:5" ht="14.6" x14ac:dyDescent="0.4">
      <c r="A91" s="7" t="s">
        <v>185</v>
      </c>
      <c r="B91" s="4" t="s">
        <v>46</v>
      </c>
      <c r="C91" s="4" t="s">
        <v>68</v>
      </c>
      <c r="D91" s="8" t="s">
        <v>1522</v>
      </c>
      <c r="E91" s="8" t="s">
        <v>1527</v>
      </c>
    </row>
    <row r="92" spans="1:5" ht="14.6" x14ac:dyDescent="0.4">
      <c r="A92" s="7" t="s">
        <v>186</v>
      </c>
      <c r="B92" s="4" t="s">
        <v>187</v>
      </c>
      <c r="C92" s="4" t="s">
        <v>47</v>
      </c>
      <c r="D92" s="8" t="s">
        <v>1522</v>
      </c>
      <c r="E92" s="8" t="s">
        <v>1527</v>
      </c>
    </row>
    <row r="93" spans="1:5" ht="14.6" x14ac:dyDescent="0.4">
      <c r="A93" s="7" t="s">
        <v>188</v>
      </c>
      <c r="B93" s="4" t="s">
        <v>189</v>
      </c>
      <c r="C93" s="4" t="s">
        <v>47</v>
      </c>
      <c r="D93" s="8" t="s">
        <v>1522</v>
      </c>
      <c r="E93" s="8" t="s">
        <v>1525</v>
      </c>
    </row>
    <row r="94" spans="1:5" ht="14.6" x14ac:dyDescent="0.4">
      <c r="A94" s="7" t="s">
        <v>190</v>
      </c>
      <c r="B94" s="4" t="s">
        <v>191</v>
      </c>
      <c r="C94" s="4" t="s">
        <v>68</v>
      </c>
      <c r="D94" s="8" t="s">
        <v>1522</v>
      </c>
      <c r="E94" s="8" t="s">
        <v>1525</v>
      </c>
    </row>
    <row r="95" spans="1:5" ht="14.6" x14ac:dyDescent="0.4">
      <c r="A95" s="7" t="s">
        <v>192</v>
      </c>
      <c r="B95" s="4" t="s">
        <v>193</v>
      </c>
      <c r="C95" s="4" t="s">
        <v>55</v>
      </c>
      <c r="D95" s="8" t="s">
        <v>1520</v>
      </c>
      <c r="E95" s="8" t="s">
        <v>1528</v>
      </c>
    </row>
    <row r="96" spans="1:5" ht="14.6" x14ac:dyDescent="0.4">
      <c r="A96" s="7" t="s">
        <v>194</v>
      </c>
      <c r="B96" s="4" t="s">
        <v>195</v>
      </c>
      <c r="C96" s="4" t="s">
        <v>9</v>
      </c>
      <c r="D96" s="8" t="s">
        <v>1520</v>
      </c>
      <c r="E96" s="8" t="s">
        <v>1528</v>
      </c>
    </row>
    <row r="97" spans="1:5" ht="14.6" x14ac:dyDescent="0.4">
      <c r="A97" s="7" t="s">
        <v>196</v>
      </c>
      <c r="B97" s="4" t="s">
        <v>197</v>
      </c>
      <c r="C97" s="4" t="s">
        <v>24</v>
      </c>
      <c r="D97" s="8" t="s">
        <v>1522</v>
      </c>
      <c r="E97" s="8" t="s">
        <v>1523</v>
      </c>
    </row>
    <row r="98" spans="1:5" ht="14.6" x14ac:dyDescent="0.4">
      <c r="A98" s="7" t="s">
        <v>198</v>
      </c>
      <c r="B98" s="4" t="s">
        <v>191</v>
      </c>
      <c r="C98" s="4" t="s">
        <v>65</v>
      </c>
      <c r="D98" s="8" t="s">
        <v>1520</v>
      </c>
      <c r="E98" s="8" t="s">
        <v>1528</v>
      </c>
    </row>
    <row r="99" spans="1:5" ht="14.6" x14ac:dyDescent="0.4">
      <c r="A99" s="7" t="s">
        <v>199</v>
      </c>
      <c r="B99" s="4" t="s">
        <v>200</v>
      </c>
      <c r="C99" s="4" t="s">
        <v>58</v>
      </c>
      <c r="D99" s="8" t="s">
        <v>1522</v>
      </c>
      <c r="E99" s="8" t="s">
        <v>1525</v>
      </c>
    </row>
    <row r="100" spans="1:5" ht="14.6" x14ac:dyDescent="0.4">
      <c r="A100" s="7" t="s">
        <v>201</v>
      </c>
      <c r="B100" s="4" t="s">
        <v>202</v>
      </c>
      <c r="C100" s="4" t="s">
        <v>18</v>
      </c>
      <c r="D100" s="8" t="s">
        <v>1522</v>
      </c>
      <c r="E100" s="8" t="s">
        <v>1527</v>
      </c>
    </row>
    <row r="101" spans="1:5" ht="14.6" x14ac:dyDescent="0.4">
      <c r="A101" s="7" t="s">
        <v>203</v>
      </c>
      <c r="B101" s="4" t="s">
        <v>204</v>
      </c>
      <c r="C101" s="4" t="s">
        <v>58</v>
      </c>
      <c r="D101" s="8" t="s">
        <v>1522</v>
      </c>
      <c r="E101" s="8" t="s">
        <v>1525</v>
      </c>
    </row>
    <row r="102" spans="1:5" ht="14.6" x14ac:dyDescent="0.4">
      <c r="A102" s="7" t="s">
        <v>205</v>
      </c>
      <c r="B102" s="4" t="s">
        <v>197</v>
      </c>
      <c r="C102" s="4" t="s">
        <v>15</v>
      </c>
      <c r="D102" s="8" t="s">
        <v>1522</v>
      </c>
      <c r="E102" s="8" t="s">
        <v>1527</v>
      </c>
    </row>
    <row r="103" spans="1:5" ht="14.6" x14ac:dyDescent="0.4">
      <c r="A103" s="7" t="s">
        <v>206</v>
      </c>
      <c r="B103" s="4" t="s">
        <v>207</v>
      </c>
      <c r="C103" s="4" t="s">
        <v>68</v>
      </c>
      <c r="D103" s="8" t="s">
        <v>1520</v>
      </c>
      <c r="E103" s="8" t="s">
        <v>1528</v>
      </c>
    </row>
    <row r="104" spans="1:5" ht="14.6" x14ac:dyDescent="0.4">
      <c r="A104" s="7" t="s">
        <v>208</v>
      </c>
      <c r="B104" s="4" t="s">
        <v>209</v>
      </c>
      <c r="C104" s="4" t="s">
        <v>65</v>
      </c>
      <c r="D104" s="8" t="s">
        <v>1520</v>
      </c>
      <c r="E104" s="8" t="s">
        <v>1528</v>
      </c>
    </row>
    <row r="105" spans="1:5" ht="14.6" x14ac:dyDescent="0.4">
      <c r="A105" s="7" t="s">
        <v>210</v>
      </c>
      <c r="B105" s="4" t="s">
        <v>211</v>
      </c>
      <c r="C105" s="4" t="s">
        <v>24</v>
      </c>
      <c r="D105" s="8" t="s">
        <v>1522</v>
      </c>
      <c r="E105" s="8" t="s">
        <v>1525</v>
      </c>
    </row>
    <row r="106" spans="1:5" ht="14.6" x14ac:dyDescent="0.4">
      <c r="A106" s="7" t="s">
        <v>212</v>
      </c>
      <c r="B106" s="4" t="s">
        <v>213</v>
      </c>
      <c r="C106" s="4" t="s">
        <v>58</v>
      </c>
      <c r="D106" s="8" t="s">
        <v>1520</v>
      </c>
      <c r="E106" s="8" t="s">
        <v>1528</v>
      </c>
    </row>
    <row r="107" spans="1:5" ht="14.6" x14ac:dyDescent="0.4">
      <c r="A107" s="7" t="s">
        <v>214</v>
      </c>
      <c r="B107" s="4" t="s">
        <v>215</v>
      </c>
      <c r="C107" s="4" t="s">
        <v>52</v>
      </c>
      <c r="D107" s="8" t="s">
        <v>1520</v>
      </c>
      <c r="E107" s="8" t="s">
        <v>1528</v>
      </c>
    </row>
    <row r="108" spans="1:5" ht="14.6" x14ac:dyDescent="0.4">
      <c r="A108" s="7" t="s">
        <v>216</v>
      </c>
      <c r="B108" s="4" t="s">
        <v>70</v>
      </c>
      <c r="C108" s="4" t="s">
        <v>24</v>
      </c>
      <c r="D108" s="8" t="s">
        <v>1520</v>
      </c>
      <c r="E108" s="8" t="s">
        <v>1528</v>
      </c>
    </row>
    <row r="109" spans="1:5" ht="14.6" x14ac:dyDescent="0.4">
      <c r="A109" s="7" t="s">
        <v>217</v>
      </c>
      <c r="B109" s="4" t="s">
        <v>5</v>
      </c>
      <c r="C109" s="4" t="s">
        <v>47</v>
      </c>
      <c r="D109" s="8" t="s">
        <v>1520</v>
      </c>
      <c r="E109" s="8" t="s">
        <v>1528</v>
      </c>
    </row>
    <row r="110" spans="1:5" ht="14.6" x14ac:dyDescent="0.4">
      <c r="A110" s="7" t="s">
        <v>218</v>
      </c>
      <c r="B110" s="4" t="s">
        <v>219</v>
      </c>
      <c r="C110" s="4" t="s">
        <v>55</v>
      </c>
      <c r="D110" s="8" t="s">
        <v>1522</v>
      </c>
      <c r="E110" s="8" t="s">
        <v>1525</v>
      </c>
    </row>
    <row r="111" spans="1:5" ht="14.6" x14ac:dyDescent="0.4">
      <c r="A111" s="7" t="s">
        <v>220</v>
      </c>
      <c r="B111" s="4" t="s">
        <v>221</v>
      </c>
      <c r="C111" s="4" t="s">
        <v>21</v>
      </c>
      <c r="D111" s="8" t="s">
        <v>1520</v>
      </c>
      <c r="E111" s="8" t="s">
        <v>1528</v>
      </c>
    </row>
    <row r="112" spans="1:5" ht="14.6" x14ac:dyDescent="0.4">
      <c r="A112" s="7" t="s">
        <v>222</v>
      </c>
      <c r="B112" s="4" t="s">
        <v>182</v>
      </c>
      <c r="C112" s="4" t="s">
        <v>9</v>
      </c>
      <c r="D112" s="8" t="s">
        <v>1522</v>
      </c>
      <c r="E112" s="8" t="s">
        <v>1525</v>
      </c>
    </row>
    <row r="113" spans="1:5" ht="14.6" x14ac:dyDescent="0.4">
      <c r="A113" s="7" t="s">
        <v>223</v>
      </c>
      <c r="B113" s="4" t="s">
        <v>224</v>
      </c>
      <c r="C113" s="4" t="s">
        <v>34</v>
      </c>
      <c r="D113" s="8" t="s">
        <v>1520</v>
      </c>
      <c r="E113" s="8" t="s">
        <v>1528</v>
      </c>
    </row>
    <row r="114" spans="1:5" ht="14.6" x14ac:dyDescent="0.4">
      <c r="A114" s="7" t="s">
        <v>225</v>
      </c>
      <c r="B114" s="4" t="s">
        <v>49</v>
      </c>
      <c r="C114" s="4" t="s">
        <v>68</v>
      </c>
      <c r="D114" s="8" t="s">
        <v>1520</v>
      </c>
      <c r="E114" s="8" t="s">
        <v>1528</v>
      </c>
    </row>
    <row r="115" spans="1:5" ht="14.6" x14ac:dyDescent="0.4">
      <c r="A115" s="7" t="s">
        <v>226</v>
      </c>
      <c r="B115" s="4" t="s">
        <v>227</v>
      </c>
      <c r="C115" s="4" t="s">
        <v>29</v>
      </c>
      <c r="D115" s="8" t="s">
        <v>1522</v>
      </c>
      <c r="E115" s="8" t="s">
        <v>1527</v>
      </c>
    </row>
    <row r="116" spans="1:5" ht="14.6" x14ac:dyDescent="0.4">
      <c r="A116" s="7" t="s">
        <v>228</v>
      </c>
      <c r="B116" s="4" t="s">
        <v>133</v>
      </c>
      <c r="C116" s="4" t="s">
        <v>18</v>
      </c>
      <c r="D116" s="8" t="s">
        <v>1522</v>
      </c>
      <c r="E116" s="8" t="s">
        <v>1527</v>
      </c>
    </row>
    <row r="117" spans="1:5" ht="14.6" x14ac:dyDescent="0.4">
      <c r="A117" s="7" t="s">
        <v>229</v>
      </c>
      <c r="B117" s="4" t="s">
        <v>31</v>
      </c>
      <c r="C117" s="4" t="s">
        <v>6</v>
      </c>
      <c r="D117" s="8" t="s">
        <v>1522</v>
      </c>
      <c r="E117" s="8" t="s">
        <v>1527</v>
      </c>
    </row>
    <row r="118" spans="1:5" ht="14.6" x14ac:dyDescent="0.4">
      <c r="A118" s="7" t="s">
        <v>230</v>
      </c>
      <c r="B118" s="4" t="s">
        <v>88</v>
      </c>
      <c r="C118" s="4" t="s">
        <v>47</v>
      </c>
      <c r="D118" s="8" t="s">
        <v>1520</v>
      </c>
      <c r="E118" s="8" t="s">
        <v>1528</v>
      </c>
    </row>
    <row r="119" spans="1:5" ht="14.6" x14ac:dyDescent="0.4">
      <c r="A119" s="7" t="s">
        <v>231</v>
      </c>
      <c r="B119" s="4" t="s">
        <v>232</v>
      </c>
      <c r="C119" s="4" t="s">
        <v>9</v>
      </c>
      <c r="D119" s="8" t="s">
        <v>1520</v>
      </c>
      <c r="E119" s="8" t="s">
        <v>1528</v>
      </c>
    </row>
    <row r="120" spans="1:5" ht="14.6" x14ac:dyDescent="0.4">
      <c r="A120" s="7" t="s">
        <v>233</v>
      </c>
      <c r="B120" s="4" t="s">
        <v>234</v>
      </c>
      <c r="C120" s="4" t="s">
        <v>65</v>
      </c>
      <c r="D120" s="8" t="s">
        <v>1520</v>
      </c>
      <c r="E120" s="8" t="s">
        <v>1528</v>
      </c>
    </row>
    <row r="121" spans="1:5" ht="14.6" x14ac:dyDescent="0.4">
      <c r="A121" s="7" t="s">
        <v>235</v>
      </c>
      <c r="B121" s="4" t="s">
        <v>236</v>
      </c>
      <c r="C121" s="4" t="s">
        <v>15</v>
      </c>
      <c r="D121" s="8" t="s">
        <v>1522</v>
      </c>
      <c r="E121" s="8" t="s">
        <v>1527</v>
      </c>
    </row>
    <row r="122" spans="1:5" ht="14.6" x14ac:dyDescent="0.4">
      <c r="A122" s="7" t="s">
        <v>237</v>
      </c>
      <c r="B122" s="4" t="s">
        <v>238</v>
      </c>
      <c r="C122" s="4" t="s">
        <v>21</v>
      </c>
      <c r="D122" s="8" t="s">
        <v>1522</v>
      </c>
      <c r="E122" s="8" t="s">
        <v>1523</v>
      </c>
    </row>
    <row r="123" spans="1:5" ht="14.6" x14ac:dyDescent="0.4">
      <c r="A123" s="7" t="s">
        <v>239</v>
      </c>
      <c r="B123" s="4" t="s">
        <v>240</v>
      </c>
      <c r="C123" s="4" t="s">
        <v>52</v>
      </c>
      <c r="D123" s="8" t="s">
        <v>1522</v>
      </c>
      <c r="E123" s="8" t="s">
        <v>1523</v>
      </c>
    </row>
    <row r="124" spans="1:5" ht="14.6" x14ac:dyDescent="0.4">
      <c r="A124" s="7" t="s">
        <v>241</v>
      </c>
      <c r="B124" s="4" t="s">
        <v>242</v>
      </c>
      <c r="C124" s="4" t="s">
        <v>55</v>
      </c>
      <c r="D124" s="8" t="s">
        <v>1522</v>
      </c>
      <c r="E124" s="8" t="s">
        <v>1532</v>
      </c>
    </row>
    <row r="125" spans="1:5" ht="14.6" x14ac:dyDescent="0.4">
      <c r="A125" s="7" t="s">
        <v>243</v>
      </c>
      <c r="B125" s="4" t="s">
        <v>244</v>
      </c>
      <c r="C125" s="4" t="s">
        <v>12</v>
      </c>
      <c r="D125" s="8" t="s">
        <v>1522</v>
      </c>
      <c r="E125" s="8" t="s">
        <v>1527</v>
      </c>
    </row>
    <row r="126" spans="1:5" ht="14.6" x14ac:dyDescent="0.4">
      <c r="A126" s="7" t="s">
        <v>245</v>
      </c>
      <c r="B126" s="4" t="s">
        <v>246</v>
      </c>
      <c r="C126" s="4" t="s">
        <v>6</v>
      </c>
      <c r="D126" s="8" t="s">
        <v>1522</v>
      </c>
      <c r="E126" s="8" t="s">
        <v>1527</v>
      </c>
    </row>
    <row r="127" spans="1:5" ht="14.6" x14ac:dyDescent="0.4">
      <c r="A127" s="7" t="s">
        <v>247</v>
      </c>
      <c r="B127" s="4" t="s">
        <v>248</v>
      </c>
      <c r="C127" s="4" t="s">
        <v>65</v>
      </c>
      <c r="D127" s="8" t="s">
        <v>1520</v>
      </c>
      <c r="E127" s="8" t="s">
        <v>1528</v>
      </c>
    </row>
    <row r="128" spans="1:5" ht="14.6" x14ac:dyDescent="0.4">
      <c r="A128" s="7" t="s">
        <v>249</v>
      </c>
      <c r="B128" s="4" t="s">
        <v>250</v>
      </c>
      <c r="C128" s="4" t="s">
        <v>18</v>
      </c>
      <c r="D128" s="8" t="s">
        <v>1520</v>
      </c>
      <c r="E128" s="8" t="s">
        <v>1528</v>
      </c>
    </row>
    <row r="129" spans="1:5" ht="14.6" x14ac:dyDescent="0.4">
      <c r="A129" s="7" t="s">
        <v>251</v>
      </c>
      <c r="B129" s="4" t="s">
        <v>252</v>
      </c>
      <c r="C129" s="4" t="s">
        <v>68</v>
      </c>
      <c r="D129" s="8" t="s">
        <v>1520</v>
      </c>
      <c r="E129" s="8" t="s">
        <v>1528</v>
      </c>
    </row>
    <row r="130" spans="1:5" ht="14.6" x14ac:dyDescent="0.4">
      <c r="A130" s="7" t="s">
        <v>253</v>
      </c>
      <c r="B130" s="4" t="s">
        <v>254</v>
      </c>
      <c r="C130" s="4" t="s">
        <v>29</v>
      </c>
      <c r="D130" s="8" t="s">
        <v>1520</v>
      </c>
      <c r="E130" s="8" t="s">
        <v>1528</v>
      </c>
    </row>
    <row r="131" spans="1:5" ht="14.6" x14ac:dyDescent="0.4">
      <c r="A131" s="7" t="s">
        <v>255</v>
      </c>
      <c r="B131" s="4" t="s">
        <v>158</v>
      </c>
      <c r="C131" s="4" t="s">
        <v>47</v>
      </c>
      <c r="D131" s="8" t="s">
        <v>1520</v>
      </c>
      <c r="E131" s="8" t="s">
        <v>1528</v>
      </c>
    </row>
    <row r="132" spans="1:5" ht="14.6" x14ac:dyDescent="0.4">
      <c r="A132" s="7" t="s">
        <v>256</v>
      </c>
      <c r="B132" s="4" t="s">
        <v>257</v>
      </c>
      <c r="C132" s="4" t="s">
        <v>15</v>
      </c>
      <c r="D132" s="8" t="s">
        <v>1520</v>
      </c>
      <c r="E132" s="8" t="s">
        <v>1528</v>
      </c>
    </row>
    <row r="133" spans="1:5" ht="14.6" x14ac:dyDescent="0.4">
      <c r="A133" s="7" t="s">
        <v>258</v>
      </c>
      <c r="B133" s="4" t="s">
        <v>259</v>
      </c>
      <c r="C133" s="4" t="s">
        <v>6</v>
      </c>
      <c r="D133" s="8" t="s">
        <v>1520</v>
      </c>
      <c r="E133" s="8" t="s">
        <v>1528</v>
      </c>
    </row>
    <row r="134" spans="1:5" ht="14.6" x14ac:dyDescent="0.4">
      <c r="A134" s="7" t="s">
        <v>260</v>
      </c>
      <c r="B134" s="4" t="s">
        <v>204</v>
      </c>
      <c r="C134" s="4" t="s">
        <v>65</v>
      </c>
      <c r="D134" s="8" t="s">
        <v>1520</v>
      </c>
      <c r="E134" s="8" t="s">
        <v>1528</v>
      </c>
    </row>
    <row r="135" spans="1:5" ht="14.6" x14ac:dyDescent="0.4">
      <c r="A135" s="7" t="s">
        <v>261</v>
      </c>
      <c r="B135" s="4" t="s">
        <v>80</v>
      </c>
      <c r="C135" s="4" t="s">
        <v>55</v>
      </c>
      <c r="D135" s="8" t="s">
        <v>1520</v>
      </c>
      <c r="E135" s="8" t="s">
        <v>1528</v>
      </c>
    </row>
    <row r="136" spans="1:5" ht="14.6" x14ac:dyDescent="0.4">
      <c r="A136" s="7" t="s">
        <v>262</v>
      </c>
      <c r="B136" s="4" t="s">
        <v>263</v>
      </c>
      <c r="C136" s="4" t="s">
        <v>15</v>
      </c>
      <c r="D136" s="8" t="s">
        <v>1520</v>
      </c>
      <c r="E136" s="8" t="s">
        <v>1528</v>
      </c>
    </row>
    <row r="137" spans="1:5" ht="14.6" x14ac:dyDescent="0.4">
      <c r="A137" s="7" t="s">
        <v>264</v>
      </c>
      <c r="B137" s="4" t="s">
        <v>193</v>
      </c>
      <c r="C137" s="4" t="s">
        <v>29</v>
      </c>
      <c r="D137" s="8" t="s">
        <v>1520</v>
      </c>
      <c r="E137" s="8" t="s">
        <v>1528</v>
      </c>
    </row>
    <row r="138" spans="1:5" ht="14.6" x14ac:dyDescent="0.4">
      <c r="A138" s="7" t="s">
        <v>265</v>
      </c>
      <c r="B138" s="4" t="s">
        <v>164</v>
      </c>
      <c r="C138" s="4" t="s">
        <v>68</v>
      </c>
      <c r="D138" s="8" t="s">
        <v>1522</v>
      </c>
      <c r="E138" s="8" t="s">
        <v>1527</v>
      </c>
    </row>
    <row r="139" spans="1:5" ht="14.6" x14ac:dyDescent="0.4">
      <c r="A139" s="7" t="s">
        <v>266</v>
      </c>
      <c r="B139" s="4" t="s">
        <v>267</v>
      </c>
      <c r="C139" s="4" t="s">
        <v>68</v>
      </c>
      <c r="D139" s="8" t="s">
        <v>1520</v>
      </c>
      <c r="E139" s="8" t="s">
        <v>1528</v>
      </c>
    </row>
    <row r="140" spans="1:5" ht="14.6" x14ac:dyDescent="0.4">
      <c r="A140" s="7" t="s">
        <v>268</v>
      </c>
      <c r="B140" s="4" t="s">
        <v>269</v>
      </c>
      <c r="C140" s="4" t="s">
        <v>12</v>
      </c>
      <c r="D140" s="8" t="s">
        <v>1520</v>
      </c>
      <c r="E140" s="8" t="s">
        <v>1528</v>
      </c>
    </row>
    <row r="141" spans="1:5" ht="14.6" x14ac:dyDescent="0.4">
      <c r="A141" s="7" t="s">
        <v>270</v>
      </c>
      <c r="B141" s="4" t="s">
        <v>191</v>
      </c>
      <c r="C141" s="4" t="s">
        <v>18</v>
      </c>
      <c r="D141" s="8" t="s">
        <v>1520</v>
      </c>
      <c r="E141" s="8" t="s">
        <v>1528</v>
      </c>
    </row>
    <row r="142" spans="1:5" ht="14.6" x14ac:dyDescent="0.4">
      <c r="A142" s="7" t="s">
        <v>271</v>
      </c>
      <c r="B142" s="4" t="s">
        <v>272</v>
      </c>
      <c r="C142" s="4" t="s">
        <v>52</v>
      </c>
      <c r="D142" s="8" t="s">
        <v>1520</v>
      </c>
      <c r="E142" s="8" t="s">
        <v>1528</v>
      </c>
    </row>
    <row r="143" spans="1:5" ht="14.6" x14ac:dyDescent="0.4">
      <c r="A143" s="7" t="s">
        <v>273</v>
      </c>
      <c r="B143" s="4" t="s">
        <v>274</v>
      </c>
      <c r="C143" s="4" t="s">
        <v>9</v>
      </c>
      <c r="D143" s="8" t="s">
        <v>1520</v>
      </c>
      <c r="E143" s="8" t="s">
        <v>1528</v>
      </c>
    </row>
    <row r="144" spans="1:5" ht="14.6" x14ac:dyDescent="0.4">
      <c r="A144" s="7" t="s">
        <v>275</v>
      </c>
      <c r="B144" s="4" t="s">
        <v>276</v>
      </c>
      <c r="C144" s="4" t="s">
        <v>6</v>
      </c>
      <c r="D144" s="8" t="s">
        <v>1520</v>
      </c>
      <c r="E144" s="8" t="s">
        <v>1528</v>
      </c>
    </row>
    <row r="145" spans="1:5" ht="14.6" x14ac:dyDescent="0.4">
      <c r="A145" s="7" t="s">
        <v>277</v>
      </c>
      <c r="B145" s="4" t="s">
        <v>278</v>
      </c>
      <c r="C145" s="4" t="s">
        <v>68</v>
      </c>
      <c r="D145" s="8" t="s">
        <v>1520</v>
      </c>
      <c r="E145" s="8" t="s">
        <v>1528</v>
      </c>
    </row>
    <row r="146" spans="1:5" ht="14.6" x14ac:dyDescent="0.4">
      <c r="A146" s="7" t="s">
        <v>279</v>
      </c>
      <c r="B146" s="4" t="s">
        <v>280</v>
      </c>
      <c r="C146" s="4" t="s">
        <v>6</v>
      </c>
      <c r="D146" s="8" t="s">
        <v>1520</v>
      </c>
      <c r="E146" s="8" t="s">
        <v>1528</v>
      </c>
    </row>
    <row r="147" spans="1:5" ht="14.6" x14ac:dyDescent="0.4">
      <c r="A147" s="7" t="s">
        <v>281</v>
      </c>
      <c r="B147" s="4" t="s">
        <v>282</v>
      </c>
      <c r="C147" s="4" t="s">
        <v>52</v>
      </c>
      <c r="D147" s="8" t="s">
        <v>1520</v>
      </c>
      <c r="E147" s="8" t="s">
        <v>1528</v>
      </c>
    </row>
    <row r="148" spans="1:5" ht="14.6" x14ac:dyDescent="0.4">
      <c r="A148" s="7" t="s">
        <v>283</v>
      </c>
      <c r="B148" s="4" t="s">
        <v>284</v>
      </c>
      <c r="C148" s="4" t="s">
        <v>15</v>
      </c>
      <c r="D148" s="8" t="s">
        <v>1520</v>
      </c>
      <c r="E148" s="8" t="s">
        <v>1528</v>
      </c>
    </row>
    <row r="149" spans="1:5" ht="14.6" x14ac:dyDescent="0.4">
      <c r="A149" s="7" t="s">
        <v>285</v>
      </c>
      <c r="B149" s="4" t="s">
        <v>286</v>
      </c>
      <c r="C149" s="4" t="s">
        <v>55</v>
      </c>
      <c r="D149" s="8" t="s">
        <v>1520</v>
      </c>
      <c r="E149" s="8" t="s">
        <v>1528</v>
      </c>
    </row>
    <row r="150" spans="1:5" ht="14.6" x14ac:dyDescent="0.4">
      <c r="A150" s="7" t="s">
        <v>287</v>
      </c>
      <c r="B150" s="4" t="s">
        <v>49</v>
      </c>
      <c r="C150" s="4" t="s">
        <v>58</v>
      </c>
      <c r="D150" s="8" t="s">
        <v>1520</v>
      </c>
      <c r="E150" s="8" t="s">
        <v>1528</v>
      </c>
    </row>
    <row r="151" spans="1:5" ht="14.6" x14ac:dyDescent="0.4">
      <c r="A151" s="7" t="s">
        <v>288</v>
      </c>
      <c r="B151" s="4" t="s">
        <v>289</v>
      </c>
      <c r="C151" s="4" t="s">
        <v>12</v>
      </c>
      <c r="D151" s="8" t="s">
        <v>1520</v>
      </c>
      <c r="E151" s="8" t="s">
        <v>1528</v>
      </c>
    </row>
    <row r="152" spans="1:5" ht="14.6" x14ac:dyDescent="0.4">
      <c r="A152" s="7" t="s">
        <v>290</v>
      </c>
      <c r="B152" s="4" t="s">
        <v>291</v>
      </c>
      <c r="C152" s="4" t="s">
        <v>34</v>
      </c>
      <c r="D152" s="8" t="s">
        <v>1522</v>
      </c>
      <c r="E152" s="8" t="s">
        <v>1529</v>
      </c>
    </row>
    <row r="153" spans="1:5" ht="14.6" x14ac:dyDescent="0.4">
      <c r="A153" s="7" t="s">
        <v>292</v>
      </c>
      <c r="B153" s="4" t="s">
        <v>137</v>
      </c>
      <c r="C153" s="4" t="s">
        <v>6</v>
      </c>
      <c r="D153" s="8" t="s">
        <v>1522</v>
      </c>
      <c r="E153" s="8" t="s">
        <v>1529</v>
      </c>
    </row>
    <row r="154" spans="1:5" ht="14.6" x14ac:dyDescent="0.4">
      <c r="A154" s="7" t="s">
        <v>293</v>
      </c>
      <c r="B154" s="4" t="s">
        <v>294</v>
      </c>
      <c r="C154" s="4" t="s">
        <v>18</v>
      </c>
      <c r="D154" s="8" t="s">
        <v>1520</v>
      </c>
      <c r="E154" s="8" t="s">
        <v>1528</v>
      </c>
    </row>
    <row r="155" spans="1:5" ht="14.6" x14ac:dyDescent="0.4">
      <c r="A155" s="7" t="s">
        <v>295</v>
      </c>
      <c r="B155" s="4" t="s">
        <v>296</v>
      </c>
      <c r="C155" s="4" t="s">
        <v>29</v>
      </c>
      <c r="D155" s="8" t="s">
        <v>1522</v>
      </c>
      <c r="E155" s="8" t="s">
        <v>1530</v>
      </c>
    </row>
    <row r="156" spans="1:5" ht="14.6" x14ac:dyDescent="0.4">
      <c r="A156" s="7" t="s">
        <v>297</v>
      </c>
      <c r="B156" s="4" t="s">
        <v>298</v>
      </c>
      <c r="C156" s="4" t="s">
        <v>15</v>
      </c>
      <c r="D156" s="8" t="s">
        <v>1520</v>
      </c>
      <c r="E156" s="8" t="s">
        <v>1528</v>
      </c>
    </row>
    <row r="157" spans="1:5" ht="14.6" x14ac:dyDescent="0.4">
      <c r="A157" s="7" t="s">
        <v>299</v>
      </c>
      <c r="B157" s="4" t="s">
        <v>300</v>
      </c>
      <c r="C157" s="4" t="s">
        <v>29</v>
      </c>
      <c r="D157" s="8" t="s">
        <v>1522</v>
      </c>
      <c r="E157" s="8" t="s">
        <v>1531</v>
      </c>
    </row>
    <row r="158" spans="1:5" ht="14.6" x14ac:dyDescent="0.4">
      <c r="A158" s="7" t="s">
        <v>301</v>
      </c>
      <c r="B158" s="4" t="s">
        <v>135</v>
      </c>
      <c r="C158" s="4" t="s">
        <v>47</v>
      </c>
      <c r="D158" s="8" t="s">
        <v>1522</v>
      </c>
      <c r="E158" s="8" t="s">
        <v>1531</v>
      </c>
    </row>
    <row r="159" spans="1:5" ht="14.6" x14ac:dyDescent="0.4">
      <c r="A159" s="7" t="s">
        <v>302</v>
      </c>
      <c r="B159" s="4" t="s">
        <v>303</v>
      </c>
      <c r="C159" s="4" t="s">
        <v>29</v>
      </c>
      <c r="D159" s="8" t="s">
        <v>1520</v>
      </c>
      <c r="E159" s="8" t="s">
        <v>1528</v>
      </c>
    </row>
    <row r="160" spans="1:5" ht="14.6" x14ac:dyDescent="0.4">
      <c r="A160" s="7" t="s">
        <v>304</v>
      </c>
      <c r="B160" s="4" t="s">
        <v>305</v>
      </c>
      <c r="C160" s="4" t="s">
        <v>55</v>
      </c>
      <c r="D160" s="8" t="s">
        <v>1520</v>
      </c>
      <c r="E160" s="8" t="s">
        <v>1528</v>
      </c>
    </row>
    <row r="161" spans="1:5" ht="14.6" x14ac:dyDescent="0.4">
      <c r="A161" s="7" t="s">
        <v>306</v>
      </c>
      <c r="B161" s="4" t="s">
        <v>307</v>
      </c>
      <c r="C161" s="4" t="s">
        <v>58</v>
      </c>
      <c r="D161" s="8" t="s">
        <v>1522</v>
      </c>
      <c r="E161" s="8" t="s">
        <v>1526</v>
      </c>
    </row>
    <row r="162" spans="1:5" ht="14.6" x14ac:dyDescent="0.4">
      <c r="A162" s="7" t="s">
        <v>308</v>
      </c>
      <c r="B162" s="4" t="s">
        <v>309</v>
      </c>
      <c r="C162" s="4" t="s">
        <v>9</v>
      </c>
      <c r="D162" s="8" t="s">
        <v>1520</v>
      </c>
      <c r="E162" s="8" t="s">
        <v>1528</v>
      </c>
    </row>
    <row r="163" spans="1:5" ht="14.6" x14ac:dyDescent="0.4">
      <c r="A163" s="7" t="s">
        <v>310</v>
      </c>
      <c r="B163" s="4" t="s">
        <v>311</v>
      </c>
      <c r="C163" s="4" t="s">
        <v>58</v>
      </c>
      <c r="D163" s="8" t="s">
        <v>1522</v>
      </c>
      <c r="E163" s="8" t="s">
        <v>1523</v>
      </c>
    </row>
    <row r="164" spans="1:5" ht="14.6" x14ac:dyDescent="0.4">
      <c r="A164" s="7" t="s">
        <v>312</v>
      </c>
      <c r="B164" s="4" t="s">
        <v>44</v>
      </c>
      <c r="C164" s="4" t="s">
        <v>47</v>
      </c>
      <c r="D164" s="8" t="s">
        <v>1522</v>
      </c>
      <c r="E164" s="8" t="s">
        <v>1527</v>
      </c>
    </row>
    <row r="165" spans="1:5" ht="14.6" x14ac:dyDescent="0.4">
      <c r="A165" s="7" t="s">
        <v>313</v>
      </c>
      <c r="B165" s="4" t="s">
        <v>314</v>
      </c>
      <c r="C165" s="4" t="s">
        <v>6</v>
      </c>
      <c r="D165" s="8" t="s">
        <v>1522</v>
      </c>
      <c r="E165" s="8" t="s">
        <v>1523</v>
      </c>
    </row>
    <row r="166" spans="1:5" ht="14.6" x14ac:dyDescent="0.4">
      <c r="A166" s="7" t="s">
        <v>315</v>
      </c>
      <c r="B166" s="4" t="s">
        <v>316</v>
      </c>
      <c r="C166" s="4" t="s">
        <v>55</v>
      </c>
      <c r="D166" s="8" t="s">
        <v>1520</v>
      </c>
      <c r="E166" s="8" t="s">
        <v>1528</v>
      </c>
    </row>
    <row r="167" spans="1:5" ht="14.6" x14ac:dyDescent="0.4">
      <c r="A167" s="7" t="s">
        <v>317</v>
      </c>
      <c r="B167" s="4" t="s">
        <v>318</v>
      </c>
      <c r="C167" s="4" t="s">
        <v>9</v>
      </c>
      <c r="D167" s="8" t="s">
        <v>1520</v>
      </c>
      <c r="E167" s="8" t="s">
        <v>1528</v>
      </c>
    </row>
    <row r="168" spans="1:5" ht="14.6" x14ac:dyDescent="0.4">
      <c r="A168" s="7" t="s">
        <v>319</v>
      </c>
      <c r="B168" s="4" t="s">
        <v>103</v>
      </c>
      <c r="C168" s="4" t="s">
        <v>29</v>
      </c>
      <c r="D168" s="8" t="s">
        <v>1522</v>
      </c>
      <c r="E168" s="8" t="s">
        <v>1523</v>
      </c>
    </row>
    <row r="169" spans="1:5" ht="14.6" x14ac:dyDescent="0.4">
      <c r="A169" s="7" t="s">
        <v>320</v>
      </c>
      <c r="B169" s="4" t="s">
        <v>318</v>
      </c>
      <c r="C169" s="4" t="s">
        <v>68</v>
      </c>
      <c r="D169" s="8" t="s">
        <v>1522</v>
      </c>
      <c r="E169" s="8" t="s">
        <v>1527</v>
      </c>
    </row>
    <row r="170" spans="1:5" ht="14.6" x14ac:dyDescent="0.4">
      <c r="A170" s="7" t="s">
        <v>321</v>
      </c>
      <c r="B170" s="4" t="s">
        <v>322</v>
      </c>
      <c r="C170" s="4" t="s">
        <v>24</v>
      </c>
      <c r="D170" s="8" t="s">
        <v>1520</v>
      </c>
      <c r="E170" s="8" t="s">
        <v>1528</v>
      </c>
    </row>
    <row r="171" spans="1:5" ht="14.6" x14ac:dyDescent="0.4">
      <c r="A171" s="7" t="s">
        <v>323</v>
      </c>
      <c r="B171" s="4" t="s">
        <v>324</v>
      </c>
      <c r="C171" s="4" t="s">
        <v>47</v>
      </c>
      <c r="D171" s="8" t="s">
        <v>1520</v>
      </c>
      <c r="E171" s="8" t="s">
        <v>1528</v>
      </c>
    </row>
    <row r="172" spans="1:5" ht="14.6" x14ac:dyDescent="0.4">
      <c r="A172" s="7" t="s">
        <v>325</v>
      </c>
      <c r="B172" s="4" t="s">
        <v>300</v>
      </c>
      <c r="C172" s="4" t="s">
        <v>47</v>
      </c>
      <c r="D172" s="8" t="s">
        <v>1522</v>
      </c>
      <c r="E172" s="8" t="s">
        <v>1527</v>
      </c>
    </row>
    <row r="173" spans="1:5" ht="14.6" x14ac:dyDescent="0.4">
      <c r="A173" s="7" t="s">
        <v>326</v>
      </c>
      <c r="B173" s="4" t="s">
        <v>227</v>
      </c>
      <c r="C173" s="4" t="s">
        <v>52</v>
      </c>
      <c r="D173" s="8" t="s">
        <v>1520</v>
      </c>
      <c r="E173" s="8" t="s">
        <v>1528</v>
      </c>
    </row>
    <row r="174" spans="1:5" ht="14.6" x14ac:dyDescent="0.4">
      <c r="A174" s="7" t="s">
        <v>327</v>
      </c>
      <c r="B174" s="4" t="s">
        <v>171</v>
      </c>
      <c r="C174" s="4" t="s">
        <v>52</v>
      </c>
      <c r="D174" s="8" t="s">
        <v>1520</v>
      </c>
      <c r="E174" s="8" t="s">
        <v>1528</v>
      </c>
    </row>
    <row r="175" spans="1:5" ht="14.6" x14ac:dyDescent="0.4">
      <c r="A175" s="7" t="s">
        <v>328</v>
      </c>
      <c r="B175" s="4" t="s">
        <v>329</v>
      </c>
      <c r="C175" s="4" t="s">
        <v>15</v>
      </c>
      <c r="D175" s="8" t="s">
        <v>1522</v>
      </c>
      <c r="E175" s="8" t="s">
        <v>1527</v>
      </c>
    </row>
    <row r="176" spans="1:5" ht="14.6" x14ac:dyDescent="0.4">
      <c r="A176" s="7" t="s">
        <v>330</v>
      </c>
      <c r="B176" s="4" t="s">
        <v>20</v>
      </c>
      <c r="C176" s="4" t="s">
        <v>24</v>
      </c>
      <c r="D176" s="8" t="s">
        <v>1522</v>
      </c>
      <c r="E176" s="8" t="s">
        <v>1523</v>
      </c>
    </row>
    <row r="177" spans="1:5" ht="14.6" x14ac:dyDescent="0.4">
      <c r="A177" s="7" t="s">
        <v>331</v>
      </c>
      <c r="B177" s="4" t="s">
        <v>105</v>
      </c>
      <c r="C177" s="4" t="s">
        <v>15</v>
      </c>
      <c r="D177" s="8" t="s">
        <v>1522</v>
      </c>
      <c r="E177" s="8" t="s">
        <v>1523</v>
      </c>
    </row>
    <row r="178" spans="1:5" ht="14.6" x14ac:dyDescent="0.4">
      <c r="A178" s="7" t="s">
        <v>332</v>
      </c>
      <c r="B178" s="4" t="s">
        <v>333</v>
      </c>
      <c r="C178" s="4" t="s">
        <v>21</v>
      </c>
      <c r="D178" s="8" t="s">
        <v>1520</v>
      </c>
      <c r="E178" s="8" t="s">
        <v>1528</v>
      </c>
    </row>
    <row r="179" spans="1:5" ht="14.6" x14ac:dyDescent="0.4">
      <c r="A179" s="7" t="s">
        <v>334</v>
      </c>
      <c r="B179" s="4" t="s">
        <v>335</v>
      </c>
      <c r="C179" s="4" t="s">
        <v>6</v>
      </c>
      <c r="D179" s="8" t="s">
        <v>1522</v>
      </c>
      <c r="E179" s="8" t="s">
        <v>1525</v>
      </c>
    </row>
    <row r="180" spans="1:5" ht="14.6" x14ac:dyDescent="0.4">
      <c r="A180" s="7" t="s">
        <v>336</v>
      </c>
      <c r="B180" s="4" t="s">
        <v>254</v>
      </c>
      <c r="C180" s="4" t="s">
        <v>52</v>
      </c>
      <c r="D180" s="8" t="s">
        <v>1522</v>
      </c>
      <c r="E180" s="8" t="s">
        <v>1527</v>
      </c>
    </row>
    <row r="181" spans="1:5" ht="14.6" x14ac:dyDescent="0.4">
      <c r="A181" s="7" t="s">
        <v>337</v>
      </c>
      <c r="B181" s="4" t="s">
        <v>259</v>
      </c>
      <c r="C181" s="4" t="s">
        <v>15</v>
      </c>
      <c r="D181" s="8" t="s">
        <v>1522</v>
      </c>
      <c r="E181" s="8" t="s">
        <v>1523</v>
      </c>
    </row>
    <row r="182" spans="1:5" ht="14.6" x14ac:dyDescent="0.4">
      <c r="A182" s="7" t="s">
        <v>338</v>
      </c>
      <c r="B182" s="4" t="s">
        <v>339</v>
      </c>
      <c r="C182" s="4" t="s">
        <v>15</v>
      </c>
      <c r="D182" s="8" t="s">
        <v>1520</v>
      </c>
      <c r="E182" s="8" t="s">
        <v>1528</v>
      </c>
    </row>
    <row r="183" spans="1:5" ht="14.6" x14ac:dyDescent="0.4">
      <c r="A183" s="7" t="s">
        <v>340</v>
      </c>
      <c r="B183" s="4" t="s">
        <v>341</v>
      </c>
      <c r="C183" s="4" t="s">
        <v>55</v>
      </c>
      <c r="D183" s="8" t="s">
        <v>1520</v>
      </c>
      <c r="E183" s="8" t="s">
        <v>1528</v>
      </c>
    </row>
    <row r="184" spans="1:5" ht="14.6" x14ac:dyDescent="0.4">
      <c r="A184" s="7" t="s">
        <v>342</v>
      </c>
      <c r="B184" s="4" t="s">
        <v>343</v>
      </c>
      <c r="C184" s="4" t="s">
        <v>18</v>
      </c>
      <c r="D184" s="8" t="s">
        <v>1522</v>
      </c>
      <c r="E184" s="8" t="s">
        <v>1527</v>
      </c>
    </row>
    <row r="185" spans="1:5" ht="14.6" x14ac:dyDescent="0.4">
      <c r="A185" s="7" t="s">
        <v>344</v>
      </c>
      <c r="B185" s="4" t="s">
        <v>345</v>
      </c>
      <c r="C185" s="4" t="s">
        <v>24</v>
      </c>
      <c r="D185" s="8" t="s">
        <v>1520</v>
      </c>
      <c r="E185" s="8" t="s">
        <v>1528</v>
      </c>
    </row>
    <row r="186" spans="1:5" ht="14.6" x14ac:dyDescent="0.4">
      <c r="A186" s="7" t="s">
        <v>346</v>
      </c>
      <c r="B186" s="4" t="s">
        <v>347</v>
      </c>
      <c r="C186" s="4" t="s">
        <v>6</v>
      </c>
      <c r="D186" s="8" t="s">
        <v>1522</v>
      </c>
      <c r="E186" s="8" t="s">
        <v>1523</v>
      </c>
    </row>
    <row r="187" spans="1:5" ht="14.6" x14ac:dyDescent="0.4">
      <c r="A187" s="7" t="s">
        <v>348</v>
      </c>
      <c r="B187" s="4" t="s">
        <v>151</v>
      </c>
      <c r="C187" s="4" t="s">
        <v>9</v>
      </c>
      <c r="D187" s="8" t="s">
        <v>1522</v>
      </c>
      <c r="E187" s="8" t="s">
        <v>1527</v>
      </c>
    </row>
    <row r="188" spans="1:5" ht="14.6" x14ac:dyDescent="0.4">
      <c r="A188" s="7" t="s">
        <v>349</v>
      </c>
      <c r="B188" s="4" t="s">
        <v>191</v>
      </c>
      <c r="C188" s="4" t="s">
        <v>12</v>
      </c>
      <c r="D188" s="8" t="s">
        <v>1520</v>
      </c>
      <c r="E188" s="8" t="s">
        <v>1528</v>
      </c>
    </row>
    <row r="189" spans="1:5" ht="14.6" x14ac:dyDescent="0.4">
      <c r="A189" s="7" t="s">
        <v>350</v>
      </c>
      <c r="B189" s="4" t="s">
        <v>351</v>
      </c>
      <c r="C189" s="4" t="s">
        <v>18</v>
      </c>
      <c r="D189" s="8" t="s">
        <v>1520</v>
      </c>
      <c r="E189" s="8" t="s">
        <v>1528</v>
      </c>
    </row>
    <row r="190" spans="1:5" ht="14.6" x14ac:dyDescent="0.4">
      <c r="A190" s="7" t="s">
        <v>352</v>
      </c>
      <c r="B190" s="4" t="s">
        <v>28</v>
      </c>
      <c r="C190" s="4" t="s">
        <v>55</v>
      </c>
      <c r="D190" s="8" t="s">
        <v>1522</v>
      </c>
      <c r="E190" s="8" t="s">
        <v>1527</v>
      </c>
    </row>
    <row r="191" spans="1:5" ht="14.6" x14ac:dyDescent="0.4">
      <c r="A191" s="7" t="s">
        <v>353</v>
      </c>
      <c r="B191" s="4" t="s">
        <v>354</v>
      </c>
      <c r="C191" s="4" t="s">
        <v>52</v>
      </c>
      <c r="D191" s="8" t="s">
        <v>1522</v>
      </c>
      <c r="E191" s="8" t="s">
        <v>1523</v>
      </c>
    </row>
    <row r="192" spans="1:5" ht="14.6" x14ac:dyDescent="0.4">
      <c r="A192" s="7" t="s">
        <v>355</v>
      </c>
      <c r="B192" s="4" t="s">
        <v>356</v>
      </c>
      <c r="C192" s="4" t="s">
        <v>29</v>
      </c>
      <c r="D192" s="8" t="s">
        <v>1522</v>
      </c>
      <c r="E192" s="8" t="s">
        <v>1526</v>
      </c>
    </row>
    <row r="193" spans="1:5" ht="14.6" x14ac:dyDescent="0.4">
      <c r="A193" s="7" t="s">
        <v>357</v>
      </c>
      <c r="B193" s="4" t="s">
        <v>236</v>
      </c>
      <c r="C193" s="4" t="s">
        <v>34</v>
      </c>
      <c r="D193" s="8" t="s">
        <v>1520</v>
      </c>
      <c r="E193" s="8" t="s">
        <v>1528</v>
      </c>
    </row>
    <row r="194" spans="1:5" ht="14.6" x14ac:dyDescent="0.4">
      <c r="A194" s="7" t="s">
        <v>358</v>
      </c>
      <c r="B194" s="4" t="s">
        <v>359</v>
      </c>
      <c r="C194" s="4" t="s">
        <v>24</v>
      </c>
      <c r="D194" s="8" t="s">
        <v>1520</v>
      </c>
      <c r="E194" s="8" t="s">
        <v>1528</v>
      </c>
    </row>
    <row r="195" spans="1:5" ht="14.6" x14ac:dyDescent="0.4">
      <c r="A195" s="7" t="s">
        <v>360</v>
      </c>
      <c r="B195" s="4" t="s">
        <v>204</v>
      </c>
      <c r="C195" s="4" t="s">
        <v>58</v>
      </c>
      <c r="D195" s="8" t="s">
        <v>1520</v>
      </c>
      <c r="E195" s="8" t="s">
        <v>1528</v>
      </c>
    </row>
    <row r="196" spans="1:5" ht="14.6" x14ac:dyDescent="0.4">
      <c r="A196" s="7" t="s">
        <v>361</v>
      </c>
      <c r="B196" s="4" t="s">
        <v>250</v>
      </c>
      <c r="C196" s="4" t="s">
        <v>55</v>
      </c>
      <c r="D196" s="8" t="s">
        <v>1522</v>
      </c>
      <c r="E196" s="8" t="s">
        <v>1527</v>
      </c>
    </row>
    <row r="197" spans="1:5" ht="14.6" x14ac:dyDescent="0.4">
      <c r="A197" s="7" t="s">
        <v>362</v>
      </c>
      <c r="B197" s="4" t="s">
        <v>363</v>
      </c>
      <c r="C197" s="4" t="s">
        <v>58</v>
      </c>
      <c r="D197" s="8" t="s">
        <v>1520</v>
      </c>
      <c r="E197" s="8" t="s">
        <v>1528</v>
      </c>
    </row>
    <row r="198" spans="1:5" ht="14.6" x14ac:dyDescent="0.4">
      <c r="A198" s="7" t="s">
        <v>364</v>
      </c>
      <c r="B198" s="4" t="s">
        <v>365</v>
      </c>
      <c r="C198" s="4" t="s">
        <v>34</v>
      </c>
      <c r="D198" s="8" t="s">
        <v>1522</v>
      </c>
      <c r="E198" s="8" t="s">
        <v>1525</v>
      </c>
    </row>
    <row r="199" spans="1:5" ht="14.6" x14ac:dyDescent="0.4">
      <c r="A199" s="7" t="s">
        <v>366</v>
      </c>
      <c r="B199" s="4" t="s">
        <v>367</v>
      </c>
      <c r="C199" s="4" t="s">
        <v>24</v>
      </c>
      <c r="D199" s="8" t="s">
        <v>1520</v>
      </c>
      <c r="E199" s="8" t="s">
        <v>1528</v>
      </c>
    </row>
    <row r="200" spans="1:5" ht="14.6" x14ac:dyDescent="0.4">
      <c r="A200" s="7" t="s">
        <v>368</v>
      </c>
      <c r="B200" s="4" t="s">
        <v>369</v>
      </c>
      <c r="C200" s="4" t="s">
        <v>18</v>
      </c>
      <c r="D200" s="8" t="s">
        <v>1520</v>
      </c>
      <c r="E200" s="8" t="s">
        <v>1528</v>
      </c>
    </row>
    <row r="201" spans="1:5" ht="14.6" x14ac:dyDescent="0.4">
      <c r="A201" s="7" t="s">
        <v>370</v>
      </c>
      <c r="B201" s="4" t="s">
        <v>263</v>
      </c>
      <c r="C201" s="4" t="s">
        <v>65</v>
      </c>
      <c r="D201" s="8" t="s">
        <v>1522</v>
      </c>
      <c r="E201" s="8" t="s">
        <v>1523</v>
      </c>
    </row>
    <row r="202" spans="1:5" ht="14.6" x14ac:dyDescent="0.4">
      <c r="A202" s="7" t="s">
        <v>371</v>
      </c>
      <c r="B202" s="4" t="s">
        <v>372</v>
      </c>
      <c r="C202" s="4" t="s">
        <v>58</v>
      </c>
      <c r="D202" s="8" t="s">
        <v>1520</v>
      </c>
      <c r="E202" s="8" t="s">
        <v>1528</v>
      </c>
    </row>
    <row r="203" spans="1:5" ht="14.6" x14ac:dyDescent="0.4">
      <c r="A203" s="7" t="s">
        <v>373</v>
      </c>
      <c r="B203" s="4" t="s">
        <v>374</v>
      </c>
      <c r="C203" s="4" t="s">
        <v>58</v>
      </c>
      <c r="D203" s="8" t="s">
        <v>1522</v>
      </c>
      <c r="E203" s="8" t="s">
        <v>1527</v>
      </c>
    </row>
    <row r="204" spans="1:5" ht="14.6" x14ac:dyDescent="0.4">
      <c r="A204" s="7" t="s">
        <v>375</v>
      </c>
      <c r="B204" s="4" t="s">
        <v>176</v>
      </c>
      <c r="C204" s="4" t="s">
        <v>9</v>
      </c>
      <c r="D204" s="8" t="s">
        <v>1520</v>
      </c>
      <c r="E204" s="8" t="s">
        <v>1528</v>
      </c>
    </row>
    <row r="205" spans="1:5" ht="14.6" x14ac:dyDescent="0.4">
      <c r="A205" s="7" t="s">
        <v>376</v>
      </c>
      <c r="B205" s="4" t="s">
        <v>377</v>
      </c>
      <c r="C205" s="4" t="s">
        <v>21</v>
      </c>
      <c r="D205" s="8" t="s">
        <v>1522</v>
      </c>
      <c r="E205" s="8" t="s">
        <v>1523</v>
      </c>
    </row>
    <row r="206" spans="1:5" ht="14.6" x14ac:dyDescent="0.4">
      <c r="A206" s="7" t="s">
        <v>378</v>
      </c>
      <c r="B206" s="4" t="s">
        <v>116</v>
      </c>
      <c r="C206" s="4" t="s">
        <v>34</v>
      </c>
      <c r="D206" s="8" t="s">
        <v>1522</v>
      </c>
      <c r="E206" s="8" t="s">
        <v>1523</v>
      </c>
    </row>
    <row r="207" spans="1:5" ht="14.6" x14ac:dyDescent="0.4">
      <c r="A207" s="7" t="s">
        <v>379</v>
      </c>
      <c r="B207" s="4" t="s">
        <v>294</v>
      </c>
      <c r="C207" s="4" t="s">
        <v>68</v>
      </c>
      <c r="D207" s="8" t="s">
        <v>1522</v>
      </c>
      <c r="E207" s="8" t="s">
        <v>1527</v>
      </c>
    </row>
    <row r="208" spans="1:5" ht="14.6" x14ac:dyDescent="0.4">
      <c r="A208" s="7" t="s">
        <v>380</v>
      </c>
      <c r="B208" s="4" t="s">
        <v>114</v>
      </c>
      <c r="C208" s="4" t="s">
        <v>21</v>
      </c>
      <c r="D208" s="8" t="s">
        <v>1520</v>
      </c>
      <c r="E208" s="8" t="s">
        <v>1528</v>
      </c>
    </row>
    <row r="209" spans="1:5" ht="14.6" x14ac:dyDescent="0.4">
      <c r="A209" s="7" t="s">
        <v>381</v>
      </c>
      <c r="B209" s="4" t="s">
        <v>286</v>
      </c>
      <c r="C209" s="4" t="s">
        <v>55</v>
      </c>
      <c r="D209" s="8" t="s">
        <v>1520</v>
      </c>
      <c r="E209" s="8" t="s">
        <v>1528</v>
      </c>
    </row>
    <row r="210" spans="1:5" ht="14.6" x14ac:dyDescent="0.4">
      <c r="A210" s="7" t="s">
        <v>382</v>
      </c>
      <c r="B210" s="4" t="s">
        <v>383</v>
      </c>
      <c r="C210" s="4" t="s">
        <v>12</v>
      </c>
      <c r="D210" s="8" t="s">
        <v>1520</v>
      </c>
      <c r="E210" s="8" t="s">
        <v>1528</v>
      </c>
    </row>
    <row r="211" spans="1:5" ht="14.6" x14ac:dyDescent="0.4">
      <c r="A211" s="7" t="s">
        <v>384</v>
      </c>
      <c r="B211" s="4" t="s">
        <v>363</v>
      </c>
      <c r="C211" s="4" t="s">
        <v>18</v>
      </c>
      <c r="D211" s="8" t="s">
        <v>1520</v>
      </c>
      <c r="E211" s="8" t="s">
        <v>1528</v>
      </c>
    </row>
    <row r="212" spans="1:5" ht="14.6" x14ac:dyDescent="0.4">
      <c r="A212" s="7" t="s">
        <v>385</v>
      </c>
      <c r="B212" s="4" t="s">
        <v>252</v>
      </c>
      <c r="C212" s="4" t="s">
        <v>29</v>
      </c>
      <c r="D212" s="8" t="s">
        <v>1520</v>
      </c>
      <c r="E212" s="8" t="s">
        <v>1528</v>
      </c>
    </row>
    <row r="213" spans="1:5" ht="14.6" x14ac:dyDescent="0.4">
      <c r="A213" s="7" t="s">
        <v>386</v>
      </c>
      <c r="B213" s="4" t="s">
        <v>303</v>
      </c>
      <c r="C213" s="4" t="s">
        <v>68</v>
      </c>
      <c r="D213" s="8" t="s">
        <v>1520</v>
      </c>
      <c r="E213" s="8" t="s">
        <v>1528</v>
      </c>
    </row>
    <row r="214" spans="1:5" ht="14.6" x14ac:dyDescent="0.4">
      <c r="A214" s="7" t="s">
        <v>387</v>
      </c>
      <c r="B214" s="4" t="s">
        <v>82</v>
      </c>
      <c r="C214" s="4" t="s">
        <v>21</v>
      </c>
      <c r="D214" s="8" t="s">
        <v>1522</v>
      </c>
      <c r="E214" s="8" t="s">
        <v>1527</v>
      </c>
    </row>
    <row r="215" spans="1:5" ht="14.6" x14ac:dyDescent="0.4">
      <c r="A215" s="7" t="s">
        <v>388</v>
      </c>
      <c r="B215" s="4" t="s">
        <v>389</v>
      </c>
      <c r="C215" s="4" t="s">
        <v>68</v>
      </c>
      <c r="D215" s="8" t="s">
        <v>1520</v>
      </c>
      <c r="E215" s="8" t="s">
        <v>1528</v>
      </c>
    </row>
    <row r="216" spans="1:5" ht="14.6" x14ac:dyDescent="0.4">
      <c r="A216" s="7" t="s">
        <v>390</v>
      </c>
      <c r="B216" s="4" t="s">
        <v>391</v>
      </c>
      <c r="C216" s="4" t="s">
        <v>47</v>
      </c>
      <c r="D216" s="8" t="s">
        <v>1520</v>
      </c>
      <c r="E216" s="8" t="s">
        <v>1528</v>
      </c>
    </row>
    <row r="217" spans="1:5" ht="14.6" x14ac:dyDescent="0.4">
      <c r="A217" s="7" t="s">
        <v>392</v>
      </c>
      <c r="B217" s="4" t="s">
        <v>345</v>
      </c>
      <c r="C217" s="4" t="s">
        <v>58</v>
      </c>
      <c r="D217" s="8" t="s">
        <v>1520</v>
      </c>
      <c r="E217" s="8" t="s">
        <v>1528</v>
      </c>
    </row>
    <row r="218" spans="1:5" ht="14.6" x14ac:dyDescent="0.4">
      <c r="A218" s="7" t="s">
        <v>393</v>
      </c>
      <c r="B218" s="4" t="s">
        <v>291</v>
      </c>
      <c r="C218" s="4" t="s">
        <v>18</v>
      </c>
      <c r="D218" s="8" t="s">
        <v>1520</v>
      </c>
      <c r="E218" s="8" t="s">
        <v>1528</v>
      </c>
    </row>
    <row r="219" spans="1:5" ht="14.6" x14ac:dyDescent="0.4">
      <c r="A219" s="7" t="s">
        <v>394</v>
      </c>
      <c r="B219" s="4" t="s">
        <v>395</v>
      </c>
      <c r="C219" s="4" t="s">
        <v>29</v>
      </c>
      <c r="D219" s="8" t="s">
        <v>1520</v>
      </c>
      <c r="E219" s="8" t="s">
        <v>1528</v>
      </c>
    </row>
    <row r="220" spans="1:5" ht="14.6" x14ac:dyDescent="0.4">
      <c r="A220" s="7" t="s">
        <v>396</v>
      </c>
      <c r="B220" s="4" t="s">
        <v>164</v>
      </c>
      <c r="C220" s="4" t="s">
        <v>15</v>
      </c>
      <c r="D220" s="8" t="s">
        <v>1520</v>
      </c>
      <c r="E220" s="8" t="s">
        <v>1528</v>
      </c>
    </row>
    <row r="221" spans="1:5" ht="14.6" x14ac:dyDescent="0.4">
      <c r="A221" s="7" t="s">
        <v>397</v>
      </c>
      <c r="B221" s="4" t="s">
        <v>122</v>
      </c>
      <c r="C221" s="4" t="s">
        <v>68</v>
      </c>
      <c r="D221" s="8" t="s">
        <v>1520</v>
      </c>
      <c r="E221" s="8" t="s">
        <v>1528</v>
      </c>
    </row>
    <row r="222" spans="1:5" ht="14.6" x14ac:dyDescent="0.4">
      <c r="A222" s="7" t="s">
        <v>398</v>
      </c>
      <c r="B222" s="4" t="s">
        <v>74</v>
      </c>
      <c r="C222" s="4" t="s">
        <v>6</v>
      </c>
      <c r="D222" s="8" t="s">
        <v>1520</v>
      </c>
      <c r="E222" s="8" t="s">
        <v>1528</v>
      </c>
    </row>
    <row r="223" spans="1:5" ht="14.6" x14ac:dyDescent="0.4">
      <c r="A223" s="7" t="s">
        <v>399</v>
      </c>
      <c r="B223" s="4" t="s">
        <v>80</v>
      </c>
      <c r="C223" s="4" t="s">
        <v>24</v>
      </c>
      <c r="D223" s="8" t="s">
        <v>1520</v>
      </c>
      <c r="E223" s="8" t="s">
        <v>1528</v>
      </c>
    </row>
    <row r="224" spans="1:5" ht="14.6" x14ac:dyDescent="0.4">
      <c r="A224" s="7" t="s">
        <v>400</v>
      </c>
      <c r="B224" s="4" t="s">
        <v>80</v>
      </c>
      <c r="C224" s="4" t="s">
        <v>52</v>
      </c>
      <c r="D224" s="8" t="s">
        <v>1520</v>
      </c>
      <c r="E224" s="8" t="s">
        <v>1528</v>
      </c>
    </row>
    <row r="225" spans="1:5" ht="14.6" x14ac:dyDescent="0.4">
      <c r="A225" s="7" t="s">
        <v>401</v>
      </c>
      <c r="B225" s="4" t="s">
        <v>263</v>
      </c>
      <c r="C225" s="4" t="s">
        <v>9</v>
      </c>
      <c r="D225" s="8" t="s">
        <v>1520</v>
      </c>
      <c r="E225" s="8" t="s">
        <v>1528</v>
      </c>
    </row>
    <row r="226" spans="1:5" ht="14.6" x14ac:dyDescent="0.4">
      <c r="A226" s="7" t="s">
        <v>402</v>
      </c>
      <c r="B226" s="4" t="s">
        <v>296</v>
      </c>
      <c r="C226" s="4" t="s">
        <v>12</v>
      </c>
      <c r="D226" s="8" t="s">
        <v>1520</v>
      </c>
      <c r="E226" s="8" t="s">
        <v>1528</v>
      </c>
    </row>
    <row r="227" spans="1:5" ht="14.6" x14ac:dyDescent="0.4">
      <c r="A227" s="7" t="s">
        <v>403</v>
      </c>
      <c r="B227" s="4" t="s">
        <v>404</v>
      </c>
      <c r="C227" s="4" t="s">
        <v>55</v>
      </c>
      <c r="D227" s="8" t="s">
        <v>1522</v>
      </c>
      <c r="E227" s="8" t="s">
        <v>1529</v>
      </c>
    </row>
    <row r="228" spans="1:5" ht="14.6" x14ac:dyDescent="0.4">
      <c r="A228" s="7" t="s">
        <v>405</v>
      </c>
      <c r="B228" s="4" t="s">
        <v>406</v>
      </c>
      <c r="C228" s="4" t="s">
        <v>29</v>
      </c>
      <c r="D228" s="8" t="s">
        <v>1520</v>
      </c>
      <c r="E228" s="8" t="s">
        <v>1528</v>
      </c>
    </row>
    <row r="229" spans="1:5" ht="14.6" x14ac:dyDescent="0.4">
      <c r="A229" s="7" t="s">
        <v>407</v>
      </c>
      <c r="B229" s="4" t="s">
        <v>395</v>
      </c>
      <c r="C229" s="4" t="s">
        <v>12</v>
      </c>
      <c r="D229" s="8" t="s">
        <v>1522</v>
      </c>
      <c r="E229" s="8" t="s">
        <v>1530</v>
      </c>
    </row>
    <row r="230" spans="1:5" ht="14.6" x14ac:dyDescent="0.4">
      <c r="A230" s="7" t="s">
        <v>408</v>
      </c>
      <c r="B230" s="4" t="s">
        <v>409</v>
      </c>
      <c r="C230" s="4" t="s">
        <v>34</v>
      </c>
      <c r="D230" s="8" t="s">
        <v>1522</v>
      </c>
      <c r="E230" s="8" t="s">
        <v>1530</v>
      </c>
    </row>
    <row r="231" spans="1:5" ht="14.6" x14ac:dyDescent="0.4">
      <c r="A231" s="7" t="s">
        <v>410</v>
      </c>
      <c r="B231" s="4" t="s">
        <v>411</v>
      </c>
      <c r="C231" s="4" t="s">
        <v>47</v>
      </c>
      <c r="D231" s="8" t="s">
        <v>1520</v>
      </c>
      <c r="E231" s="8" t="s">
        <v>1528</v>
      </c>
    </row>
    <row r="232" spans="1:5" ht="14.6" x14ac:dyDescent="0.4">
      <c r="A232" s="7" t="s">
        <v>412</v>
      </c>
      <c r="B232" s="4" t="s">
        <v>413</v>
      </c>
      <c r="C232" s="4" t="s">
        <v>55</v>
      </c>
      <c r="D232" s="8" t="s">
        <v>1520</v>
      </c>
      <c r="E232" s="8" t="s">
        <v>1528</v>
      </c>
    </row>
    <row r="233" spans="1:5" ht="14.6" x14ac:dyDescent="0.4">
      <c r="A233" s="7" t="s">
        <v>414</v>
      </c>
      <c r="B233" s="4" t="s">
        <v>151</v>
      </c>
      <c r="C233" s="4" t="s">
        <v>24</v>
      </c>
      <c r="D233" s="8" t="s">
        <v>1522</v>
      </c>
      <c r="E233" s="8" t="s">
        <v>1531</v>
      </c>
    </row>
    <row r="234" spans="1:5" ht="14.6" x14ac:dyDescent="0.4">
      <c r="A234" s="7" t="s">
        <v>415</v>
      </c>
      <c r="B234" s="4" t="s">
        <v>284</v>
      </c>
      <c r="C234" s="4" t="s">
        <v>24</v>
      </c>
      <c r="D234" s="8" t="s">
        <v>1522</v>
      </c>
      <c r="E234" s="8" t="s">
        <v>1531</v>
      </c>
    </row>
    <row r="235" spans="1:5" ht="14.6" x14ac:dyDescent="0.4">
      <c r="A235" s="7" t="s">
        <v>416</v>
      </c>
      <c r="B235" s="4" t="s">
        <v>224</v>
      </c>
      <c r="C235" s="4" t="s">
        <v>47</v>
      </c>
      <c r="D235" s="8" t="s">
        <v>1520</v>
      </c>
      <c r="E235" s="8" t="s">
        <v>1528</v>
      </c>
    </row>
    <row r="236" spans="1:5" ht="14.6" x14ac:dyDescent="0.4">
      <c r="A236" s="7" t="s">
        <v>417</v>
      </c>
      <c r="B236" s="4" t="s">
        <v>98</v>
      </c>
      <c r="C236" s="4" t="s">
        <v>15</v>
      </c>
      <c r="D236" s="8" t="s">
        <v>1522</v>
      </c>
      <c r="E236" s="8" t="s">
        <v>1527</v>
      </c>
    </row>
    <row r="237" spans="1:5" ht="14.6" x14ac:dyDescent="0.4">
      <c r="A237" s="7" t="s">
        <v>418</v>
      </c>
      <c r="B237" s="4" t="s">
        <v>419</v>
      </c>
      <c r="C237" s="4" t="s">
        <v>55</v>
      </c>
      <c r="D237" s="8" t="s">
        <v>1520</v>
      </c>
      <c r="E237" s="8" t="s">
        <v>1528</v>
      </c>
    </row>
    <row r="238" spans="1:5" ht="14.6" x14ac:dyDescent="0.4">
      <c r="A238" s="7" t="s">
        <v>420</v>
      </c>
      <c r="B238" s="4" t="s">
        <v>421</v>
      </c>
      <c r="C238" s="4" t="s">
        <v>21</v>
      </c>
      <c r="D238" s="8" t="s">
        <v>1522</v>
      </c>
      <c r="E238" s="8" t="s">
        <v>1523</v>
      </c>
    </row>
    <row r="239" spans="1:5" ht="14.6" x14ac:dyDescent="0.4">
      <c r="A239" s="7" t="s">
        <v>422</v>
      </c>
      <c r="B239" s="4" t="s">
        <v>40</v>
      </c>
      <c r="C239" s="4" t="s">
        <v>18</v>
      </c>
      <c r="D239" s="8" t="s">
        <v>1522</v>
      </c>
      <c r="E239" s="8" t="s">
        <v>1527</v>
      </c>
    </row>
    <row r="240" spans="1:5" ht="14.6" x14ac:dyDescent="0.4">
      <c r="A240" s="7" t="s">
        <v>423</v>
      </c>
      <c r="B240" s="4" t="s">
        <v>98</v>
      </c>
      <c r="C240" s="4" t="s">
        <v>68</v>
      </c>
      <c r="D240" s="8" t="s">
        <v>1520</v>
      </c>
      <c r="E240" s="8" t="s">
        <v>1528</v>
      </c>
    </row>
    <row r="241" spans="1:5" ht="14.6" x14ac:dyDescent="0.4">
      <c r="A241" s="7" t="s">
        <v>424</v>
      </c>
      <c r="B241" s="4" t="s">
        <v>232</v>
      </c>
      <c r="C241" s="4" t="s">
        <v>52</v>
      </c>
      <c r="D241" s="8" t="s">
        <v>1522</v>
      </c>
      <c r="E241" s="8" t="s">
        <v>1525</v>
      </c>
    </row>
    <row r="242" spans="1:5" ht="14.6" x14ac:dyDescent="0.4">
      <c r="A242" s="7" t="s">
        <v>425</v>
      </c>
      <c r="B242" s="4" t="s">
        <v>426</v>
      </c>
      <c r="C242" s="4" t="s">
        <v>9</v>
      </c>
      <c r="D242" s="8" t="s">
        <v>1520</v>
      </c>
      <c r="E242" s="8" t="s">
        <v>1528</v>
      </c>
    </row>
    <row r="243" spans="1:5" ht="14.6" x14ac:dyDescent="0.4">
      <c r="A243" s="7" t="s">
        <v>427</v>
      </c>
      <c r="B243" s="4" t="s">
        <v>428</v>
      </c>
      <c r="C243" s="4" t="s">
        <v>65</v>
      </c>
      <c r="D243" s="8" t="s">
        <v>1522</v>
      </c>
      <c r="E243" s="8" t="s">
        <v>1527</v>
      </c>
    </row>
    <row r="244" spans="1:5" ht="14.6" x14ac:dyDescent="0.4">
      <c r="A244" s="7" t="s">
        <v>429</v>
      </c>
      <c r="B244" s="4" t="s">
        <v>430</v>
      </c>
      <c r="C244" s="4" t="s">
        <v>24</v>
      </c>
      <c r="D244" s="8" t="s">
        <v>1520</v>
      </c>
      <c r="E244" s="8" t="s">
        <v>1528</v>
      </c>
    </row>
    <row r="245" spans="1:5" ht="14.6" x14ac:dyDescent="0.4">
      <c r="A245" s="7" t="s">
        <v>431</v>
      </c>
      <c r="B245" s="4" t="s">
        <v>40</v>
      </c>
      <c r="C245" s="4" t="s">
        <v>34</v>
      </c>
      <c r="D245" s="8" t="s">
        <v>1520</v>
      </c>
      <c r="E245" s="8" t="s">
        <v>1528</v>
      </c>
    </row>
    <row r="246" spans="1:5" ht="14.6" x14ac:dyDescent="0.4">
      <c r="A246" s="7" t="s">
        <v>432</v>
      </c>
      <c r="B246" s="4" t="s">
        <v>433</v>
      </c>
      <c r="C246" s="4" t="s">
        <v>47</v>
      </c>
      <c r="D246" s="8" t="s">
        <v>1522</v>
      </c>
      <c r="E246" s="8" t="s">
        <v>1523</v>
      </c>
    </row>
    <row r="247" spans="1:5" ht="14.6" x14ac:dyDescent="0.4">
      <c r="A247" s="7" t="s">
        <v>434</v>
      </c>
      <c r="B247" s="4" t="s">
        <v>101</v>
      </c>
      <c r="C247" s="4" t="s">
        <v>21</v>
      </c>
      <c r="D247" s="8" t="s">
        <v>1520</v>
      </c>
      <c r="E247" s="8" t="s">
        <v>1528</v>
      </c>
    </row>
    <row r="248" spans="1:5" ht="14.6" x14ac:dyDescent="0.4">
      <c r="A248" s="7" t="s">
        <v>435</v>
      </c>
      <c r="B248" s="4" t="s">
        <v>167</v>
      </c>
      <c r="C248" s="4" t="s">
        <v>6</v>
      </c>
      <c r="D248" s="8" t="s">
        <v>1520</v>
      </c>
      <c r="E248" s="8" t="s">
        <v>1528</v>
      </c>
    </row>
    <row r="249" spans="1:5" ht="14.6" x14ac:dyDescent="0.4">
      <c r="A249" s="7" t="s">
        <v>436</v>
      </c>
      <c r="B249" s="4" t="s">
        <v>389</v>
      </c>
      <c r="C249" s="4" t="s">
        <v>65</v>
      </c>
      <c r="D249" s="8" t="s">
        <v>1522</v>
      </c>
      <c r="E249" s="8" t="s">
        <v>1525</v>
      </c>
    </row>
    <row r="250" spans="1:5" ht="14.6" x14ac:dyDescent="0.4">
      <c r="A250" s="7" t="s">
        <v>437</v>
      </c>
      <c r="B250" s="4" t="s">
        <v>363</v>
      </c>
      <c r="C250" s="4" t="s">
        <v>24</v>
      </c>
      <c r="D250" s="8" t="s">
        <v>1520</v>
      </c>
      <c r="E250" s="8" t="s">
        <v>1528</v>
      </c>
    </row>
    <row r="251" spans="1:5" ht="14.6" x14ac:dyDescent="0.4">
      <c r="A251" s="7" t="s">
        <v>438</v>
      </c>
      <c r="B251" s="4" t="s">
        <v>439</v>
      </c>
      <c r="C251" s="4" t="s">
        <v>47</v>
      </c>
      <c r="D251" s="8" t="s">
        <v>1520</v>
      </c>
      <c r="E251" s="8" t="s">
        <v>1528</v>
      </c>
    </row>
    <row r="252" spans="1:5" ht="14.6" x14ac:dyDescent="0.4">
      <c r="A252" s="7" t="s">
        <v>440</v>
      </c>
      <c r="B252" s="4" t="s">
        <v>70</v>
      </c>
      <c r="C252" s="4" t="s">
        <v>18</v>
      </c>
      <c r="D252" s="8" t="s">
        <v>1522</v>
      </c>
      <c r="E252" s="8" t="s">
        <v>1523</v>
      </c>
    </row>
    <row r="253" spans="1:5" ht="14.6" x14ac:dyDescent="0.4">
      <c r="A253" s="7" t="s">
        <v>441</v>
      </c>
      <c r="B253" s="4" t="s">
        <v>372</v>
      </c>
      <c r="C253" s="4" t="s">
        <v>55</v>
      </c>
      <c r="D253" s="8" t="s">
        <v>1520</v>
      </c>
      <c r="E253" s="8" t="s">
        <v>1528</v>
      </c>
    </row>
    <row r="254" spans="1:5" ht="14.6" x14ac:dyDescent="0.4">
      <c r="A254" s="7" t="s">
        <v>442</v>
      </c>
      <c r="B254" s="4" t="s">
        <v>347</v>
      </c>
      <c r="C254" s="4" t="s">
        <v>55</v>
      </c>
      <c r="D254" s="8" t="s">
        <v>1522</v>
      </c>
      <c r="E254" s="8" t="s">
        <v>1526</v>
      </c>
    </row>
    <row r="255" spans="1:5" ht="14.6" x14ac:dyDescent="0.4">
      <c r="A255" s="7" t="s">
        <v>443</v>
      </c>
      <c r="B255" s="4" t="s">
        <v>444</v>
      </c>
      <c r="C255" s="4" t="s">
        <v>18</v>
      </c>
      <c r="D255" s="8" t="s">
        <v>1522</v>
      </c>
      <c r="E255" s="8" t="s">
        <v>1527</v>
      </c>
    </row>
    <row r="256" spans="1:5" ht="14.6" x14ac:dyDescent="0.4">
      <c r="A256" s="7" t="s">
        <v>445</v>
      </c>
      <c r="B256" s="4" t="s">
        <v>289</v>
      </c>
      <c r="C256" s="4" t="s">
        <v>55</v>
      </c>
      <c r="D256" s="8" t="s">
        <v>1522</v>
      </c>
      <c r="E256" s="8" t="s">
        <v>1532</v>
      </c>
    </row>
    <row r="257" spans="1:5" ht="14.6" x14ac:dyDescent="0.4">
      <c r="A257" s="7" t="s">
        <v>446</v>
      </c>
      <c r="B257" s="4" t="s">
        <v>126</v>
      </c>
      <c r="C257" s="4" t="s">
        <v>9</v>
      </c>
      <c r="D257" s="8" t="s">
        <v>1520</v>
      </c>
      <c r="E257" s="8" t="s">
        <v>1528</v>
      </c>
    </row>
    <row r="258" spans="1:5" ht="14.6" x14ac:dyDescent="0.4">
      <c r="A258" s="7" t="s">
        <v>447</v>
      </c>
      <c r="B258" s="4" t="s">
        <v>448</v>
      </c>
      <c r="C258" s="4" t="s">
        <v>47</v>
      </c>
      <c r="D258" s="8" t="s">
        <v>1522</v>
      </c>
      <c r="E258" s="8" t="s">
        <v>1527</v>
      </c>
    </row>
    <row r="259" spans="1:5" ht="14.6" x14ac:dyDescent="0.4">
      <c r="A259" s="7" t="s">
        <v>449</v>
      </c>
      <c r="B259" s="4" t="s">
        <v>67</v>
      </c>
      <c r="C259" s="4" t="s">
        <v>29</v>
      </c>
      <c r="D259" s="8" t="s">
        <v>1522</v>
      </c>
      <c r="E259" s="8" t="s">
        <v>1525</v>
      </c>
    </row>
    <row r="260" spans="1:5" ht="14.6" x14ac:dyDescent="0.4">
      <c r="A260" s="7" t="s">
        <v>450</v>
      </c>
      <c r="B260" s="4" t="s">
        <v>451</v>
      </c>
      <c r="C260" s="4" t="s">
        <v>58</v>
      </c>
      <c r="D260" s="8" t="s">
        <v>1520</v>
      </c>
      <c r="E260" s="8" t="s">
        <v>1528</v>
      </c>
    </row>
    <row r="261" spans="1:5" ht="14.6" x14ac:dyDescent="0.4">
      <c r="A261" s="7" t="s">
        <v>452</v>
      </c>
      <c r="B261" s="4" t="s">
        <v>215</v>
      </c>
      <c r="C261" s="4" t="s">
        <v>21</v>
      </c>
      <c r="D261" s="8" t="s">
        <v>1522</v>
      </c>
      <c r="E261" s="8" t="s">
        <v>1527</v>
      </c>
    </row>
    <row r="262" spans="1:5" ht="14.6" x14ac:dyDescent="0.4">
      <c r="A262" s="7" t="s">
        <v>453</v>
      </c>
      <c r="B262" s="4" t="s">
        <v>38</v>
      </c>
      <c r="C262" s="4" t="s">
        <v>58</v>
      </c>
      <c r="D262" s="8" t="s">
        <v>1520</v>
      </c>
      <c r="E262" s="8" t="s">
        <v>1528</v>
      </c>
    </row>
    <row r="263" spans="1:5" ht="14.6" x14ac:dyDescent="0.4">
      <c r="A263" s="7" t="s">
        <v>454</v>
      </c>
      <c r="B263" s="4" t="s">
        <v>146</v>
      </c>
      <c r="C263" s="4" t="s">
        <v>47</v>
      </c>
      <c r="D263" s="8" t="s">
        <v>1522</v>
      </c>
      <c r="E263" s="8" t="s">
        <v>1523</v>
      </c>
    </row>
    <row r="264" spans="1:5" ht="14.6" x14ac:dyDescent="0.4">
      <c r="A264" s="7" t="s">
        <v>455</v>
      </c>
      <c r="B264" s="4" t="s">
        <v>456</v>
      </c>
      <c r="C264" s="4" t="s">
        <v>68</v>
      </c>
      <c r="D264" s="8" t="s">
        <v>1520</v>
      </c>
      <c r="E264" s="8" t="s">
        <v>1528</v>
      </c>
    </row>
    <row r="265" spans="1:5" ht="14.6" x14ac:dyDescent="0.4">
      <c r="A265" s="7" t="s">
        <v>457</v>
      </c>
      <c r="B265" s="4" t="s">
        <v>234</v>
      </c>
      <c r="C265" s="4" t="s">
        <v>52</v>
      </c>
      <c r="D265" s="8" t="s">
        <v>1520</v>
      </c>
      <c r="E265" s="8" t="s">
        <v>1528</v>
      </c>
    </row>
    <row r="266" spans="1:5" ht="14.6" x14ac:dyDescent="0.4">
      <c r="A266" s="7" t="s">
        <v>458</v>
      </c>
      <c r="B266" s="4" t="s">
        <v>128</v>
      </c>
      <c r="C266" s="4" t="s">
        <v>52</v>
      </c>
      <c r="D266" s="8" t="s">
        <v>1520</v>
      </c>
      <c r="E266" s="8" t="s">
        <v>1528</v>
      </c>
    </row>
    <row r="267" spans="1:5" ht="14.6" x14ac:dyDescent="0.4">
      <c r="A267" s="7" t="s">
        <v>459</v>
      </c>
      <c r="B267" s="4" t="s">
        <v>460</v>
      </c>
      <c r="C267" s="4" t="s">
        <v>9</v>
      </c>
      <c r="D267" s="8" t="s">
        <v>1522</v>
      </c>
      <c r="E267" s="8" t="s">
        <v>1527</v>
      </c>
    </row>
    <row r="268" spans="1:5" ht="14.6" x14ac:dyDescent="0.4">
      <c r="A268" s="7" t="s">
        <v>461</v>
      </c>
      <c r="B268" s="4" t="s">
        <v>184</v>
      </c>
      <c r="C268" s="4" t="s">
        <v>24</v>
      </c>
      <c r="D268" s="8" t="s">
        <v>1520</v>
      </c>
      <c r="E268" s="8" t="s">
        <v>1528</v>
      </c>
    </row>
    <row r="269" spans="1:5" ht="14.6" x14ac:dyDescent="0.4">
      <c r="A269" s="7" t="s">
        <v>462</v>
      </c>
      <c r="B269" s="4" t="s">
        <v>146</v>
      </c>
      <c r="C269" s="4" t="s">
        <v>12</v>
      </c>
      <c r="D269" s="8" t="s">
        <v>1520</v>
      </c>
      <c r="E269" s="8" t="s">
        <v>1528</v>
      </c>
    </row>
    <row r="270" spans="1:5" ht="14.6" x14ac:dyDescent="0.4">
      <c r="A270" s="7" t="s">
        <v>463</v>
      </c>
      <c r="B270" s="4" t="s">
        <v>464</v>
      </c>
      <c r="C270" s="4" t="s">
        <v>15</v>
      </c>
      <c r="D270" s="8" t="s">
        <v>1522</v>
      </c>
      <c r="E270" s="8" t="s">
        <v>1525</v>
      </c>
    </row>
    <row r="271" spans="1:5" ht="14.6" x14ac:dyDescent="0.4">
      <c r="A271" s="7" t="s">
        <v>465</v>
      </c>
      <c r="B271" s="4" t="s">
        <v>377</v>
      </c>
      <c r="C271" s="4" t="s">
        <v>29</v>
      </c>
      <c r="D271" s="8" t="s">
        <v>1522</v>
      </c>
      <c r="E271" s="8" t="s">
        <v>1523</v>
      </c>
    </row>
    <row r="272" spans="1:5" ht="14.6" x14ac:dyDescent="0.4">
      <c r="A272" s="7" t="s">
        <v>466</v>
      </c>
      <c r="B272" s="4" t="s">
        <v>467</v>
      </c>
      <c r="C272" s="4" t="s">
        <v>6</v>
      </c>
      <c r="D272" s="8" t="s">
        <v>1520</v>
      </c>
      <c r="E272" s="8" t="s">
        <v>1528</v>
      </c>
    </row>
    <row r="273" spans="1:5" ht="14.6" x14ac:dyDescent="0.4">
      <c r="A273" s="7" t="s">
        <v>468</v>
      </c>
      <c r="B273" s="4" t="s">
        <v>426</v>
      </c>
      <c r="C273" s="4" t="s">
        <v>24</v>
      </c>
      <c r="D273" s="8" t="s">
        <v>1520</v>
      </c>
      <c r="E273" s="8" t="s">
        <v>1528</v>
      </c>
    </row>
    <row r="274" spans="1:5" ht="14.6" x14ac:dyDescent="0.4">
      <c r="A274" s="7" t="s">
        <v>469</v>
      </c>
      <c r="B274" s="4" t="s">
        <v>470</v>
      </c>
      <c r="C274" s="4" t="s">
        <v>21</v>
      </c>
      <c r="D274" s="8" t="s">
        <v>1522</v>
      </c>
      <c r="E274" s="8" t="s">
        <v>1527</v>
      </c>
    </row>
    <row r="275" spans="1:5" ht="14.6" x14ac:dyDescent="0.4">
      <c r="A275" s="7" t="s">
        <v>471</v>
      </c>
      <c r="B275" s="4" t="s">
        <v>195</v>
      </c>
      <c r="C275" s="4" t="s">
        <v>58</v>
      </c>
      <c r="D275" s="8" t="s">
        <v>1520</v>
      </c>
      <c r="E275" s="8" t="s">
        <v>1528</v>
      </c>
    </row>
    <row r="276" spans="1:5" ht="14.6" x14ac:dyDescent="0.4">
      <c r="A276" s="7" t="s">
        <v>472</v>
      </c>
      <c r="B276" s="4" t="s">
        <v>322</v>
      </c>
      <c r="C276" s="4" t="s">
        <v>47</v>
      </c>
      <c r="D276" s="8" t="s">
        <v>1520</v>
      </c>
      <c r="E276" s="8" t="s">
        <v>1528</v>
      </c>
    </row>
    <row r="277" spans="1:5" ht="14.6" x14ac:dyDescent="0.4">
      <c r="A277" s="7" t="s">
        <v>473</v>
      </c>
      <c r="B277" s="4" t="s">
        <v>474</v>
      </c>
      <c r="C277" s="4" t="s">
        <v>12</v>
      </c>
      <c r="D277" s="8" t="s">
        <v>1520</v>
      </c>
      <c r="E277" s="8" t="s">
        <v>1528</v>
      </c>
    </row>
    <row r="278" spans="1:5" ht="14.6" x14ac:dyDescent="0.4">
      <c r="A278" s="7" t="s">
        <v>475</v>
      </c>
      <c r="B278" s="4" t="s">
        <v>476</v>
      </c>
      <c r="C278" s="4" t="s">
        <v>12</v>
      </c>
      <c r="D278" s="8" t="s">
        <v>1522</v>
      </c>
      <c r="E278" s="8" t="s">
        <v>1523</v>
      </c>
    </row>
    <row r="279" spans="1:5" ht="14.6" x14ac:dyDescent="0.4">
      <c r="A279" s="7" t="s">
        <v>477</v>
      </c>
      <c r="B279" s="4" t="s">
        <v>74</v>
      </c>
      <c r="C279" s="4" t="s">
        <v>24</v>
      </c>
      <c r="D279" s="8" t="s">
        <v>1522</v>
      </c>
      <c r="E279" s="8" t="s">
        <v>1527</v>
      </c>
    </row>
    <row r="280" spans="1:5" ht="14.6" x14ac:dyDescent="0.4">
      <c r="A280" s="7" t="s">
        <v>478</v>
      </c>
      <c r="B280" s="4" t="s">
        <v>479</v>
      </c>
      <c r="C280" s="4" t="s">
        <v>58</v>
      </c>
      <c r="D280" s="8" t="s">
        <v>1522</v>
      </c>
      <c r="E280" s="8" t="s">
        <v>1523</v>
      </c>
    </row>
    <row r="281" spans="1:5" ht="14.6" x14ac:dyDescent="0.4">
      <c r="A281" s="7" t="s">
        <v>480</v>
      </c>
      <c r="B281" s="4" t="s">
        <v>20</v>
      </c>
      <c r="C281" s="4" t="s">
        <v>55</v>
      </c>
      <c r="D281" s="8" t="s">
        <v>1522</v>
      </c>
      <c r="E281" s="8" t="s">
        <v>1523</v>
      </c>
    </row>
    <row r="282" spans="1:5" ht="14.6" x14ac:dyDescent="0.4">
      <c r="A282" s="7" t="s">
        <v>481</v>
      </c>
      <c r="B282" s="4" t="s">
        <v>482</v>
      </c>
      <c r="C282" s="4" t="s">
        <v>68</v>
      </c>
      <c r="D282" s="8" t="s">
        <v>1520</v>
      </c>
      <c r="E282" s="8" t="s">
        <v>1528</v>
      </c>
    </row>
    <row r="283" spans="1:5" ht="14.6" x14ac:dyDescent="0.4">
      <c r="A283" s="7" t="s">
        <v>483</v>
      </c>
      <c r="B283" s="4" t="s">
        <v>209</v>
      </c>
      <c r="C283" s="4" t="s">
        <v>18</v>
      </c>
      <c r="D283" s="8" t="s">
        <v>1522</v>
      </c>
      <c r="E283" s="8" t="s">
        <v>1523</v>
      </c>
    </row>
    <row r="284" spans="1:5" ht="14.6" x14ac:dyDescent="0.4">
      <c r="A284" s="7" t="s">
        <v>484</v>
      </c>
      <c r="B284" s="4" t="s">
        <v>485</v>
      </c>
      <c r="C284" s="4" t="s">
        <v>68</v>
      </c>
      <c r="D284" s="8" t="s">
        <v>1522</v>
      </c>
      <c r="E284" s="8" t="s">
        <v>1523</v>
      </c>
    </row>
    <row r="285" spans="1:5" ht="14.6" x14ac:dyDescent="0.4">
      <c r="A285" s="7" t="s">
        <v>486</v>
      </c>
      <c r="B285" s="4" t="s">
        <v>213</v>
      </c>
      <c r="C285" s="4" t="s">
        <v>68</v>
      </c>
      <c r="D285" s="8" t="s">
        <v>1520</v>
      </c>
      <c r="E285" s="8" t="s">
        <v>1528</v>
      </c>
    </row>
    <row r="286" spans="1:5" ht="14.6" x14ac:dyDescent="0.4">
      <c r="A286" s="7" t="s">
        <v>487</v>
      </c>
      <c r="B286" s="4" t="s">
        <v>224</v>
      </c>
      <c r="C286" s="4" t="s">
        <v>68</v>
      </c>
      <c r="D286" s="8" t="s">
        <v>1522</v>
      </c>
      <c r="E286" s="8" t="s">
        <v>1527</v>
      </c>
    </row>
    <row r="287" spans="1:5" ht="14.6" x14ac:dyDescent="0.4">
      <c r="A287" s="7" t="s">
        <v>488</v>
      </c>
      <c r="B287" s="4" t="s">
        <v>213</v>
      </c>
      <c r="C287" s="4" t="s">
        <v>9</v>
      </c>
      <c r="D287" s="8" t="s">
        <v>1522</v>
      </c>
      <c r="E287" s="8" t="s">
        <v>1523</v>
      </c>
    </row>
    <row r="288" spans="1:5" ht="14.6" x14ac:dyDescent="0.4">
      <c r="A288" s="7" t="s">
        <v>489</v>
      </c>
      <c r="B288" s="4" t="s">
        <v>490</v>
      </c>
      <c r="C288" s="4" t="s">
        <v>6</v>
      </c>
      <c r="D288" s="8" t="s">
        <v>1522</v>
      </c>
      <c r="E288" s="8" t="s">
        <v>1527</v>
      </c>
    </row>
    <row r="289" spans="1:5" ht="14.6" x14ac:dyDescent="0.4">
      <c r="A289" s="7" t="s">
        <v>491</v>
      </c>
      <c r="B289" s="4" t="s">
        <v>492</v>
      </c>
      <c r="C289" s="4" t="s">
        <v>21</v>
      </c>
      <c r="D289" s="8" t="s">
        <v>1520</v>
      </c>
      <c r="E289" s="8" t="s">
        <v>1528</v>
      </c>
    </row>
    <row r="290" spans="1:5" ht="14.6" x14ac:dyDescent="0.4">
      <c r="A290" s="7" t="s">
        <v>493</v>
      </c>
      <c r="B290" s="4" t="s">
        <v>494</v>
      </c>
      <c r="C290" s="4" t="s">
        <v>47</v>
      </c>
      <c r="D290" s="8" t="s">
        <v>1520</v>
      </c>
      <c r="E290" s="8" t="s">
        <v>1528</v>
      </c>
    </row>
    <row r="291" spans="1:5" ht="14.6" x14ac:dyDescent="0.4">
      <c r="A291" s="7" t="s">
        <v>495</v>
      </c>
      <c r="B291" s="4" t="s">
        <v>86</v>
      </c>
      <c r="C291" s="4" t="s">
        <v>34</v>
      </c>
      <c r="D291" s="8" t="s">
        <v>1522</v>
      </c>
      <c r="E291" s="8" t="s">
        <v>1527</v>
      </c>
    </row>
    <row r="292" spans="1:5" ht="14.6" x14ac:dyDescent="0.4">
      <c r="A292" s="7" t="s">
        <v>496</v>
      </c>
      <c r="B292" s="4" t="s">
        <v>413</v>
      </c>
      <c r="C292" s="4" t="s">
        <v>65</v>
      </c>
      <c r="D292" s="8" t="s">
        <v>1522</v>
      </c>
      <c r="E292" s="8" t="s">
        <v>1527</v>
      </c>
    </row>
    <row r="293" spans="1:5" ht="14.6" x14ac:dyDescent="0.4">
      <c r="A293" s="7" t="s">
        <v>497</v>
      </c>
      <c r="B293" s="4" t="s">
        <v>498</v>
      </c>
      <c r="C293" s="4" t="s">
        <v>9</v>
      </c>
      <c r="D293" s="8" t="s">
        <v>1520</v>
      </c>
      <c r="E293" s="8" t="s">
        <v>1528</v>
      </c>
    </row>
    <row r="294" spans="1:5" ht="14.6" x14ac:dyDescent="0.4">
      <c r="A294" s="7" t="s">
        <v>499</v>
      </c>
      <c r="B294" s="4" t="s">
        <v>500</v>
      </c>
      <c r="C294" s="4" t="s">
        <v>52</v>
      </c>
      <c r="D294" s="8" t="s">
        <v>1520</v>
      </c>
      <c r="E294" s="8" t="s">
        <v>1528</v>
      </c>
    </row>
    <row r="295" spans="1:5" ht="14.6" x14ac:dyDescent="0.4">
      <c r="A295" s="7" t="s">
        <v>501</v>
      </c>
      <c r="B295" s="4" t="s">
        <v>14</v>
      </c>
      <c r="C295" s="4" t="s">
        <v>29</v>
      </c>
      <c r="D295" s="8" t="s">
        <v>1520</v>
      </c>
      <c r="E295" s="8" t="s">
        <v>1528</v>
      </c>
    </row>
    <row r="296" spans="1:5" ht="14.6" x14ac:dyDescent="0.4">
      <c r="A296" s="7" t="s">
        <v>502</v>
      </c>
      <c r="B296" s="4" t="s">
        <v>322</v>
      </c>
      <c r="C296" s="4" t="s">
        <v>24</v>
      </c>
      <c r="D296" s="8" t="s">
        <v>1520</v>
      </c>
      <c r="E296" s="8" t="s">
        <v>1528</v>
      </c>
    </row>
    <row r="297" spans="1:5" ht="14.6" x14ac:dyDescent="0.4">
      <c r="A297" s="7" t="s">
        <v>503</v>
      </c>
      <c r="B297" s="4" t="s">
        <v>504</v>
      </c>
      <c r="C297" s="4" t="s">
        <v>65</v>
      </c>
      <c r="D297" s="8" t="s">
        <v>1520</v>
      </c>
      <c r="E297" s="8" t="s">
        <v>1528</v>
      </c>
    </row>
    <row r="298" spans="1:5" ht="14.6" x14ac:dyDescent="0.4">
      <c r="A298" s="7" t="s">
        <v>505</v>
      </c>
      <c r="B298" s="4" t="s">
        <v>506</v>
      </c>
      <c r="C298" s="4" t="s">
        <v>15</v>
      </c>
      <c r="D298" s="8" t="s">
        <v>1520</v>
      </c>
      <c r="E298" s="8" t="s">
        <v>1528</v>
      </c>
    </row>
    <row r="299" spans="1:5" ht="14.6" x14ac:dyDescent="0.4">
      <c r="A299" s="7" t="s">
        <v>507</v>
      </c>
      <c r="B299" s="4" t="s">
        <v>176</v>
      </c>
      <c r="C299" s="4" t="s">
        <v>24</v>
      </c>
      <c r="D299" s="8" t="s">
        <v>1520</v>
      </c>
      <c r="E299" s="8" t="s">
        <v>1528</v>
      </c>
    </row>
    <row r="300" spans="1:5" ht="14.6" x14ac:dyDescent="0.4">
      <c r="A300" s="7" t="s">
        <v>508</v>
      </c>
      <c r="B300" s="4" t="s">
        <v>252</v>
      </c>
      <c r="C300" s="4" t="s">
        <v>65</v>
      </c>
      <c r="D300" s="8" t="s">
        <v>1520</v>
      </c>
      <c r="E300" s="8" t="s">
        <v>1528</v>
      </c>
    </row>
    <row r="301" spans="1:5" ht="14.6" x14ac:dyDescent="0.4">
      <c r="A301" s="7" t="s">
        <v>509</v>
      </c>
      <c r="B301" s="4" t="s">
        <v>176</v>
      </c>
      <c r="C301" s="4" t="s">
        <v>47</v>
      </c>
      <c r="D301" s="8" t="s">
        <v>1520</v>
      </c>
      <c r="E301" s="8" t="s">
        <v>1528</v>
      </c>
    </row>
    <row r="302" spans="1:5" ht="14.6" x14ac:dyDescent="0.4">
      <c r="A302" s="7" t="s">
        <v>510</v>
      </c>
      <c r="B302" s="4" t="s">
        <v>511</v>
      </c>
      <c r="C302" s="4" t="s">
        <v>29</v>
      </c>
      <c r="D302" s="8" t="s">
        <v>1520</v>
      </c>
      <c r="E302" s="8" t="s">
        <v>1528</v>
      </c>
    </row>
    <row r="303" spans="1:5" ht="14.6" x14ac:dyDescent="0.4">
      <c r="A303" s="7" t="s">
        <v>512</v>
      </c>
      <c r="B303" s="4" t="s">
        <v>318</v>
      </c>
      <c r="C303" s="4" t="s">
        <v>21</v>
      </c>
      <c r="D303" s="8" t="s">
        <v>1520</v>
      </c>
      <c r="E303" s="8" t="s">
        <v>1528</v>
      </c>
    </row>
    <row r="304" spans="1:5" ht="14.6" x14ac:dyDescent="0.4">
      <c r="A304" s="7" t="s">
        <v>513</v>
      </c>
      <c r="B304" s="4" t="s">
        <v>335</v>
      </c>
      <c r="C304" s="4" t="s">
        <v>68</v>
      </c>
      <c r="D304" s="8" t="s">
        <v>1520</v>
      </c>
      <c r="E304" s="8" t="s">
        <v>1528</v>
      </c>
    </row>
    <row r="305" spans="1:5" ht="14.6" x14ac:dyDescent="0.4">
      <c r="A305" s="7" t="s">
        <v>514</v>
      </c>
      <c r="B305" s="4" t="s">
        <v>146</v>
      </c>
      <c r="C305" s="4" t="s">
        <v>6</v>
      </c>
      <c r="D305" s="8" t="s">
        <v>1520</v>
      </c>
      <c r="E305" s="8" t="s">
        <v>1528</v>
      </c>
    </row>
    <row r="306" spans="1:5" ht="14.6" x14ac:dyDescent="0.4">
      <c r="A306" s="7" t="s">
        <v>515</v>
      </c>
      <c r="B306" s="4" t="s">
        <v>174</v>
      </c>
      <c r="C306" s="4" t="s">
        <v>65</v>
      </c>
      <c r="D306" s="8" t="s">
        <v>1520</v>
      </c>
      <c r="E306" s="8" t="s">
        <v>1528</v>
      </c>
    </row>
    <row r="307" spans="1:5" ht="14.6" x14ac:dyDescent="0.4">
      <c r="A307" s="7" t="s">
        <v>516</v>
      </c>
      <c r="B307" s="4" t="s">
        <v>232</v>
      </c>
      <c r="C307" s="4" t="s">
        <v>9</v>
      </c>
      <c r="D307" s="8" t="s">
        <v>1520</v>
      </c>
      <c r="E307" s="8" t="s">
        <v>1528</v>
      </c>
    </row>
    <row r="308" spans="1:5" ht="14.6" x14ac:dyDescent="0.4">
      <c r="A308" s="7" t="s">
        <v>517</v>
      </c>
      <c r="B308" s="4" t="s">
        <v>202</v>
      </c>
      <c r="C308" s="4" t="s">
        <v>55</v>
      </c>
      <c r="D308" s="8" t="s">
        <v>1522</v>
      </c>
      <c r="E308" s="8" t="s">
        <v>1527</v>
      </c>
    </row>
    <row r="309" spans="1:5" ht="14.6" x14ac:dyDescent="0.4">
      <c r="A309" s="7" t="s">
        <v>518</v>
      </c>
      <c r="B309" s="4" t="s">
        <v>519</v>
      </c>
      <c r="C309" s="4" t="s">
        <v>34</v>
      </c>
      <c r="D309" s="8" t="s">
        <v>1520</v>
      </c>
      <c r="E309" s="8" t="s">
        <v>1528</v>
      </c>
    </row>
    <row r="310" spans="1:5" ht="14.6" x14ac:dyDescent="0.4">
      <c r="A310" s="7" t="s">
        <v>520</v>
      </c>
      <c r="B310" s="4" t="s">
        <v>98</v>
      </c>
      <c r="C310" s="4" t="s">
        <v>9</v>
      </c>
      <c r="D310" s="8" t="s">
        <v>1522</v>
      </c>
      <c r="E310" s="8" t="s">
        <v>1530</v>
      </c>
    </row>
    <row r="311" spans="1:5" ht="14.6" x14ac:dyDescent="0.4">
      <c r="A311" s="7" t="s">
        <v>521</v>
      </c>
      <c r="B311" s="4" t="s">
        <v>522</v>
      </c>
      <c r="C311" s="4" t="s">
        <v>21</v>
      </c>
      <c r="D311" s="8" t="s">
        <v>1522</v>
      </c>
      <c r="E311" s="8" t="s">
        <v>1530</v>
      </c>
    </row>
    <row r="312" spans="1:5" ht="14.6" x14ac:dyDescent="0.4">
      <c r="A312" s="7" t="s">
        <v>523</v>
      </c>
      <c r="B312" s="4" t="s">
        <v>232</v>
      </c>
      <c r="C312" s="4" t="s">
        <v>15</v>
      </c>
      <c r="D312" s="8" t="s">
        <v>1522</v>
      </c>
      <c r="E312" s="8" t="s">
        <v>1530</v>
      </c>
    </row>
    <row r="313" spans="1:5" ht="14.6" x14ac:dyDescent="0.4">
      <c r="A313" s="7" t="s">
        <v>524</v>
      </c>
      <c r="B313" s="4" t="s">
        <v>14</v>
      </c>
      <c r="C313" s="4" t="s">
        <v>65</v>
      </c>
      <c r="D313" s="8" t="s">
        <v>1520</v>
      </c>
      <c r="E313" s="8" t="s">
        <v>1528</v>
      </c>
    </row>
    <row r="314" spans="1:5" ht="14.6" x14ac:dyDescent="0.4">
      <c r="A314" s="7" t="s">
        <v>525</v>
      </c>
      <c r="B314" s="4" t="s">
        <v>433</v>
      </c>
      <c r="C314" s="4" t="s">
        <v>47</v>
      </c>
      <c r="D314" s="8" t="s">
        <v>1520</v>
      </c>
      <c r="E314" s="8" t="s">
        <v>1528</v>
      </c>
    </row>
    <row r="315" spans="1:5" ht="14.6" x14ac:dyDescent="0.4">
      <c r="A315" s="7" t="s">
        <v>526</v>
      </c>
      <c r="B315" s="4" t="s">
        <v>82</v>
      </c>
      <c r="C315" s="4" t="s">
        <v>29</v>
      </c>
      <c r="D315" s="8" t="s">
        <v>1520</v>
      </c>
      <c r="E315" s="8" t="s">
        <v>1528</v>
      </c>
    </row>
    <row r="316" spans="1:5" ht="14.6" x14ac:dyDescent="0.4">
      <c r="A316" s="7" t="s">
        <v>527</v>
      </c>
      <c r="B316" s="4" t="s">
        <v>158</v>
      </c>
      <c r="C316" s="4" t="s">
        <v>9</v>
      </c>
      <c r="D316" s="8" t="s">
        <v>1520</v>
      </c>
      <c r="E316" s="8" t="s">
        <v>1528</v>
      </c>
    </row>
    <row r="317" spans="1:5" ht="14.6" x14ac:dyDescent="0.4">
      <c r="A317" s="7" t="s">
        <v>528</v>
      </c>
      <c r="B317" s="4" t="s">
        <v>529</v>
      </c>
      <c r="C317" s="4" t="s">
        <v>65</v>
      </c>
      <c r="D317" s="8" t="s">
        <v>1520</v>
      </c>
      <c r="E317" s="8" t="s">
        <v>1528</v>
      </c>
    </row>
    <row r="318" spans="1:5" ht="14.6" x14ac:dyDescent="0.4">
      <c r="A318" s="7" t="s">
        <v>530</v>
      </c>
      <c r="B318" s="4" t="s">
        <v>28</v>
      </c>
      <c r="C318" s="4" t="s">
        <v>18</v>
      </c>
      <c r="D318" s="8" t="s">
        <v>1520</v>
      </c>
      <c r="E318" s="8" t="s">
        <v>1528</v>
      </c>
    </row>
    <row r="319" spans="1:5" ht="14.6" x14ac:dyDescent="0.4">
      <c r="A319" s="7" t="s">
        <v>531</v>
      </c>
      <c r="B319" s="4" t="s">
        <v>329</v>
      </c>
      <c r="C319" s="4" t="s">
        <v>65</v>
      </c>
      <c r="D319" s="8" t="s">
        <v>1522</v>
      </c>
      <c r="E319" s="8" t="s">
        <v>1526</v>
      </c>
    </row>
    <row r="320" spans="1:5" ht="14.6" x14ac:dyDescent="0.4">
      <c r="A320" s="7" t="s">
        <v>532</v>
      </c>
      <c r="B320" s="4" t="s">
        <v>202</v>
      </c>
      <c r="C320" s="4" t="s">
        <v>12</v>
      </c>
      <c r="D320" s="8" t="s">
        <v>1520</v>
      </c>
      <c r="E320" s="8" t="s">
        <v>1528</v>
      </c>
    </row>
    <row r="321" spans="1:5" ht="14.6" x14ac:dyDescent="0.4">
      <c r="A321" s="7" t="s">
        <v>533</v>
      </c>
      <c r="B321" s="4" t="s">
        <v>367</v>
      </c>
      <c r="C321" s="4" t="s">
        <v>58</v>
      </c>
      <c r="D321" s="8" t="s">
        <v>1520</v>
      </c>
      <c r="E321" s="8" t="s">
        <v>1528</v>
      </c>
    </row>
    <row r="322" spans="1:5" ht="14.6" x14ac:dyDescent="0.4">
      <c r="A322" s="7" t="s">
        <v>534</v>
      </c>
      <c r="B322" s="4" t="s">
        <v>359</v>
      </c>
      <c r="C322" s="4" t="s">
        <v>12</v>
      </c>
      <c r="D322" s="8" t="s">
        <v>1522</v>
      </c>
      <c r="E322" s="8" t="s">
        <v>1525</v>
      </c>
    </row>
    <row r="323" spans="1:5" ht="14.6" x14ac:dyDescent="0.4">
      <c r="A323" s="7" t="s">
        <v>535</v>
      </c>
      <c r="B323" s="4" t="s">
        <v>439</v>
      </c>
      <c r="C323" s="4" t="s">
        <v>47</v>
      </c>
      <c r="D323" s="8" t="s">
        <v>1520</v>
      </c>
      <c r="E323" s="8" t="s">
        <v>1528</v>
      </c>
    </row>
    <row r="324" spans="1:5" ht="14.6" x14ac:dyDescent="0.4">
      <c r="A324" s="7" t="s">
        <v>536</v>
      </c>
      <c r="B324" s="4" t="s">
        <v>537</v>
      </c>
      <c r="C324" s="4" t="s">
        <v>21</v>
      </c>
      <c r="D324" s="8" t="s">
        <v>1522</v>
      </c>
      <c r="E324" s="8" t="s">
        <v>1523</v>
      </c>
    </row>
    <row r="325" spans="1:5" ht="14.6" x14ac:dyDescent="0.4">
      <c r="A325" s="7" t="s">
        <v>538</v>
      </c>
      <c r="B325" s="4" t="s">
        <v>539</v>
      </c>
      <c r="C325" s="4" t="s">
        <v>68</v>
      </c>
      <c r="D325" s="8" t="s">
        <v>1522</v>
      </c>
      <c r="E325" s="8" t="s">
        <v>1532</v>
      </c>
    </row>
    <row r="326" spans="1:5" ht="14.6" x14ac:dyDescent="0.4">
      <c r="A326" s="7" t="s">
        <v>540</v>
      </c>
      <c r="B326" s="4" t="s">
        <v>406</v>
      </c>
      <c r="C326" s="4" t="s">
        <v>12</v>
      </c>
      <c r="D326" s="8" t="s">
        <v>1522</v>
      </c>
      <c r="E326" s="8" t="s">
        <v>1532</v>
      </c>
    </row>
    <row r="327" spans="1:5" ht="14.6" x14ac:dyDescent="0.4">
      <c r="A327" s="7" t="s">
        <v>541</v>
      </c>
      <c r="B327" s="4" t="s">
        <v>542</v>
      </c>
      <c r="C327" s="4" t="s">
        <v>68</v>
      </c>
      <c r="D327" s="8" t="s">
        <v>1522</v>
      </c>
      <c r="E327" s="8" t="s">
        <v>1527</v>
      </c>
    </row>
    <row r="328" spans="1:5" ht="14.6" x14ac:dyDescent="0.4">
      <c r="A328" s="7" t="s">
        <v>543</v>
      </c>
      <c r="B328" s="4" t="s">
        <v>31</v>
      </c>
      <c r="C328" s="4" t="s">
        <v>47</v>
      </c>
      <c r="D328" s="8" t="s">
        <v>1520</v>
      </c>
      <c r="E328" s="8" t="s">
        <v>1528</v>
      </c>
    </row>
    <row r="329" spans="1:5" ht="14.6" x14ac:dyDescent="0.4">
      <c r="A329" s="7" t="s">
        <v>544</v>
      </c>
      <c r="B329" s="4" t="s">
        <v>545</v>
      </c>
      <c r="C329" s="4" t="s">
        <v>15</v>
      </c>
      <c r="D329" s="8" t="s">
        <v>1522</v>
      </c>
      <c r="E329" s="8" t="s">
        <v>1523</v>
      </c>
    </row>
    <row r="330" spans="1:5" ht="14.6" x14ac:dyDescent="0.4">
      <c r="A330" s="7" t="s">
        <v>546</v>
      </c>
      <c r="B330" s="4" t="s">
        <v>259</v>
      </c>
      <c r="C330" s="4" t="s">
        <v>18</v>
      </c>
      <c r="D330" s="8" t="s">
        <v>1520</v>
      </c>
      <c r="E330" s="8" t="s">
        <v>1528</v>
      </c>
    </row>
    <row r="331" spans="1:5" ht="14.6" x14ac:dyDescent="0.4">
      <c r="A331" s="7" t="s">
        <v>547</v>
      </c>
      <c r="B331" s="4" t="s">
        <v>548</v>
      </c>
      <c r="C331" s="4" t="s">
        <v>18</v>
      </c>
      <c r="D331" s="8" t="s">
        <v>1520</v>
      </c>
      <c r="E331" s="8" t="s">
        <v>1528</v>
      </c>
    </row>
    <row r="332" spans="1:5" ht="14.6" x14ac:dyDescent="0.4">
      <c r="A332" s="7" t="s">
        <v>549</v>
      </c>
      <c r="B332" s="4" t="s">
        <v>90</v>
      </c>
      <c r="C332" s="4" t="s">
        <v>65</v>
      </c>
      <c r="D332" s="8" t="s">
        <v>1520</v>
      </c>
      <c r="E332" s="8" t="s">
        <v>1528</v>
      </c>
    </row>
    <row r="333" spans="1:5" ht="14.6" x14ac:dyDescent="0.4">
      <c r="A333" s="7" t="s">
        <v>550</v>
      </c>
      <c r="B333" s="4" t="s">
        <v>545</v>
      </c>
      <c r="C333" s="4" t="s">
        <v>55</v>
      </c>
      <c r="D333" s="8" t="s">
        <v>1520</v>
      </c>
      <c r="E333" s="8" t="s">
        <v>1528</v>
      </c>
    </row>
    <row r="334" spans="1:5" ht="14.6" x14ac:dyDescent="0.4">
      <c r="A334" s="7" t="s">
        <v>551</v>
      </c>
      <c r="B334" s="4" t="s">
        <v>552</v>
      </c>
      <c r="C334" s="4" t="s">
        <v>34</v>
      </c>
      <c r="D334" s="8" t="s">
        <v>1522</v>
      </c>
      <c r="E334" s="8" t="s">
        <v>1527</v>
      </c>
    </row>
    <row r="335" spans="1:5" ht="14.6" x14ac:dyDescent="0.4">
      <c r="A335" s="7" t="s">
        <v>553</v>
      </c>
      <c r="B335" s="4" t="s">
        <v>554</v>
      </c>
      <c r="C335" s="4" t="s">
        <v>12</v>
      </c>
      <c r="D335" s="8" t="s">
        <v>1520</v>
      </c>
      <c r="E335" s="8" t="s">
        <v>1528</v>
      </c>
    </row>
    <row r="336" spans="1:5" ht="14.6" x14ac:dyDescent="0.4">
      <c r="A336" s="7" t="s">
        <v>555</v>
      </c>
      <c r="B336" s="4" t="s">
        <v>506</v>
      </c>
      <c r="C336" s="4" t="s">
        <v>21</v>
      </c>
      <c r="D336" s="8" t="s">
        <v>1522</v>
      </c>
      <c r="E336" s="8" t="s">
        <v>1527</v>
      </c>
    </row>
    <row r="337" spans="1:5" ht="14.6" x14ac:dyDescent="0.4">
      <c r="A337" s="7" t="s">
        <v>556</v>
      </c>
      <c r="B337" s="4" t="s">
        <v>557</v>
      </c>
      <c r="C337" s="4" t="s">
        <v>9</v>
      </c>
      <c r="D337" s="8" t="s">
        <v>1522</v>
      </c>
      <c r="E337" s="8" t="s">
        <v>1532</v>
      </c>
    </row>
    <row r="338" spans="1:5" ht="14.6" x14ac:dyDescent="0.4">
      <c r="A338" s="7" t="s">
        <v>558</v>
      </c>
      <c r="B338" s="4" t="s">
        <v>14</v>
      </c>
      <c r="C338" s="4" t="s">
        <v>9</v>
      </c>
      <c r="D338" s="8" t="s">
        <v>1520</v>
      </c>
      <c r="E338" s="8" t="s">
        <v>1528</v>
      </c>
    </row>
    <row r="339" spans="1:5" ht="14.6" x14ac:dyDescent="0.4">
      <c r="A339" s="7" t="s">
        <v>559</v>
      </c>
      <c r="B339" s="4" t="s">
        <v>560</v>
      </c>
      <c r="C339" s="4" t="s">
        <v>47</v>
      </c>
      <c r="D339" s="8" t="s">
        <v>1522</v>
      </c>
      <c r="E339" s="8" t="s">
        <v>1526</v>
      </c>
    </row>
    <row r="340" spans="1:5" ht="14.6" x14ac:dyDescent="0.4">
      <c r="A340" s="7" t="s">
        <v>561</v>
      </c>
      <c r="B340" s="4" t="s">
        <v>562</v>
      </c>
      <c r="C340" s="4" t="s">
        <v>52</v>
      </c>
      <c r="D340" s="8" t="s">
        <v>1520</v>
      </c>
      <c r="E340" s="8" t="s">
        <v>1528</v>
      </c>
    </row>
    <row r="341" spans="1:5" ht="14.6" x14ac:dyDescent="0.4">
      <c r="A341" s="7" t="s">
        <v>563</v>
      </c>
      <c r="B341" s="4" t="s">
        <v>564</v>
      </c>
      <c r="C341" s="4" t="s">
        <v>29</v>
      </c>
      <c r="D341" s="8" t="s">
        <v>1522</v>
      </c>
      <c r="E341" s="8" t="s">
        <v>1523</v>
      </c>
    </row>
    <row r="342" spans="1:5" ht="14.6" x14ac:dyDescent="0.4">
      <c r="A342" s="7" t="s">
        <v>565</v>
      </c>
      <c r="B342" s="4" t="s">
        <v>84</v>
      </c>
      <c r="C342" s="4" t="s">
        <v>47</v>
      </c>
      <c r="D342" s="8" t="s">
        <v>1522</v>
      </c>
      <c r="E342" s="8" t="s">
        <v>1527</v>
      </c>
    </row>
    <row r="343" spans="1:5" ht="14.6" x14ac:dyDescent="0.4">
      <c r="A343" s="7" t="s">
        <v>566</v>
      </c>
      <c r="B343" s="4" t="s">
        <v>567</v>
      </c>
      <c r="C343" s="4" t="s">
        <v>34</v>
      </c>
      <c r="D343" s="8" t="s">
        <v>1522</v>
      </c>
      <c r="E343" s="8" t="s">
        <v>1526</v>
      </c>
    </row>
    <row r="344" spans="1:5" ht="14.6" x14ac:dyDescent="0.4">
      <c r="A344" s="7" t="s">
        <v>568</v>
      </c>
      <c r="B344" s="4" t="s">
        <v>569</v>
      </c>
      <c r="C344" s="4" t="s">
        <v>58</v>
      </c>
      <c r="D344" s="8" t="s">
        <v>1520</v>
      </c>
      <c r="E344" s="8" t="s">
        <v>1528</v>
      </c>
    </row>
    <row r="345" spans="1:5" ht="14.6" x14ac:dyDescent="0.4">
      <c r="A345" s="7" t="s">
        <v>570</v>
      </c>
      <c r="B345" s="4" t="s">
        <v>318</v>
      </c>
      <c r="C345" s="4" t="s">
        <v>52</v>
      </c>
      <c r="D345" s="8" t="s">
        <v>1520</v>
      </c>
      <c r="E345" s="8" t="s">
        <v>1528</v>
      </c>
    </row>
    <row r="346" spans="1:5" ht="14.6" x14ac:dyDescent="0.4">
      <c r="A346" s="7" t="s">
        <v>571</v>
      </c>
      <c r="B346" s="4" t="s">
        <v>213</v>
      </c>
      <c r="C346" s="4" t="s">
        <v>6</v>
      </c>
      <c r="D346" s="8" t="s">
        <v>1522</v>
      </c>
      <c r="E346" s="8" t="s">
        <v>1523</v>
      </c>
    </row>
    <row r="347" spans="1:5" ht="14.6" x14ac:dyDescent="0.4">
      <c r="A347" s="7" t="s">
        <v>572</v>
      </c>
      <c r="B347" s="4" t="s">
        <v>573</v>
      </c>
      <c r="C347" s="4" t="s">
        <v>15</v>
      </c>
      <c r="D347" s="8" t="s">
        <v>1522</v>
      </c>
      <c r="E347" s="8" t="s">
        <v>1526</v>
      </c>
    </row>
    <row r="348" spans="1:5" ht="14.6" x14ac:dyDescent="0.4">
      <c r="A348" s="7" t="s">
        <v>574</v>
      </c>
      <c r="B348" s="4" t="s">
        <v>246</v>
      </c>
      <c r="C348" s="4" t="s">
        <v>15</v>
      </c>
      <c r="D348" s="8" t="s">
        <v>1522</v>
      </c>
      <c r="E348" s="8" t="s">
        <v>1526</v>
      </c>
    </row>
    <row r="349" spans="1:5" ht="14.6" x14ac:dyDescent="0.4">
      <c r="A349" s="7" t="s">
        <v>575</v>
      </c>
      <c r="B349" s="4" t="s">
        <v>567</v>
      </c>
      <c r="C349" s="4" t="s">
        <v>65</v>
      </c>
      <c r="D349" s="8" t="s">
        <v>1520</v>
      </c>
      <c r="E349" s="8" t="s">
        <v>1528</v>
      </c>
    </row>
    <row r="350" spans="1:5" ht="14.6" x14ac:dyDescent="0.4">
      <c r="A350" s="7" t="s">
        <v>576</v>
      </c>
      <c r="B350" s="4" t="s">
        <v>44</v>
      </c>
      <c r="C350" s="4" t="s">
        <v>9</v>
      </c>
      <c r="D350" s="8" t="s">
        <v>1520</v>
      </c>
      <c r="E350" s="8" t="s">
        <v>1528</v>
      </c>
    </row>
    <row r="351" spans="1:5" ht="14.6" x14ac:dyDescent="0.4">
      <c r="A351" s="7" t="s">
        <v>577</v>
      </c>
      <c r="B351" s="4" t="s">
        <v>578</v>
      </c>
      <c r="C351" s="4" t="s">
        <v>21</v>
      </c>
      <c r="D351" s="8" t="s">
        <v>1522</v>
      </c>
      <c r="E351" s="8" t="s">
        <v>1527</v>
      </c>
    </row>
    <row r="352" spans="1:5" ht="14.6" x14ac:dyDescent="0.4">
      <c r="A352" s="7" t="s">
        <v>579</v>
      </c>
      <c r="B352" s="4" t="s">
        <v>369</v>
      </c>
      <c r="C352" s="4" t="s">
        <v>18</v>
      </c>
      <c r="D352" s="8" t="s">
        <v>1520</v>
      </c>
      <c r="E352" s="8" t="s">
        <v>1528</v>
      </c>
    </row>
    <row r="353" spans="1:5" ht="14.6" x14ac:dyDescent="0.4">
      <c r="A353" s="7" t="s">
        <v>580</v>
      </c>
      <c r="B353" s="4" t="s">
        <v>545</v>
      </c>
      <c r="C353" s="4" t="s">
        <v>18</v>
      </c>
      <c r="D353" s="8" t="s">
        <v>1520</v>
      </c>
      <c r="E353" s="8" t="s">
        <v>1528</v>
      </c>
    </row>
    <row r="354" spans="1:5" ht="14.6" x14ac:dyDescent="0.4">
      <c r="A354" s="7" t="s">
        <v>581</v>
      </c>
      <c r="B354" s="4" t="s">
        <v>101</v>
      </c>
      <c r="C354" s="4" t="s">
        <v>52</v>
      </c>
      <c r="D354" s="8" t="s">
        <v>1520</v>
      </c>
      <c r="E354" s="8" t="s">
        <v>1528</v>
      </c>
    </row>
    <row r="355" spans="1:5" ht="14.6" x14ac:dyDescent="0.4">
      <c r="A355" s="7" t="s">
        <v>582</v>
      </c>
      <c r="B355" s="4" t="s">
        <v>583</v>
      </c>
      <c r="C355" s="4" t="s">
        <v>24</v>
      </c>
      <c r="D355" s="8" t="s">
        <v>1522</v>
      </c>
      <c r="E355" s="8" t="s">
        <v>1527</v>
      </c>
    </row>
    <row r="356" spans="1:5" ht="14.6" x14ac:dyDescent="0.4">
      <c r="A356" s="7" t="s">
        <v>584</v>
      </c>
      <c r="B356" s="4" t="s">
        <v>131</v>
      </c>
      <c r="C356" s="4" t="s">
        <v>15</v>
      </c>
      <c r="D356" s="8" t="s">
        <v>1522</v>
      </c>
      <c r="E356" s="8" t="s">
        <v>1525</v>
      </c>
    </row>
    <row r="357" spans="1:5" ht="14.6" x14ac:dyDescent="0.4">
      <c r="A357" s="7" t="s">
        <v>585</v>
      </c>
      <c r="B357" s="4" t="s">
        <v>586</v>
      </c>
      <c r="C357" s="4" t="s">
        <v>29</v>
      </c>
      <c r="D357" s="8" t="s">
        <v>1522</v>
      </c>
      <c r="E357" s="8" t="s">
        <v>1527</v>
      </c>
    </row>
    <row r="358" spans="1:5" ht="14.6" x14ac:dyDescent="0.4">
      <c r="A358" s="7" t="s">
        <v>587</v>
      </c>
      <c r="B358" s="4" t="s">
        <v>406</v>
      </c>
      <c r="C358" s="4" t="s">
        <v>65</v>
      </c>
      <c r="D358" s="8" t="s">
        <v>1520</v>
      </c>
      <c r="E358" s="8" t="s">
        <v>1528</v>
      </c>
    </row>
    <row r="359" spans="1:5" ht="14.6" x14ac:dyDescent="0.4">
      <c r="A359" s="7" t="s">
        <v>588</v>
      </c>
      <c r="B359" s="4" t="s">
        <v>564</v>
      </c>
      <c r="C359" s="4" t="s">
        <v>12</v>
      </c>
      <c r="D359" s="8" t="s">
        <v>1520</v>
      </c>
      <c r="E359" s="8" t="s">
        <v>1528</v>
      </c>
    </row>
    <row r="360" spans="1:5" ht="14.6" x14ac:dyDescent="0.4">
      <c r="A360" s="7" t="s">
        <v>589</v>
      </c>
      <c r="B360" s="4" t="s">
        <v>31</v>
      </c>
      <c r="C360" s="4" t="s">
        <v>58</v>
      </c>
      <c r="D360" s="8" t="s">
        <v>1520</v>
      </c>
      <c r="E360" s="8" t="s">
        <v>1528</v>
      </c>
    </row>
    <row r="361" spans="1:5" ht="14.6" x14ac:dyDescent="0.4">
      <c r="A361" s="7" t="s">
        <v>590</v>
      </c>
      <c r="B361" s="4" t="s">
        <v>195</v>
      </c>
      <c r="C361" s="4" t="s">
        <v>58</v>
      </c>
      <c r="D361" s="8" t="s">
        <v>1520</v>
      </c>
      <c r="E361" s="8" t="s">
        <v>1528</v>
      </c>
    </row>
    <row r="362" spans="1:5" ht="14.6" x14ac:dyDescent="0.4">
      <c r="A362" s="7" t="s">
        <v>591</v>
      </c>
      <c r="B362" s="4" t="s">
        <v>46</v>
      </c>
      <c r="C362" s="4" t="s">
        <v>21</v>
      </c>
      <c r="D362" s="8" t="s">
        <v>1520</v>
      </c>
      <c r="E362" s="8" t="s">
        <v>1528</v>
      </c>
    </row>
    <row r="363" spans="1:5" ht="14.6" x14ac:dyDescent="0.4">
      <c r="A363" s="7" t="s">
        <v>592</v>
      </c>
      <c r="B363" s="4" t="s">
        <v>593</v>
      </c>
      <c r="C363" s="4" t="s">
        <v>18</v>
      </c>
      <c r="D363" s="8" t="s">
        <v>1520</v>
      </c>
      <c r="E363" s="8" t="s">
        <v>1528</v>
      </c>
    </row>
    <row r="364" spans="1:5" ht="14.6" x14ac:dyDescent="0.4">
      <c r="A364" s="7" t="s">
        <v>594</v>
      </c>
      <c r="B364" s="4" t="s">
        <v>595</v>
      </c>
      <c r="C364" s="4" t="s">
        <v>21</v>
      </c>
      <c r="D364" s="8" t="s">
        <v>1522</v>
      </c>
      <c r="E364" s="8" t="s">
        <v>1525</v>
      </c>
    </row>
    <row r="365" spans="1:5" ht="14.6" x14ac:dyDescent="0.4">
      <c r="A365" s="7" t="s">
        <v>596</v>
      </c>
      <c r="B365" s="4" t="s">
        <v>554</v>
      </c>
      <c r="C365" s="4" t="s">
        <v>34</v>
      </c>
      <c r="D365" s="8" t="s">
        <v>1520</v>
      </c>
      <c r="E365" s="8" t="s">
        <v>1528</v>
      </c>
    </row>
    <row r="366" spans="1:5" ht="14.6" x14ac:dyDescent="0.4">
      <c r="A366" s="7" t="s">
        <v>597</v>
      </c>
      <c r="B366" s="4" t="s">
        <v>598</v>
      </c>
      <c r="C366" s="4" t="s">
        <v>65</v>
      </c>
      <c r="D366" s="8" t="s">
        <v>1520</v>
      </c>
      <c r="E366" s="8" t="s">
        <v>1528</v>
      </c>
    </row>
    <row r="367" spans="1:5" ht="14.6" x14ac:dyDescent="0.4">
      <c r="A367" s="7" t="s">
        <v>599</v>
      </c>
      <c r="B367" s="4" t="s">
        <v>554</v>
      </c>
      <c r="C367" s="4" t="s">
        <v>34</v>
      </c>
      <c r="D367" s="8" t="s">
        <v>1520</v>
      </c>
      <c r="E367" s="8" t="s">
        <v>1528</v>
      </c>
    </row>
    <row r="368" spans="1:5" ht="14.6" x14ac:dyDescent="0.4">
      <c r="A368" s="7" t="s">
        <v>600</v>
      </c>
      <c r="B368" s="4" t="s">
        <v>601</v>
      </c>
      <c r="C368" s="4" t="s">
        <v>9</v>
      </c>
      <c r="D368" s="8" t="s">
        <v>1520</v>
      </c>
      <c r="E368" s="8" t="s">
        <v>1528</v>
      </c>
    </row>
    <row r="369" spans="1:5" ht="14.6" x14ac:dyDescent="0.4">
      <c r="A369" s="7" t="s">
        <v>602</v>
      </c>
      <c r="B369" s="4" t="s">
        <v>603</v>
      </c>
      <c r="C369" s="4" t="s">
        <v>68</v>
      </c>
      <c r="D369" s="8" t="s">
        <v>1520</v>
      </c>
      <c r="E369" s="8" t="s">
        <v>1528</v>
      </c>
    </row>
    <row r="370" spans="1:5" ht="14.6" x14ac:dyDescent="0.4">
      <c r="A370" s="7" t="s">
        <v>604</v>
      </c>
      <c r="B370" s="4" t="s">
        <v>605</v>
      </c>
      <c r="C370" s="4" t="s">
        <v>34</v>
      </c>
      <c r="D370" s="8" t="s">
        <v>1520</v>
      </c>
      <c r="E370" s="8" t="s">
        <v>1528</v>
      </c>
    </row>
    <row r="371" spans="1:5" ht="14.6" x14ac:dyDescent="0.4">
      <c r="A371" s="7" t="s">
        <v>606</v>
      </c>
      <c r="B371" s="4" t="s">
        <v>280</v>
      </c>
      <c r="C371" s="4" t="s">
        <v>15</v>
      </c>
      <c r="D371" s="8" t="s">
        <v>1520</v>
      </c>
      <c r="E371" s="8" t="s">
        <v>1528</v>
      </c>
    </row>
    <row r="372" spans="1:5" ht="14.6" x14ac:dyDescent="0.4">
      <c r="A372" s="7" t="s">
        <v>607</v>
      </c>
      <c r="B372" s="4" t="s">
        <v>372</v>
      </c>
      <c r="C372" s="4" t="s">
        <v>15</v>
      </c>
      <c r="D372" s="8" t="s">
        <v>1520</v>
      </c>
      <c r="E372" s="8" t="s">
        <v>1528</v>
      </c>
    </row>
    <row r="373" spans="1:5" ht="14.6" x14ac:dyDescent="0.4">
      <c r="A373" s="7" t="s">
        <v>608</v>
      </c>
      <c r="B373" s="4" t="s">
        <v>5</v>
      </c>
      <c r="C373" s="4" t="s">
        <v>65</v>
      </c>
      <c r="D373" s="8" t="s">
        <v>1520</v>
      </c>
      <c r="E373" s="8" t="s">
        <v>1528</v>
      </c>
    </row>
    <row r="374" spans="1:5" ht="14.6" x14ac:dyDescent="0.4">
      <c r="A374" s="7" t="s">
        <v>609</v>
      </c>
      <c r="B374" s="4" t="s">
        <v>17</v>
      </c>
      <c r="C374" s="4" t="s">
        <v>24</v>
      </c>
      <c r="D374" s="8" t="s">
        <v>1520</v>
      </c>
      <c r="E374" s="8" t="s">
        <v>1528</v>
      </c>
    </row>
    <row r="375" spans="1:5" ht="14.6" x14ac:dyDescent="0.4">
      <c r="A375" s="7" t="s">
        <v>610</v>
      </c>
      <c r="B375" s="4" t="s">
        <v>389</v>
      </c>
      <c r="C375" s="4" t="s">
        <v>15</v>
      </c>
      <c r="D375" s="8" t="s">
        <v>1520</v>
      </c>
      <c r="E375" s="8" t="s">
        <v>1528</v>
      </c>
    </row>
    <row r="376" spans="1:5" ht="14.6" x14ac:dyDescent="0.4">
      <c r="A376" s="7" t="s">
        <v>611</v>
      </c>
      <c r="B376" s="4" t="s">
        <v>612</v>
      </c>
      <c r="C376" s="4" t="s">
        <v>21</v>
      </c>
      <c r="D376" s="8" t="s">
        <v>1520</v>
      </c>
      <c r="E376" s="8" t="s">
        <v>1528</v>
      </c>
    </row>
    <row r="377" spans="1:5" ht="14.6" x14ac:dyDescent="0.4">
      <c r="A377" s="7" t="s">
        <v>613</v>
      </c>
      <c r="B377" s="4" t="s">
        <v>70</v>
      </c>
      <c r="C377" s="4" t="s">
        <v>52</v>
      </c>
      <c r="D377" s="8" t="s">
        <v>1520</v>
      </c>
      <c r="E377" s="8" t="s">
        <v>1528</v>
      </c>
    </row>
    <row r="378" spans="1:5" ht="14.6" x14ac:dyDescent="0.4">
      <c r="A378" s="7" t="s">
        <v>614</v>
      </c>
      <c r="B378" s="4" t="s">
        <v>498</v>
      </c>
      <c r="C378" s="4" t="s">
        <v>52</v>
      </c>
      <c r="D378" s="8" t="s">
        <v>1520</v>
      </c>
      <c r="E378" s="8" t="s">
        <v>1528</v>
      </c>
    </row>
    <row r="379" spans="1:5" ht="14.6" x14ac:dyDescent="0.4">
      <c r="A379" s="7" t="s">
        <v>615</v>
      </c>
      <c r="B379" s="4" t="s">
        <v>296</v>
      </c>
      <c r="C379" s="4" t="s">
        <v>12</v>
      </c>
      <c r="D379" s="8" t="s">
        <v>1520</v>
      </c>
      <c r="E379" s="8" t="s">
        <v>1528</v>
      </c>
    </row>
    <row r="380" spans="1:5" ht="14.6" x14ac:dyDescent="0.4">
      <c r="A380" s="7" t="s">
        <v>616</v>
      </c>
      <c r="B380" s="4" t="s">
        <v>617</v>
      </c>
      <c r="C380" s="4" t="s">
        <v>65</v>
      </c>
      <c r="D380" s="8" t="s">
        <v>1522</v>
      </c>
      <c r="E380" s="8" t="s">
        <v>1529</v>
      </c>
    </row>
    <row r="381" spans="1:5" ht="14.6" x14ac:dyDescent="0.4">
      <c r="A381" s="7" t="s">
        <v>618</v>
      </c>
      <c r="B381" s="4" t="s">
        <v>612</v>
      </c>
      <c r="C381" s="4" t="s">
        <v>55</v>
      </c>
      <c r="D381" s="8" t="s">
        <v>1522</v>
      </c>
      <c r="E381" s="8" t="s">
        <v>1529</v>
      </c>
    </row>
    <row r="382" spans="1:5" ht="14.6" x14ac:dyDescent="0.4">
      <c r="A382" s="7" t="s">
        <v>619</v>
      </c>
      <c r="B382" s="4" t="s">
        <v>620</v>
      </c>
      <c r="C382" s="4" t="s">
        <v>52</v>
      </c>
      <c r="D382" s="8" t="s">
        <v>1520</v>
      </c>
      <c r="E382" s="8" t="s">
        <v>1528</v>
      </c>
    </row>
    <row r="383" spans="1:5" ht="14.6" x14ac:dyDescent="0.4">
      <c r="A383" s="7" t="s">
        <v>621</v>
      </c>
      <c r="B383" s="4" t="s">
        <v>444</v>
      </c>
      <c r="C383" s="4" t="s">
        <v>24</v>
      </c>
      <c r="D383" s="8" t="s">
        <v>1522</v>
      </c>
      <c r="E383" s="8" t="s">
        <v>1527</v>
      </c>
    </row>
    <row r="384" spans="1:5" ht="14.6" x14ac:dyDescent="0.4">
      <c r="A384" s="7" t="s">
        <v>622</v>
      </c>
      <c r="B384" s="4" t="s">
        <v>124</v>
      </c>
      <c r="C384" s="4" t="s">
        <v>34</v>
      </c>
      <c r="D384" s="8" t="s">
        <v>1522</v>
      </c>
      <c r="E384" s="8" t="s">
        <v>1527</v>
      </c>
    </row>
    <row r="385" spans="1:5" ht="14.6" x14ac:dyDescent="0.4">
      <c r="A385" s="7" t="s">
        <v>623</v>
      </c>
      <c r="B385" s="4" t="s">
        <v>460</v>
      </c>
      <c r="C385" s="4" t="s">
        <v>34</v>
      </c>
      <c r="D385" s="8" t="s">
        <v>1522</v>
      </c>
      <c r="E385" s="8" t="s">
        <v>1527</v>
      </c>
    </row>
    <row r="386" spans="1:5" ht="14.6" x14ac:dyDescent="0.4">
      <c r="A386" s="7" t="s">
        <v>624</v>
      </c>
      <c r="B386" s="4" t="s">
        <v>383</v>
      </c>
      <c r="C386" s="4" t="s">
        <v>24</v>
      </c>
      <c r="D386" s="8" t="s">
        <v>1522</v>
      </c>
      <c r="E386" s="8" t="s">
        <v>1527</v>
      </c>
    </row>
    <row r="387" spans="1:5" ht="14.6" x14ac:dyDescent="0.4">
      <c r="A387" s="7" t="s">
        <v>625</v>
      </c>
      <c r="B387" s="4" t="s">
        <v>139</v>
      </c>
      <c r="C387" s="4" t="s">
        <v>58</v>
      </c>
      <c r="D387" s="8" t="s">
        <v>1522</v>
      </c>
      <c r="E387" s="8" t="s">
        <v>1530</v>
      </c>
    </row>
    <row r="388" spans="1:5" ht="14.6" x14ac:dyDescent="0.4">
      <c r="A388" s="7" t="s">
        <v>626</v>
      </c>
      <c r="B388" s="4" t="s">
        <v>617</v>
      </c>
      <c r="C388" s="4" t="s">
        <v>52</v>
      </c>
      <c r="D388" s="8" t="s">
        <v>1520</v>
      </c>
      <c r="E388" s="8" t="s">
        <v>1528</v>
      </c>
    </row>
    <row r="389" spans="1:5" ht="14.6" x14ac:dyDescent="0.4">
      <c r="A389" s="7" t="s">
        <v>627</v>
      </c>
      <c r="B389" s="4" t="s">
        <v>26</v>
      </c>
      <c r="C389" s="4" t="s">
        <v>29</v>
      </c>
      <c r="D389" s="8" t="s">
        <v>1520</v>
      </c>
      <c r="E389" s="8" t="s">
        <v>1528</v>
      </c>
    </row>
    <row r="390" spans="1:5" ht="14.6" x14ac:dyDescent="0.4">
      <c r="A390" s="7" t="s">
        <v>628</v>
      </c>
      <c r="B390" s="4" t="s">
        <v>240</v>
      </c>
      <c r="C390" s="4" t="s">
        <v>18</v>
      </c>
      <c r="D390" s="8" t="s">
        <v>1520</v>
      </c>
      <c r="E390" s="8" t="s">
        <v>1528</v>
      </c>
    </row>
    <row r="391" spans="1:5" ht="14.6" x14ac:dyDescent="0.4">
      <c r="A391" s="7" t="s">
        <v>629</v>
      </c>
      <c r="B391" s="4" t="s">
        <v>257</v>
      </c>
      <c r="C391" s="4" t="s">
        <v>18</v>
      </c>
      <c r="D391" s="8" t="s">
        <v>1520</v>
      </c>
      <c r="E391" s="8" t="s">
        <v>1528</v>
      </c>
    </row>
    <row r="392" spans="1:5" ht="14.6" x14ac:dyDescent="0.4">
      <c r="A392" s="7" t="s">
        <v>630</v>
      </c>
      <c r="B392" s="4" t="s">
        <v>631</v>
      </c>
      <c r="C392" s="4" t="s">
        <v>68</v>
      </c>
      <c r="D392" s="8" t="s">
        <v>1520</v>
      </c>
      <c r="E392" s="8" t="s">
        <v>1528</v>
      </c>
    </row>
    <row r="393" spans="1:5" ht="14.6" x14ac:dyDescent="0.4">
      <c r="A393" s="7" t="s">
        <v>632</v>
      </c>
      <c r="B393" s="4" t="s">
        <v>28</v>
      </c>
      <c r="C393" s="4" t="s">
        <v>34</v>
      </c>
      <c r="D393" s="8" t="s">
        <v>1520</v>
      </c>
      <c r="E393" s="8" t="s">
        <v>1528</v>
      </c>
    </row>
    <row r="394" spans="1:5" ht="14.6" x14ac:dyDescent="0.4">
      <c r="A394" s="7" t="s">
        <v>633</v>
      </c>
      <c r="B394" s="4" t="s">
        <v>634</v>
      </c>
      <c r="C394" s="4" t="s">
        <v>21</v>
      </c>
      <c r="D394" s="8" t="s">
        <v>1520</v>
      </c>
      <c r="E394" s="8" t="s">
        <v>1528</v>
      </c>
    </row>
    <row r="395" spans="1:5" ht="14.6" x14ac:dyDescent="0.4">
      <c r="A395" s="7" t="s">
        <v>635</v>
      </c>
      <c r="B395" s="4" t="s">
        <v>178</v>
      </c>
      <c r="C395" s="4" t="s">
        <v>15</v>
      </c>
      <c r="D395" s="8" t="s">
        <v>1522</v>
      </c>
      <c r="E395" s="8" t="s">
        <v>1527</v>
      </c>
    </row>
    <row r="396" spans="1:5" ht="14.6" x14ac:dyDescent="0.4">
      <c r="A396" s="7" t="s">
        <v>636</v>
      </c>
      <c r="B396" s="4" t="s">
        <v>637</v>
      </c>
      <c r="C396" s="4" t="s">
        <v>47</v>
      </c>
      <c r="D396" s="8" t="s">
        <v>1520</v>
      </c>
      <c r="E396" s="8" t="s">
        <v>1528</v>
      </c>
    </row>
    <row r="397" spans="1:5" ht="14.6" x14ac:dyDescent="0.4">
      <c r="A397" s="7" t="s">
        <v>638</v>
      </c>
      <c r="B397" s="4" t="s">
        <v>60</v>
      </c>
      <c r="C397" s="4" t="s">
        <v>52</v>
      </c>
      <c r="D397" s="8" t="s">
        <v>1522</v>
      </c>
      <c r="E397" s="8" t="s">
        <v>1527</v>
      </c>
    </row>
    <row r="398" spans="1:5" ht="14.6" x14ac:dyDescent="0.4">
      <c r="A398" s="7" t="s">
        <v>639</v>
      </c>
      <c r="B398" s="4" t="s">
        <v>280</v>
      </c>
      <c r="C398" s="4" t="s">
        <v>18</v>
      </c>
      <c r="D398" s="8" t="s">
        <v>1522</v>
      </c>
      <c r="E398" s="8" t="s">
        <v>1527</v>
      </c>
    </row>
    <row r="399" spans="1:5" ht="14.6" x14ac:dyDescent="0.4">
      <c r="A399" s="7" t="s">
        <v>640</v>
      </c>
      <c r="B399" s="4" t="s">
        <v>641</v>
      </c>
      <c r="C399" s="4" t="s">
        <v>52</v>
      </c>
      <c r="D399" s="8" t="s">
        <v>1520</v>
      </c>
      <c r="E399" s="8" t="s">
        <v>1528</v>
      </c>
    </row>
    <row r="400" spans="1:5" ht="14.6" x14ac:dyDescent="0.4">
      <c r="A400" s="7" t="s">
        <v>642</v>
      </c>
      <c r="B400" s="4" t="s">
        <v>643</v>
      </c>
      <c r="C400" s="4" t="s">
        <v>18</v>
      </c>
      <c r="D400" s="8" t="s">
        <v>1520</v>
      </c>
      <c r="E400" s="8" t="s">
        <v>1528</v>
      </c>
    </row>
    <row r="401" spans="1:5" ht="14.6" x14ac:dyDescent="0.4">
      <c r="A401" s="7" t="s">
        <v>644</v>
      </c>
      <c r="B401" s="4" t="s">
        <v>645</v>
      </c>
      <c r="C401" s="4" t="s">
        <v>65</v>
      </c>
      <c r="D401" s="8" t="s">
        <v>1522</v>
      </c>
      <c r="E401" s="8" t="s">
        <v>1523</v>
      </c>
    </row>
    <row r="402" spans="1:5" ht="14.6" x14ac:dyDescent="0.4">
      <c r="A402" s="7" t="s">
        <v>646</v>
      </c>
      <c r="B402" s="4" t="s">
        <v>647</v>
      </c>
      <c r="C402" s="4" t="s">
        <v>52</v>
      </c>
      <c r="D402" s="8" t="s">
        <v>1520</v>
      </c>
      <c r="E402" s="8" t="s">
        <v>1528</v>
      </c>
    </row>
    <row r="403" spans="1:5" ht="14.6" x14ac:dyDescent="0.4">
      <c r="A403" s="7" t="s">
        <v>648</v>
      </c>
      <c r="B403" s="4" t="s">
        <v>649</v>
      </c>
      <c r="C403" s="4" t="s">
        <v>15</v>
      </c>
      <c r="D403" s="8" t="s">
        <v>1522</v>
      </c>
      <c r="E403" s="8" t="s">
        <v>1523</v>
      </c>
    </row>
    <row r="404" spans="1:5" ht="14.6" x14ac:dyDescent="0.4">
      <c r="A404" s="7" t="s">
        <v>650</v>
      </c>
      <c r="B404" s="4" t="s">
        <v>57</v>
      </c>
      <c r="C404" s="4" t="s">
        <v>47</v>
      </c>
      <c r="D404" s="8" t="s">
        <v>1522</v>
      </c>
      <c r="E404" s="8" t="s">
        <v>1527</v>
      </c>
    </row>
    <row r="405" spans="1:5" ht="14.6" x14ac:dyDescent="0.4">
      <c r="A405" s="7" t="s">
        <v>651</v>
      </c>
      <c r="B405" s="4" t="s">
        <v>395</v>
      </c>
      <c r="C405" s="4" t="s">
        <v>55</v>
      </c>
      <c r="D405" s="8" t="s">
        <v>1520</v>
      </c>
      <c r="E405" s="8" t="s">
        <v>1528</v>
      </c>
    </row>
    <row r="406" spans="1:5" ht="14.6" x14ac:dyDescent="0.4">
      <c r="A406" s="7" t="s">
        <v>652</v>
      </c>
      <c r="B406" s="4" t="s">
        <v>60</v>
      </c>
      <c r="C406" s="4" t="s">
        <v>68</v>
      </c>
      <c r="D406" s="8" t="s">
        <v>1522</v>
      </c>
      <c r="E406" s="8" t="s">
        <v>1523</v>
      </c>
    </row>
    <row r="407" spans="1:5" ht="14.6" x14ac:dyDescent="0.4">
      <c r="A407" s="7" t="s">
        <v>653</v>
      </c>
      <c r="B407" s="4" t="s">
        <v>221</v>
      </c>
      <c r="C407" s="4" t="s">
        <v>68</v>
      </c>
      <c r="D407" s="8" t="s">
        <v>1520</v>
      </c>
      <c r="E407" s="8" t="s">
        <v>1528</v>
      </c>
    </row>
    <row r="408" spans="1:5" ht="14.6" x14ac:dyDescent="0.4">
      <c r="A408" s="7" t="s">
        <v>654</v>
      </c>
      <c r="B408" s="4" t="s">
        <v>98</v>
      </c>
      <c r="C408" s="4" t="s">
        <v>6</v>
      </c>
      <c r="D408" s="8" t="s">
        <v>1522</v>
      </c>
      <c r="E408" s="8" t="s">
        <v>1523</v>
      </c>
    </row>
    <row r="409" spans="1:5" ht="14.6" x14ac:dyDescent="0.4">
      <c r="A409" s="7" t="s">
        <v>655</v>
      </c>
      <c r="B409" s="4" t="s">
        <v>511</v>
      </c>
      <c r="C409" s="4" t="s">
        <v>6</v>
      </c>
      <c r="D409" s="8" t="s">
        <v>1522</v>
      </c>
      <c r="E409" s="8" t="s">
        <v>1527</v>
      </c>
    </row>
    <row r="410" spans="1:5" ht="14.6" x14ac:dyDescent="0.4">
      <c r="A410" s="7" t="s">
        <v>656</v>
      </c>
      <c r="B410" s="4" t="s">
        <v>5</v>
      </c>
      <c r="C410" s="4" t="s">
        <v>55</v>
      </c>
      <c r="D410" s="8" t="s">
        <v>1520</v>
      </c>
      <c r="E410" s="8" t="s">
        <v>1528</v>
      </c>
    </row>
    <row r="411" spans="1:5" ht="14.6" x14ac:dyDescent="0.4">
      <c r="A411" s="7" t="s">
        <v>657</v>
      </c>
      <c r="B411" s="4" t="s">
        <v>658</v>
      </c>
      <c r="C411" s="4" t="s">
        <v>21</v>
      </c>
      <c r="D411" s="8" t="s">
        <v>1520</v>
      </c>
      <c r="E411" s="8" t="s">
        <v>1528</v>
      </c>
    </row>
    <row r="412" spans="1:5" ht="14.6" x14ac:dyDescent="0.4">
      <c r="A412" s="7" t="s">
        <v>659</v>
      </c>
      <c r="B412" s="4" t="s">
        <v>406</v>
      </c>
      <c r="C412" s="4" t="s">
        <v>29</v>
      </c>
      <c r="D412" s="8" t="s">
        <v>1522</v>
      </c>
      <c r="E412" s="8" t="s">
        <v>1525</v>
      </c>
    </row>
    <row r="413" spans="1:5" ht="14.6" x14ac:dyDescent="0.4">
      <c r="A413" s="7" t="s">
        <v>660</v>
      </c>
      <c r="B413" s="4" t="s">
        <v>661</v>
      </c>
      <c r="C413" s="4" t="s">
        <v>15</v>
      </c>
      <c r="D413" s="8" t="s">
        <v>1522</v>
      </c>
      <c r="E413" s="8" t="s">
        <v>1525</v>
      </c>
    </row>
    <row r="414" spans="1:5" ht="14.6" x14ac:dyDescent="0.4">
      <c r="A414" s="7" t="s">
        <v>662</v>
      </c>
      <c r="B414" s="4" t="s">
        <v>663</v>
      </c>
      <c r="C414" s="4" t="s">
        <v>52</v>
      </c>
      <c r="D414" s="8" t="s">
        <v>1520</v>
      </c>
      <c r="E414" s="8" t="s">
        <v>1528</v>
      </c>
    </row>
    <row r="415" spans="1:5" ht="14.6" x14ac:dyDescent="0.4">
      <c r="A415" s="7" t="s">
        <v>664</v>
      </c>
      <c r="B415" s="4" t="s">
        <v>112</v>
      </c>
      <c r="C415" s="4" t="s">
        <v>18</v>
      </c>
      <c r="D415" s="8" t="s">
        <v>1522</v>
      </c>
      <c r="E415" s="8" t="s">
        <v>1527</v>
      </c>
    </row>
    <row r="416" spans="1:5" ht="14.6" x14ac:dyDescent="0.4">
      <c r="A416" s="7" t="s">
        <v>665</v>
      </c>
      <c r="B416" s="4" t="s">
        <v>84</v>
      </c>
      <c r="C416" s="4" t="s">
        <v>9</v>
      </c>
      <c r="D416" s="8" t="s">
        <v>1520</v>
      </c>
      <c r="E416" s="8" t="s">
        <v>1528</v>
      </c>
    </row>
    <row r="417" spans="1:5" ht="14.6" x14ac:dyDescent="0.4">
      <c r="A417" s="7" t="s">
        <v>666</v>
      </c>
      <c r="B417" s="4" t="s">
        <v>667</v>
      </c>
      <c r="C417" s="4" t="s">
        <v>47</v>
      </c>
      <c r="D417" s="8" t="s">
        <v>1522</v>
      </c>
      <c r="E417" s="8" t="s">
        <v>1527</v>
      </c>
    </row>
    <row r="418" spans="1:5" ht="14.6" x14ac:dyDescent="0.4">
      <c r="A418" s="7" t="s">
        <v>668</v>
      </c>
      <c r="B418" s="4" t="s">
        <v>42</v>
      </c>
      <c r="C418" s="4" t="s">
        <v>58</v>
      </c>
      <c r="D418" s="8" t="s">
        <v>1520</v>
      </c>
      <c r="E418" s="8" t="s">
        <v>1528</v>
      </c>
    </row>
    <row r="419" spans="1:5" ht="14.6" x14ac:dyDescent="0.4">
      <c r="A419" s="7" t="s">
        <v>669</v>
      </c>
      <c r="B419" s="4" t="s">
        <v>272</v>
      </c>
      <c r="C419" s="4" t="s">
        <v>6</v>
      </c>
      <c r="D419" s="8" t="s">
        <v>1522</v>
      </c>
      <c r="E419" s="8" t="s">
        <v>1525</v>
      </c>
    </row>
    <row r="420" spans="1:5" ht="14.6" x14ac:dyDescent="0.4">
      <c r="A420" s="7" t="s">
        <v>670</v>
      </c>
      <c r="B420" s="4" t="s">
        <v>671</v>
      </c>
      <c r="C420" s="4" t="s">
        <v>15</v>
      </c>
      <c r="D420" s="8" t="s">
        <v>1522</v>
      </c>
      <c r="E420" s="8" t="s">
        <v>1523</v>
      </c>
    </row>
    <row r="421" spans="1:5" ht="14.6" x14ac:dyDescent="0.4">
      <c r="A421" s="7" t="s">
        <v>672</v>
      </c>
      <c r="B421" s="4" t="s">
        <v>149</v>
      </c>
      <c r="C421" s="4" t="s">
        <v>58</v>
      </c>
      <c r="D421" s="8" t="s">
        <v>1522</v>
      </c>
      <c r="E421" s="8" t="s">
        <v>1527</v>
      </c>
    </row>
    <row r="422" spans="1:5" ht="14.6" x14ac:dyDescent="0.4">
      <c r="A422" s="7" t="s">
        <v>673</v>
      </c>
      <c r="B422" s="4" t="s">
        <v>259</v>
      </c>
      <c r="C422" s="4" t="s">
        <v>29</v>
      </c>
      <c r="D422" s="8" t="s">
        <v>1522</v>
      </c>
      <c r="E422" s="8" t="s">
        <v>1525</v>
      </c>
    </row>
    <row r="423" spans="1:5" ht="14.6" x14ac:dyDescent="0.4">
      <c r="A423" s="7" t="s">
        <v>674</v>
      </c>
      <c r="B423" s="4" t="s">
        <v>675</v>
      </c>
      <c r="C423" s="4" t="s">
        <v>12</v>
      </c>
      <c r="D423" s="8" t="s">
        <v>1522</v>
      </c>
      <c r="E423" s="8" t="s">
        <v>1527</v>
      </c>
    </row>
    <row r="424" spans="1:5" ht="14.6" x14ac:dyDescent="0.4">
      <c r="A424" s="7" t="s">
        <v>676</v>
      </c>
      <c r="B424" s="4" t="s">
        <v>98</v>
      </c>
      <c r="C424" s="4" t="s">
        <v>18</v>
      </c>
      <c r="D424" s="8" t="s">
        <v>1520</v>
      </c>
      <c r="E424" s="8" t="s">
        <v>1528</v>
      </c>
    </row>
    <row r="425" spans="1:5" ht="14.6" x14ac:dyDescent="0.4">
      <c r="A425" s="7" t="s">
        <v>677</v>
      </c>
      <c r="B425" s="4" t="s">
        <v>562</v>
      </c>
      <c r="C425" s="4" t="s">
        <v>34</v>
      </c>
      <c r="D425" s="8" t="s">
        <v>1522</v>
      </c>
      <c r="E425" s="8" t="s">
        <v>1523</v>
      </c>
    </row>
    <row r="426" spans="1:5" ht="14.6" x14ac:dyDescent="0.4">
      <c r="A426" s="7" t="s">
        <v>678</v>
      </c>
      <c r="B426" s="4" t="s">
        <v>679</v>
      </c>
      <c r="C426" s="4" t="s">
        <v>18</v>
      </c>
      <c r="D426" s="8" t="s">
        <v>1520</v>
      </c>
      <c r="E426" s="8" t="s">
        <v>1528</v>
      </c>
    </row>
    <row r="427" spans="1:5" ht="14.6" x14ac:dyDescent="0.4">
      <c r="A427" s="7" t="s">
        <v>680</v>
      </c>
      <c r="B427" s="4" t="s">
        <v>586</v>
      </c>
      <c r="C427" s="4" t="s">
        <v>58</v>
      </c>
      <c r="D427" s="8" t="s">
        <v>1522</v>
      </c>
      <c r="E427" s="8" t="s">
        <v>1527</v>
      </c>
    </row>
    <row r="428" spans="1:5" ht="14.6" x14ac:dyDescent="0.4">
      <c r="A428" s="7" t="s">
        <v>681</v>
      </c>
      <c r="B428" s="4" t="s">
        <v>682</v>
      </c>
      <c r="C428" s="4" t="s">
        <v>58</v>
      </c>
      <c r="D428" s="8" t="s">
        <v>1520</v>
      </c>
      <c r="E428" s="8" t="s">
        <v>1528</v>
      </c>
    </row>
    <row r="429" spans="1:5" ht="14.6" x14ac:dyDescent="0.4">
      <c r="A429" s="7" t="s">
        <v>683</v>
      </c>
      <c r="B429" s="4" t="s">
        <v>684</v>
      </c>
      <c r="C429" s="4" t="s">
        <v>52</v>
      </c>
      <c r="D429" s="8" t="s">
        <v>1520</v>
      </c>
      <c r="E429" s="8" t="s">
        <v>1528</v>
      </c>
    </row>
    <row r="430" spans="1:5" ht="14.6" x14ac:dyDescent="0.4">
      <c r="A430" s="7" t="s">
        <v>685</v>
      </c>
      <c r="B430" s="4" t="s">
        <v>250</v>
      </c>
      <c r="C430" s="4" t="s">
        <v>21</v>
      </c>
      <c r="D430" s="8" t="s">
        <v>1522</v>
      </c>
      <c r="E430" s="8" t="s">
        <v>1525</v>
      </c>
    </row>
    <row r="431" spans="1:5" ht="14.6" x14ac:dyDescent="0.4">
      <c r="A431" s="7" t="s">
        <v>686</v>
      </c>
      <c r="B431" s="4" t="s">
        <v>426</v>
      </c>
      <c r="C431" s="4" t="s">
        <v>65</v>
      </c>
      <c r="D431" s="8" t="s">
        <v>1522</v>
      </c>
      <c r="E431" s="8" t="s">
        <v>1527</v>
      </c>
    </row>
    <row r="432" spans="1:5" ht="14.6" x14ac:dyDescent="0.4">
      <c r="A432" s="7" t="s">
        <v>687</v>
      </c>
      <c r="B432" s="4" t="s">
        <v>169</v>
      </c>
      <c r="C432" s="4" t="s">
        <v>55</v>
      </c>
      <c r="D432" s="8" t="s">
        <v>1522</v>
      </c>
      <c r="E432" s="8" t="s">
        <v>1527</v>
      </c>
    </row>
    <row r="433" spans="1:5" ht="14.6" x14ac:dyDescent="0.4">
      <c r="A433" s="7" t="s">
        <v>688</v>
      </c>
      <c r="B433" s="4" t="s">
        <v>617</v>
      </c>
      <c r="C433" s="4" t="s">
        <v>29</v>
      </c>
      <c r="D433" s="8" t="s">
        <v>1520</v>
      </c>
      <c r="E433" s="8" t="s">
        <v>1528</v>
      </c>
    </row>
    <row r="434" spans="1:5" ht="14.6" x14ac:dyDescent="0.4">
      <c r="A434" s="7" t="s">
        <v>689</v>
      </c>
      <c r="B434" s="4" t="s">
        <v>690</v>
      </c>
      <c r="C434" s="4" t="s">
        <v>34</v>
      </c>
      <c r="D434" s="8" t="s">
        <v>1520</v>
      </c>
      <c r="E434" s="8" t="s">
        <v>1528</v>
      </c>
    </row>
    <row r="435" spans="1:5" ht="14.6" x14ac:dyDescent="0.4">
      <c r="A435" s="7" t="s">
        <v>691</v>
      </c>
      <c r="B435" s="4" t="s">
        <v>603</v>
      </c>
      <c r="C435" s="4" t="s">
        <v>55</v>
      </c>
      <c r="D435" s="8" t="s">
        <v>1522</v>
      </c>
      <c r="E435" s="8" t="s">
        <v>1523</v>
      </c>
    </row>
    <row r="436" spans="1:5" ht="14.6" x14ac:dyDescent="0.4">
      <c r="A436" s="7" t="s">
        <v>692</v>
      </c>
      <c r="B436" s="4" t="s">
        <v>78</v>
      </c>
      <c r="C436" s="4" t="s">
        <v>34</v>
      </c>
      <c r="D436" s="8" t="s">
        <v>1522</v>
      </c>
      <c r="E436" s="8" t="s">
        <v>1532</v>
      </c>
    </row>
    <row r="437" spans="1:5" ht="14.6" x14ac:dyDescent="0.4">
      <c r="A437" s="7" t="s">
        <v>693</v>
      </c>
      <c r="B437" s="4" t="s">
        <v>694</v>
      </c>
      <c r="C437" s="4" t="s">
        <v>68</v>
      </c>
      <c r="D437" s="8" t="s">
        <v>1520</v>
      </c>
      <c r="E437" s="8" t="s">
        <v>1528</v>
      </c>
    </row>
    <row r="438" spans="1:5" ht="14.6" x14ac:dyDescent="0.4">
      <c r="A438" s="7" t="s">
        <v>695</v>
      </c>
      <c r="B438" s="4" t="s">
        <v>291</v>
      </c>
      <c r="C438" s="4" t="s">
        <v>6</v>
      </c>
      <c r="D438" s="8" t="s">
        <v>1520</v>
      </c>
      <c r="E438" s="8" t="s">
        <v>1528</v>
      </c>
    </row>
    <row r="439" spans="1:5" ht="14.6" x14ac:dyDescent="0.4">
      <c r="A439" s="7" t="s">
        <v>696</v>
      </c>
      <c r="B439" s="4" t="s">
        <v>324</v>
      </c>
      <c r="C439" s="4" t="s">
        <v>6</v>
      </c>
      <c r="D439" s="8" t="s">
        <v>1522</v>
      </c>
      <c r="E439" s="8" t="s">
        <v>1527</v>
      </c>
    </row>
    <row r="440" spans="1:5" ht="14.6" x14ac:dyDescent="0.4">
      <c r="A440" s="7" t="s">
        <v>697</v>
      </c>
      <c r="B440" s="4" t="s">
        <v>219</v>
      </c>
      <c r="C440" s="4" t="s">
        <v>65</v>
      </c>
      <c r="D440" s="8" t="s">
        <v>1522</v>
      </c>
      <c r="E440" s="8" t="s">
        <v>1523</v>
      </c>
    </row>
    <row r="441" spans="1:5" ht="14.6" x14ac:dyDescent="0.4">
      <c r="A441" s="7" t="s">
        <v>698</v>
      </c>
      <c r="B441" s="4" t="s">
        <v>699</v>
      </c>
      <c r="C441" s="4" t="s">
        <v>68</v>
      </c>
      <c r="D441" s="8" t="s">
        <v>1522</v>
      </c>
      <c r="E441" s="8" t="s">
        <v>1525</v>
      </c>
    </row>
    <row r="442" spans="1:5" ht="14.6" x14ac:dyDescent="0.4">
      <c r="A442" s="7" t="s">
        <v>700</v>
      </c>
      <c r="B442" s="4" t="s">
        <v>701</v>
      </c>
      <c r="C442" s="4" t="s">
        <v>18</v>
      </c>
      <c r="D442" s="8" t="s">
        <v>1522</v>
      </c>
      <c r="E442" s="8" t="s">
        <v>1527</v>
      </c>
    </row>
    <row r="443" spans="1:5" ht="14.6" x14ac:dyDescent="0.4">
      <c r="A443" s="7" t="s">
        <v>702</v>
      </c>
      <c r="B443" s="4" t="s">
        <v>467</v>
      </c>
      <c r="C443" s="4" t="s">
        <v>58</v>
      </c>
      <c r="D443" s="8" t="s">
        <v>1522</v>
      </c>
      <c r="E443" s="8" t="s">
        <v>1526</v>
      </c>
    </row>
    <row r="444" spans="1:5" ht="14.6" x14ac:dyDescent="0.4">
      <c r="A444" s="7" t="s">
        <v>703</v>
      </c>
      <c r="B444" s="4" t="s">
        <v>479</v>
      </c>
      <c r="C444" s="4" t="s">
        <v>68</v>
      </c>
      <c r="D444" s="8" t="s">
        <v>1522</v>
      </c>
      <c r="E444" s="8" t="s">
        <v>1523</v>
      </c>
    </row>
    <row r="445" spans="1:5" ht="14.6" x14ac:dyDescent="0.4">
      <c r="A445" s="7" t="s">
        <v>704</v>
      </c>
      <c r="B445" s="4" t="s">
        <v>90</v>
      </c>
      <c r="C445" s="4" t="s">
        <v>65</v>
      </c>
      <c r="D445" s="8" t="s">
        <v>1520</v>
      </c>
      <c r="E445" s="8" t="s">
        <v>1528</v>
      </c>
    </row>
    <row r="446" spans="1:5" ht="14.6" x14ac:dyDescent="0.4">
      <c r="A446" s="7" t="s">
        <v>705</v>
      </c>
      <c r="B446" s="4" t="s">
        <v>219</v>
      </c>
      <c r="C446" s="4" t="s">
        <v>12</v>
      </c>
      <c r="D446" s="8" t="s">
        <v>1520</v>
      </c>
      <c r="E446" s="8" t="s">
        <v>1528</v>
      </c>
    </row>
    <row r="447" spans="1:5" ht="14.6" x14ac:dyDescent="0.4">
      <c r="A447" s="7" t="s">
        <v>706</v>
      </c>
      <c r="B447" s="4" t="s">
        <v>707</v>
      </c>
      <c r="C447" s="4" t="s">
        <v>24</v>
      </c>
      <c r="D447" s="8" t="s">
        <v>1520</v>
      </c>
      <c r="E447" s="8" t="s">
        <v>1528</v>
      </c>
    </row>
    <row r="448" spans="1:5" ht="14.6" x14ac:dyDescent="0.4">
      <c r="A448" s="7" t="s">
        <v>708</v>
      </c>
      <c r="B448" s="4" t="s">
        <v>26</v>
      </c>
      <c r="C448" s="4" t="s">
        <v>34</v>
      </c>
      <c r="D448" s="8" t="s">
        <v>1522</v>
      </c>
      <c r="E448" s="8" t="s">
        <v>1523</v>
      </c>
    </row>
    <row r="449" spans="1:5" ht="14.6" x14ac:dyDescent="0.4">
      <c r="A449" s="7" t="s">
        <v>709</v>
      </c>
      <c r="B449" s="4" t="s">
        <v>684</v>
      </c>
      <c r="C449" s="4" t="s">
        <v>12</v>
      </c>
      <c r="D449" s="8" t="s">
        <v>1522</v>
      </c>
      <c r="E449" s="8" t="s">
        <v>1523</v>
      </c>
    </row>
    <row r="450" spans="1:5" ht="14.6" x14ac:dyDescent="0.4">
      <c r="A450" s="7" t="s">
        <v>710</v>
      </c>
      <c r="B450" s="4" t="s">
        <v>284</v>
      </c>
      <c r="C450" s="4" t="s">
        <v>29</v>
      </c>
      <c r="D450" s="8" t="s">
        <v>1520</v>
      </c>
      <c r="E450" s="8" t="s">
        <v>1528</v>
      </c>
    </row>
    <row r="451" spans="1:5" ht="14.6" x14ac:dyDescent="0.4">
      <c r="A451" s="7" t="s">
        <v>711</v>
      </c>
      <c r="B451" s="4" t="s">
        <v>448</v>
      </c>
      <c r="C451" s="4" t="s">
        <v>47</v>
      </c>
      <c r="D451" s="8" t="s">
        <v>1520</v>
      </c>
      <c r="E451" s="8" t="s">
        <v>1528</v>
      </c>
    </row>
    <row r="452" spans="1:5" ht="14.6" x14ac:dyDescent="0.4">
      <c r="A452" s="7" t="s">
        <v>712</v>
      </c>
      <c r="B452" s="4" t="s">
        <v>363</v>
      </c>
      <c r="C452" s="4" t="s">
        <v>68</v>
      </c>
      <c r="D452" s="8" t="s">
        <v>1520</v>
      </c>
      <c r="E452" s="8" t="s">
        <v>1528</v>
      </c>
    </row>
    <row r="453" spans="1:5" ht="14.6" x14ac:dyDescent="0.4">
      <c r="A453" s="7" t="s">
        <v>713</v>
      </c>
      <c r="B453" s="4" t="s">
        <v>714</v>
      </c>
      <c r="C453" s="4" t="s">
        <v>47</v>
      </c>
      <c r="D453" s="8" t="s">
        <v>1522</v>
      </c>
      <c r="E453" s="8" t="s">
        <v>1527</v>
      </c>
    </row>
    <row r="454" spans="1:5" ht="14.6" x14ac:dyDescent="0.4">
      <c r="A454" s="7" t="s">
        <v>715</v>
      </c>
      <c r="B454" s="4" t="s">
        <v>522</v>
      </c>
      <c r="C454" s="4" t="s">
        <v>58</v>
      </c>
      <c r="D454" s="8" t="s">
        <v>1520</v>
      </c>
      <c r="E454" s="8" t="s">
        <v>1528</v>
      </c>
    </row>
    <row r="455" spans="1:5" ht="14.6" x14ac:dyDescent="0.4">
      <c r="A455" s="7" t="s">
        <v>716</v>
      </c>
      <c r="B455" s="4" t="s">
        <v>717</v>
      </c>
      <c r="C455" s="4" t="s">
        <v>29</v>
      </c>
      <c r="D455" s="8" t="s">
        <v>1520</v>
      </c>
      <c r="E455" s="8" t="s">
        <v>1528</v>
      </c>
    </row>
    <row r="456" spans="1:5" ht="14.6" x14ac:dyDescent="0.4">
      <c r="A456" s="7" t="s">
        <v>718</v>
      </c>
      <c r="B456" s="4" t="s">
        <v>213</v>
      </c>
      <c r="C456" s="4" t="s">
        <v>52</v>
      </c>
      <c r="D456" s="8" t="s">
        <v>1520</v>
      </c>
      <c r="E456" s="8" t="s">
        <v>1528</v>
      </c>
    </row>
    <row r="457" spans="1:5" ht="14.6" x14ac:dyDescent="0.4">
      <c r="A457" s="7" t="s">
        <v>719</v>
      </c>
      <c r="B457" s="4" t="s">
        <v>289</v>
      </c>
      <c r="C457" s="4" t="s">
        <v>68</v>
      </c>
      <c r="D457" s="8" t="s">
        <v>1520</v>
      </c>
      <c r="E457" s="8" t="s">
        <v>1528</v>
      </c>
    </row>
    <row r="458" spans="1:5" ht="14.6" x14ac:dyDescent="0.4">
      <c r="A458" s="7" t="s">
        <v>720</v>
      </c>
      <c r="B458" s="4" t="s">
        <v>128</v>
      </c>
      <c r="C458" s="4" t="s">
        <v>21</v>
      </c>
      <c r="D458" s="8" t="s">
        <v>1520</v>
      </c>
      <c r="E458" s="8" t="s">
        <v>1528</v>
      </c>
    </row>
    <row r="459" spans="1:5" ht="14.6" x14ac:dyDescent="0.4">
      <c r="A459" s="7" t="s">
        <v>721</v>
      </c>
      <c r="B459" s="4" t="s">
        <v>46</v>
      </c>
      <c r="C459" s="4" t="s">
        <v>65</v>
      </c>
      <c r="D459" s="8" t="s">
        <v>1520</v>
      </c>
      <c r="E459" s="8" t="s">
        <v>1528</v>
      </c>
    </row>
    <row r="460" spans="1:5" ht="14.6" x14ac:dyDescent="0.4">
      <c r="A460" s="7" t="s">
        <v>722</v>
      </c>
      <c r="B460" s="4" t="s">
        <v>191</v>
      </c>
      <c r="C460" s="4" t="s">
        <v>18</v>
      </c>
      <c r="D460" s="8" t="s">
        <v>1520</v>
      </c>
      <c r="E460" s="8" t="s">
        <v>1528</v>
      </c>
    </row>
    <row r="461" spans="1:5" ht="14.6" x14ac:dyDescent="0.4">
      <c r="A461" s="7" t="s">
        <v>723</v>
      </c>
      <c r="B461" s="4" t="s">
        <v>724</v>
      </c>
      <c r="C461" s="4" t="s">
        <v>15</v>
      </c>
      <c r="D461" s="8" t="s">
        <v>1520</v>
      </c>
      <c r="E461" s="8" t="s">
        <v>1528</v>
      </c>
    </row>
    <row r="462" spans="1:5" ht="14.6" x14ac:dyDescent="0.4">
      <c r="A462" s="7" t="s">
        <v>725</v>
      </c>
      <c r="B462" s="4" t="s">
        <v>671</v>
      </c>
      <c r="C462" s="4" t="s">
        <v>65</v>
      </c>
      <c r="D462" s="8" t="s">
        <v>1520</v>
      </c>
      <c r="E462" s="8" t="s">
        <v>1528</v>
      </c>
    </row>
    <row r="463" spans="1:5" ht="14.6" x14ac:dyDescent="0.4">
      <c r="A463" s="7" t="s">
        <v>726</v>
      </c>
      <c r="B463" s="4" t="s">
        <v>727</v>
      </c>
      <c r="C463" s="4" t="s">
        <v>29</v>
      </c>
      <c r="D463" s="8" t="s">
        <v>1520</v>
      </c>
      <c r="E463" s="8" t="s">
        <v>1528</v>
      </c>
    </row>
    <row r="464" spans="1:5" ht="14.6" x14ac:dyDescent="0.4">
      <c r="A464" s="7" t="s">
        <v>728</v>
      </c>
      <c r="B464" s="4" t="s">
        <v>5</v>
      </c>
      <c r="C464" s="4" t="s">
        <v>29</v>
      </c>
      <c r="D464" s="8" t="s">
        <v>1520</v>
      </c>
      <c r="E464" s="8" t="s">
        <v>1528</v>
      </c>
    </row>
    <row r="465" spans="1:5" ht="14.6" x14ac:dyDescent="0.4">
      <c r="A465" s="7" t="s">
        <v>729</v>
      </c>
      <c r="B465" s="4" t="s">
        <v>133</v>
      </c>
      <c r="C465" s="4" t="s">
        <v>12</v>
      </c>
      <c r="D465" s="8" t="s">
        <v>1522</v>
      </c>
      <c r="E465" s="8" t="s">
        <v>1529</v>
      </c>
    </row>
    <row r="466" spans="1:5" ht="14.6" x14ac:dyDescent="0.4">
      <c r="A466" s="7" t="s">
        <v>730</v>
      </c>
      <c r="B466" s="4" t="s">
        <v>139</v>
      </c>
      <c r="C466" s="4" t="s">
        <v>21</v>
      </c>
      <c r="D466" s="8" t="s">
        <v>1520</v>
      </c>
      <c r="E466" s="8" t="s">
        <v>1528</v>
      </c>
    </row>
    <row r="467" spans="1:5" ht="14.6" x14ac:dyDescent="0.4">
      <c r="A467" s="7" t="s">
        <v>731</v>
      </c>
      <c r="B467" s="4" t="s">
        <v>11</v>
      </c>
      <c r="C467" s="4" t="s">
        <v>52</v>
      </c>
      <c r="D467" s="8" t="s">
        <v>1520</v>
      </c>
      <c r="E467" s="8" t="s">
        <v>1528</v>
      </c>
    </row>
    <row r="468" spans="1:5" ht="14.6" x14ac:dyDescent="0.4">
      <c r="A468" s="7" t="s">
        <v>732</v>
      </c>
      <c r="B468" s="4" t="s">
        <v>733</v>
      </c>
      <c r="C468" s="4" t="s">
        <v>34</v>
      </c>
      <c r="D468" s="8" t="s">
        <v>1522</v>
      </c>
      <c r="E468" s="8" t="s">
        <v>1527</v>
      </c>
    </row>
    <row r="469" spans="1:5" ht="14.6" x14ac:dyDescent="0.4">
      <c r="A469" s="7" t="s">
        <v>734</v>
      </c>
      <c r="B469" s="4" t="s">
        <v>118</v>
      </c>
      <c r="C469" s="4" t="s">
        <v>34</v>
      </c>
      <c r="D469" s="8" t="s">
        <v>1520</v>
      </c>
      <c r="E469" s="8" t="s">
        <v>1528</v>
      </c>
    </row>
    <row r="470" spans="1:5" ht="14.6" x14ac:dyDescent="0.4">
      <c r="A470" s="7" t="s">
        <v>735</v>
      </c>
      <c r="B470" s="4" t="s">
        <v>383</v>
      </c>
      <c r="C470" s="4" t="s">
        <v>12</v>
      </c>
      <c r="D470" s="8" t="s">
        <v>1520</v>
      </c>
      <c r="E470" s="8" t="s">
        <v>1528</v>
      </c>
    </row>
    <row r="471" spans="1:5" ht="14.6" x14ac:dyDescent="0.4">
      <c r="A471" s="7" t="s">
        <v>736</v>
      </c>
      <c r="B471" s="4" t="s">
        <v>451</v>
      </c>
      <c r="C471" s="4" t="s">
        <v>68</v>
      </c>
      <c r="D471" s="8" t="s">
        <v>1522</v>
      </c>
      <c r="E471" s="8" t="s">
        <v>1529</v>
      </c>
    </row>
    <row r="472" spans="1:5" ht="14.6" x14ac:dyDescent="0.4">
      <c r="A472" s="7" t="s">
        <v>737</v>
      </c>
      <c r="B472" s="4" t="s">
        <v>738</v>
      </c>
      <c r="C472" s="4" t="s">
        <v>21</v>
      </c>
      <c r="D472" s="8" t="s">
        <v>1520</v>
      </c>
      <c r="E472" s="8" t="s">
        <v>1528</v>
      </c>
    </row>
    <row r="473" spans="1:5" ht="14.6" x14ac:dyDescent="0.4">
      <c r="A473" s="7" t="s">
        <v>739</v>
      </c>
      <c r="B473" s="4" t="s">
        <v>182</v>
      </c>
      <c r="C473" s="4" t="s">
        <v>6</v>
      </c>
      <c r="D473" s="8" t="s">
        <v>1520</v>
      </c>
      <c r="E473" s="8" t="s">
        <v>1528</v>
      </c>
    </row>
    <row r="474" spans="1:5" ht="14.6" x14ac:dyDescent="0.4">
      <c r="A474" s="7" t="s">
        <v>740</v>
      </c>
      <c r="B474" s="4" t="s">
        <v>343</v>
      </c>
      <c r="C474" s="4" t="s">
        <v>68</v>
      </c>
      <c r="D474" s="8" t="s">
        <v>1520</v>
      </c>
      <c r="E474" s="8" t="s">
        <v>1528</v>
      </c>
    </row>
    <row r="475" spans="1:5" ht="14.6" x14ac:dyDescent="0.4">
      <c r="A475" s="7" t="s">
        <v>741</v>
      </c>
      <c r="B475" s="4" t="s">
        <v>31</v>
      </c>
      <c r="C475" s="4" t="s">
        <v>24</v>
      </c>
      <c r="D475" s="8" t="s">
        <v>1522</v>
      </c>
      <c r="E475" s="8" t="s">
        <v>1530</v>
      </c>
    </row>
    <row r="476" spans="1:5" ht="14.6" x14ac:dyDescent="0.4">
      <c r="A476" s="7" t="s">
        <v>742</v>
      </c>
      <c r="B476" s="4" t="s">
        <v>419</v>
      </c>
      <c r="C476" s="4" t="s">
        <v>29</v>
      </c>
      <c r="D476" s="8" t="s">
        <v>1522</v>
      </c>
      <c r="E476" s="8" t="s">
        <v>1530</v>
      </c>
    </row>
    <row r="477" spans="1:5" ht="14.6" x14ac:dyDescent="0.4">
      <c r="A477" s="7" t="s">
        <v>743</v>
      </c>
      <c r="B477" s="4" t="s">
        <v>343</v>
      </c>
      <c r="C477" s="4" t="s">
        <v>6</v>
      </c>
      <c r="D477" s="8" t="s">
        <v>1520</v>
      </c>
      <c r="E477" s="8" t="s">
        <v>1528</v>
      </c>
    </row>
    <row r="478" spans="1:5" ht="14.6" x14ac:dyDescent="0.4">
      <c r="A478" s="7" t="s">
        <v>744</v>
      </c>
      <c r="B478" s="4" t="s">
        <v>28</v>
      </c>
      <c r="C478" s="4" t="s">
        <v>29</v>
      </c>
      <c r="D478" s="8" t="s">
        <v>1522</v>
      </c>
      <c r="E478" s="8" t="s">
        <v>1531</v>
      </c>
    </row>
    <row r="479" spans="1:5" ht="14.6" x14ac:dyDescent="0.4">
      <c r="A479" s="7" t="s">
        <v>745</v>
      </c>
      <c r="B479" s="4" t="s">
        <v>42</v>
      </c>
      <c r="C479" s="4" t="s">
        <v>29</v>
      </c>
      <c r="D479" s="8" t="s">
        <v>1520</v>
      </c>
      <c r="E479" s="8" t="s">
        <v>1528</v>
      </c>
    </row>
    <row r="480" spans="1:5" ht="14.6" x14ac:dyDescent="0.4">
      <c r="A480" s="7" t="s">
        <v>746</v>
      </c>
      <c r="B480" s="4" t="s">
        <v>747</v>
      </c>
      <c r="C480" s="4" t="s">
        <v>58</v>
      </c>
      <c r="D480" s="8" t="s">
        <v>1520</v>
      </c>
      <c r="E480" s="8" t="s">
        <v>1528</v>
      </c>
    </row>
    <row r="481" spans="1:5" ht="14.6" x14ac:dyDescent="0.4">
      <c r="A481" s="7" t="s">
        <v>748</v>
      </c>
      <c r="B481" s="4" t="s">
        <v>699</v>
      </c>
      <c r="C481" s="4" t="s">
        <v>21</v>
      </c>
      <c r="D481" s="8" t="s">
        <v>1520</v>
      </c>
      <c r="E481" s="8" t="s">
        <v>1528</v>
      </c>
    </row>
    <row r="482" spans="1:5" ht="14.6" x14ac:dyDescent="0.4">
      <c r="A482" s="7" t="s">
        <v>749</v>
      </c>
      <c r="B482" s="4" t="s">
        <v>631</v>
      </c>
      <c r="C482" s="4" t="s">
        <v>9</v>
      </c>
      <c r="D482" s="8" t="s">
        <v>1520</v>
      </c>
      <c r="E482" s="8" t="s">
        <v>1528</v>
      </c>
    </row>
    <row r="483" spans="1:5" ht="14.6" x14ac:dyDescent="0.4">
      <c r="A483" s="7" t="s">
        <v>750</v>
      </c>
      <c r="B483" s="4" t="s">
        <v>751</v>
      </c>
      <c r="C483" s="4" t="s">
        <v>58</v>
      </c>
      <c r="D483" s="8" t="s">
        <v>1520</v>
      </c>
      <c r="E483" s="8" t="s">
        <v>1528</v>
      </c>
    </row>
    <row r="484" spans="1:5" ht="14.6" x14ac:dyDescent="0.4">
      <c r="A484" s="7" t="s">
        <v>752</v>
      </c>
      <c r="B484" s="4" t="s">
        <v>40</v>
      </c>
      <c r="C484" s="4" t="s">
        <v>12</v>
      </c>
      <c r="D484" s="8" t="s">
        <v>1522</v>
      </c>
      <c r="E484" s="8" t="s">
        <v>1527</v>
      </c>
    </row>
    <row r="485" spans="1:5" ht="14.6" x14ac:dyDescent="0.4">
      <c r="A485" s="7" t="s">
        <v>753</v>
      </c>
      <c r="B485" s="4" t="s">
        <v>439</v>
      </c>
      <c r="C485" s="4" t="s">
        <v>47</v>
      </c>
      <c r="D485" s="8" t="s">
        <v>1520</v>
      </c>
      <c r="E485" s="8" t="s">
        <v>1528</v>
      </c>
    </row>
    <row r="486" spans="1:5" ht="14.6" x14ac:dyDescent="0.4">
      <c r="A486" s="7" t="s">
        <v>754</v>
      </c>
      <c r="B486" s="4" t="s">
        <v>300</v>
      </c>
      <c r="C486" s="4" t="s">
        <v>24</v>
      </c>
      <c r="D486" s="8" t="s">
        <v>1520</v>
      </c>
      <c r="E486" s="8" t="s">
        <v>1528</v>
      </c>
    </row>
    <row r="487" spans="1:5" ht="14.6" x14ac:dyDescent="0.4">
      <c r="A487" s="7" t="s">
        <v>755</v>
      </c>
      <c r="B487" s="4" t="s">
        <v>126</v>
      </c>
      <c r="C487" s="4" t="s">
        <v>65</v>
      </c>
      <c r="D487" s="8" t="s">
        <v>1522</v>
      </c>
      <c r="E487" s="8" t="s">
        <v>1525</v>
      </c>
    </row>
    <row r="488" spans="1:5" ht="14.6" x14ac:dyDescent="0.4">
      <c r="A488" s="7" t="s">
        <v>756</v>
      </c>
      <c r="B488" s="4" t="s">
        <v>757</v>
      </c>
      <c r="C488" s="4" t="s">
        <v>18</v>
      </c>
      <c r="D488" s="8" t="s">
        <v>1522</v>
      </c>
      <c r="E488" s="8" t="s">
        <v>1523</v>
      </c>
    </row>
    <row r="489" spans="1:5" ht="14.6" x14ac:dyDescent="0.4">
      <c r="A489" s="7" t="s">
        <v>758</v>
      </c>
      <c r="B489" s="4" t="s">
        <v>204</v>
      </c>
      <c r="C489" s="4" t="s">
        <v>6</v>
      </c>
      <c r="D489" s="8" t="s">
        <v>1520</v>
      </c>
      <c r="E489" s="8" t="s">
        <v>1528</v>
      </c>
    </row>
    <row r="490" spans="1:5" ht="14.6" x14ac:dyDescent="0.4">
      <c r="A490" s="7" t="s">
        <v>759</v>
      </c>
      <c r="B490" s="4" t="s">
        <v>760</v>
      </c>
      <c r="C490" s="4" t="s">
        <v>15</v>
      </c>
      <c r="D490" s="8" t="s">
        <v>1522</v>
      </c>
      <c r="E490" s="8" t="s">
        <v>1527</v>
      </c>
    </row>
    <row r="491" spans="1:5" ht="14.6" x14ac:dyDescent="0.4">
      <c r="A491" s="7" t="s">
        <v>761</v>
      </c>
      <c r="B491" s="4" t="s">
        <v>649</v>
      </c>
      <c r="C491" s="4" t="s">
        <v>34</v>
      </c>
      <c r="D491" s="8" t="s">
        <v>1520</v>
      </c>
      <c r="E491" s="8" t="s">
        <v>1528</v>
      </c>
    </row>
    <row r="492" spans="1:5" ht="14.6" x14ac:dyDescent="0.4">
      <c r="A492" s="7" t="s">
        <v>762</v>
      </c>
      <c r="B492" s="4" t="s">
        <v>300</v>
      </c>
      <c r="C492" s="4" t="s">
        <v>15</v>
      </c>
      <c r="D492" s="8" t="s">
        <v>1520</v>
      </c>
      <c r="E492" s="8" t="s">
        <v>1528</v>
      </c>
    </row>
    <row r="493" spans="1:5" ht="14.6" x14ac:dyDescent="0.4">
      <c r="A493" s="7" t="s">
        <v>763</v>
      </c>
      <c r="B493" s="4" t="s">
        <v>522</v>
      </c>
      <c r="C493" s="4" t="s">
        <v>21</v>
      </c>
      <c r="D493" s="8" t="s">
        <v>1520</v>
      </c>
      <c r="E493" s="8" t="s">
        <v>1528</v>
      </c>
    </row>
    <row r="494" spans="1:5" ht="14.6" x14ac:dyDescent="0.4">
      <c r="A494" s="7" t="s">
        <v>764</v>
      </c>
      <c r="B494" s="4" t="s">
        <v>751</v>
      </c>
      <c r="C494" s="4" t="s">
        <v>6</v>
      </c>
      <c r="D494" s="8" t="s">
        <v>1520</v>
      </c>
      <c r="E494" s="8" t="s">
        <v>1528</v>
      </c>
    </row>
    <row r="495" spans="1:5" ht="14.6" x14ac:dyDescent="0.4">
      <c r="A495" s="7" t="s">
        <v>765</v>
      </c>
      <c r="B495" s="4" t="s">
        <v>156</v>
      </c>
      <c r="C495" s="4" t="s">
        <v>65</v>
      </c>
      <c r="D495" s="8" t="s">
        <v>1522</v>
      </c>
      <c r="E495" s="8" t="s">
        <v>1523</v>
      </c>
    </row>
    <row r="496" spans="1:5" ht="14.6" x14ac:dyDescent="0.4">
      <c r="A496" s="7" t="s">
        <v>766</v>
      </c>
      <c r="B496" s="4" t="s">
        <v>17</v>
      </c>
      <c r="C496" s="4" t="s">
        <v>58</v>
      </c>
      <c r="D496" s="8" t="s">
        <v>1520</v>
      </c>
      <c r="E496" s="8" t="s">
        <v>1528</v>
      </c>
    </row>
    <row r="497" spans="1:5" ht="14.6" x14ac:dyDescent="0.4">
      <c r="A497" s="7" t="s">
        <v>767</v>
      </c>
      <c r="B497" s="4" t="s">
        <v>768</v>
      </c>
      <c r="C497" s="4" t="s">
        <v>68</v>
      </c>
      <c r="D497" s="8" t="s">
        <v>1522</v>
      </c>
      <c r="E497" s="8" t="s">
        <v>1523</v>
      </c>
    </row>
    <row r="498" spans="1:5" ht="14.6" x14ac:dyDescent="0.4">
      <c r="A498" s="7" t="s">
        <v>769</v>
      </c>
      <c r="B498" s="4" t="s">
        <v>74</v>
      </c>
      <c r="C498" s="4" t="s">
        <v>18</v>
      </c>
      <c r="D498" s="8" t="s">
        <v>1520</v>
      </c>
      <c r="E498" s="8" t="s">
        <v>1528</v>
      </c>
    </row>
    <row r="499" spans="1:5" ht="14.6" x14ac:dyDescent="0.4">
      <c r="A499" s="7" t="s">
        <v>770</v>
      </c>
      <c r="B499" s="4" t="s">
        <v>254</v>
      </c>
      <c r="C499" s="4" t="s">
        <v>55</v>
      </c>
      <c r="D499" s="8" t="s">
        <v>1522</v>
      </c>
      <c r="E499" s="8" t="s">
        <v>1523</v>
      </c>
    </row>
    <row r="500" spans="1:5" ht="14.6" x14ac:dyDescent="0.4">
      <c r="A500" s="7" t="s">
        <v>771</v>
      </c>
      <c r="B500" s="4" t="s">
        <v>224</v>
      </c>
      <c r="C500" s="4" t="s">
        <v>47</v>
      </c>
      <c r="D500" s="8" t="s">
        <v>1522</v>
      </c>
      <c r="E500" s="8" t="s">
        <v>1527</v>
      </c>
    </row>
    <row r="501" spans="1:5" ht="14.6" x14ac:dyDescent="0.4">
      <c r="A501" s="7" t="s">
        <v>772</v>
      </c>
      <c r="B501" s="4" t="s">
        <v>195</v>
      </c>
      <c r="C501" s="4" t="s">
        <v>15</v>
      </c>
      <c r="D501" s="8" t="s">
        <v>1520</v>
      </c>
      <c r="E501" s="8" t="s">
        <v>1528</v>
      </c>
    </row>
    <row r="502" spans="1:5" ht="14.6" x14ac:dyDescent="0.4">
      <c r="A502" s="7" t="s">
        <v>773</v>
      </c>
      <c r="B502" s="4" t="s">
        <v>118</v>
      </c>
      <c r="C502" s="4" t="s">
        <v>12</v>
      </c>
      <c r="D502" s="8" t="s">
        <v>1520</v>
      </c>
      <c r="E502" s="8" t="s">
        <v>1528</v>
      </c>
    </row>
    <row r="503" spans="1:5" ht="14.6" x14ac:dyDescent="0.4">
      <c r="A503" s="7" t="s">
        <v>774</v>
      </c>
      <c r="B503" s="4" t="s">
        <v>775</v>
      </c>
      <c r="C503" s="4" t="s">
        <v>65</v>
      </c>
      <c r="D503" s="8" t="s">
        <v>1520</v>
      </c>
      <c r="E503" s="8" t="s">
        <v>1528</v>
      </c>
    </row>
    <row r="504" spans="1:5" ht="14.6" x14ac:dyDescent="0.4">
      <c r="A504" s="7" t="s">
        <v>776</v>
      </c>
      <c r="B504" s="4" t="s">
        <v>200</v>
      </c>
      <c r="C504" s="4" t="s">
        <v>52</v>
      </c>
      <c r="D504" s="8" t="s">
        <v>1522</v>
      </c>
      <c r="E504" s="8" t="s">
        <v>1532</v>
      </c>
    </row>
    <row r="505" spans="1:5" ht="14.6" x14ac:dyDescent="0.4">
      <c r="A505" s="7" t="s">
        <v>777</v>
      </c>
      <c r="B505" s="4" t="s">
        <v>778</v>
      </c>
      <c r="C505" s="4" t="s">
        <v>9</v>
      </c>
      <c r="D505" s="8" t="s">
        <v>1520</v>
      </c>
      <c r="E505" s="8" t="s">
        <v>1528</v>
      </c>
    </row>
    <row r="506" spans="1:5" ht="14.6" x14ac:dyDescent="0.4">
      <c r="A506" s="7" t="s">
        <v>779</v>
      </c>
      <c r="B506" s="4" t="s">
        <v>694</v>
      </c>
      <c r="C506" s="4" t="s">
        <v>34</v>
      </c>
      <c r="D506" s="8" t="s">
        <v>1520</v>
      </c>
      <c r="E506" s="8" t="s">
        <v>1528</v>
      </c>
    </row>
    <row r="507" spans="1:5" ht="14.6" x14ac:dyDescent="0.4">
      <c r="A507" s="7" t="s">
        <v>780</v>
      </c>
      <c r="B507" s="4" t="s">
        <v>112</v>
      </c>
      <c r="C507" s="4" t="s">
        <v>29</v>
      </c>
      <c r="D507" s="8" t="s">
        <v>1522</v>
      </c>
      <c r="E507" s="8" t="s">
        <v>1527</v>
      </c>
    </row>
    <row r="508" spans="1:5" ht="14.6" x14ac:dyDescent="0.4">
      <c r="A508" s="7" t="s">
        <v>781</v>
      </c>
      <c r="B508" s="4" t="s">
        <v>23</v>
      </c>
      <c r="C508" s="4" t="s">
        <v>52</v>
      </c>
      <c r="D508" s="8" t="s">
        <v>1520</v>
      </c>
      <c r="E508" s="8" t="s">
        <v>1528</v>
      </c>
    </row>
    <row r="509" spans="1:5" ht="14.6" x14ac:dyDescent="0.4">
      <c r="A509" s="7" t="s">
        <v>782</v>
      </c>
      <c r="B509" s="4" t="s">
        <v>356</v>
      </c>
      <c r="C509" s="4" t="s">
        <v>24</v>
      </c>
      <c r="D509" s="8" t="s">
        <v>1522</v>
      </c>
      <c r="E509" s="8" t="s">
        <v>1527</v>
      </c>
    </row>
    <row r="510" spans="1:5" ht="14.6" x14ac:dyDescent="0.4">
      <c r="A510" s="7" t="s">
        <v>783</v>
      </c>
      <c r="B510" s="4" t="s">
        <v>682</v>
      </c>
      <c r="C510" s="4" t="s">
        <v>21</v>
      </c>
      <c r="D510" s="8" t="s">
        <v>1520</v>
      </c>
      <c r="E510" s="8" t="s">
        <v>1528</v>
      </c>
    </row>
    <row r="511" spans="1:5" ht="14.6" x14ac:dyDescent="0.4">
      <c r="A511" s="7" t="s">
        <v>784</v>
      </c>
      <c r="B511" s="4" t="s">
        <v>195</v>
      </c>
      <c r="C511" s="4" t="s">
        <v>15</v>
      </c>
      <c r="D511" s="8" t="s">
        <v>1520</v>
      </c>
      <c r="E511" s="8" t="s">
        <v>1528</v>
      </c>
    </row>
    <row r="512" spans="1:5" ht="14.6" x14ac:dyDescent="0.4">
      <c r="A512" s="7" t="s">
        <v>785</v>
      </c>
      <c r="B512" s="4" t="s">
        <v>176</v>
      </c>
      <c r="C512" s="4" t="s">
        <v>29</v>
      </c>
      <c r="D512" s="8" t="s">
        <v>1522</v>
      </c>
      <c r="E512" s="8" t="s">
        <v>1532</v>
      </c>
    </row>
    <row r="513" spans="1:5" ht="14.6" x14ac:dyDescent="0.4">
      <c r="A513" s="7" t="s">
        <v>786</v>
      </c>
      <c r="B513" s="4" t="s">
        <v>246</v>
      </c>
      <c r="C513" s="4" t="s">
        <v>68</v>
      </c>
      <c r="D513" s="8" t="s">
        <v>1520</v>
      </c>
      <c r="E513" s="8" t="s">
        <v>1528</v>
      </c>
    </row>
    <row r="514" spans="1:5" ht="14.6" x14ac:dyDescent="0.4">
      <c r="A514" s="7" t="s">
        <v>787</v>
      </c>
      <c r="B514" s="4" t="s">
        <v>557</v>
      </c>
      <c r="C514" s="4" t="s">
        <v>65</v>
      </c>
      <c r="D514" s="8" t="s">
        <v>1522</v>
      </c>
      <c r="E514" s="8" t="s">
        <v>1532</v>
      </c>
    </row>
    <row r="515" spans="1:5" ht="14.6" x14ac:dyDescent="0.4">
      <c r="A515" s="7" t="s">
        <v>788</v>
      </c>
      <c r="B515" s="4" t="s">
        <v>620</v>
      </c>
      <c r="C515" s="4" t="s">
        <v>52</v>
      </c>
      <c r="D515" s="8" t="s">
        <v>1520</v>
      </c>
      <c r="E515" s="8" t="s">
        <v>1528</v>
      </c>
    </row>
    <row r="516" spans="1:5" ht="14.6" x14ac:dyDescent="0.4">
      <c r="A516" s="7" t="s">
        <v>789</v>
      </c>
      <c r="B516" s="4" t="s">
        <v>490</v>
      </c>
      <c r="C516" s="4" t="s">
        <v>34</v>
      </c>
      <c r="D516" s="8" t="s">
        <v>1520</v>
      </c>
      <c r="E516" s="8" t="s">
        <v>1528</v>
      </c>
    </row>
    <row r="517" spans="1:5" ht="14.6" x14ac:dyDescent="0.4">
      <c r="A517" s="7" t="s">
        <v>790</v>
      </c>
      <c r="B517" s="4" t="s">
        <v>160</v>
      </c>
      <c r="C517" s="4" t="s">
        <v>6</v>
      </c>
      <c r="D517" s="8" t="s">
        <v>1520</v>
      </c>
      <c r="E517" s="8" t="s">
        <v>1528</v>
      </c>
    </row>
    <row r="518" spans="1:5" ht="14.6" x14ac:dyDescent="0.4">
      <c r="A518" s="7" t="s">
        <v>791</v>
      </c>
      <c r="B518" s="4" t="s">
        <v>792</v>
      </c>
      <c r="C518" s="4" t="s">
        <v>9</v>
      </c>
      <c r="D518" s="8" t="s">
        <v>1522</v>
      </c>
      <c r="E518" s="8" t="s">
        <v>1523</v>
      </c>
    </row>
    <row r="519" spans="1:5" ht="14.6" x14ac:dyDescent="0.4">
      <c r="A519" s="7" t="s">
        <v>793</v>
      </c>
      <c r="B519" s="4" t="s">
        <v>537</v>
      </c>
      <c r="C519" s="4" t="s">
        <v>58</v>
      </c>
      <c r="D519" s="8" t="s">
        <v>1522</v>
      </c>
      <c r="E519" s="8" t="s">
        <v>1523</v>
      </c>
    </row>
    <row r="520" spans="1:5" ht="14.6" x14ac:dyDescent="0.4">
      <c r="A520" s="7" t="s">
        <v>794</v>
      </c>
      <c r="B520" s="4" t="s">
        <v>795</v>
      </c>
      <c r="C520" s="4" t="s">
        <v>21</v>
      </c>
      <c r="D520" s="8" t="s">
        <v>1520</v>
      </c>
      <c r="E520" s="8" t="s">
        <v>1528</v>
      </c>
    </row>
    <row r="521" spans="1:5" ht="14.6" x14ac:dyDescent="0.4">
      <c r="A521" s="7" t="s">
        <v>796</v>
      </c>
      <c r="B521" s="4" t="s">
        <v>671</v>
      </c>
      <c r="C521" s="4" t="s">
        <v>21</v>
      </c>
      <c r="D521" s="8" t="s">
        <v>1520</v>
      </c>
      <c r="E521" s="8" t="s">
        <v>1528</v>
      </c>
    </row>
    <row r="522" spans="1:5" ht="14.6" x14ac:dyDescent="0.4">
      <c r="A522" s="7" t="s">
        <v>797</v>
      </c>
      <c r="B522" s="4" t="s">
        <v>144</v>
      </c>
      <c r="C522" s="4" t="s">
        <v>52</v>
      </c>
      <c r="D522" s="8" t="s">
        <v>1520</v>
      </c>
      <c r="E522" s="8" t="s">
        <v>1528</v>
      </c>
    </row>
    <row r="523" spans="1:5" ht="14.6" x14ac:dyDescent="0.4">
      <c r="A523" s="7" t="s">
        <v>798</v>
      </c>
      <c r="B523" s="4" t="s">
        <v>248</v>
      </c>
      <c r="C523" s="4" t="s">
        <v>65</v>
      </c>
      <c r="D523" s="8" t="s">
        <v>1522</v>
      </c>
      <c r="E523" s="8" t="s">
        <v>1523</v>
      </c>
    </row>
    <row r="524" spans="1:5" ht="14.6" x14ac:dyDescent="0.4">
      <c r="A524" s="7" t="s">
        <v>799</v>
      </c>
      <c r="B524" s="4" t="s">
        <v>240</v>
      </c>
      <c r="C524" s="4" t="s">
        <v>9</v>
      </c>
      <c r="D524" s="8" t="s">
        <v>1522</v>
      </c>
      <c r="E524" s="8" t="s">
        <v>1532</v>
      </c>
    </row>
    <row r="525" spans="1:5" ht="14.6" x14ac:dyDescent="0.4">
      <c r="A525" s="7" t="s">
        <v>800</v>
      </c>
      <c r="B525" s="4" t="s">
        <v>470</v>
      </c>
      <c r="C525" s="4" t="s">
        <v>52</v>
      </c>
      <c r="D525" s="8" t="s">
        <v>1520</v>
      </c>
      <c r="E525" s="8" t="s">
        <v>1528</v>
      </c>
    </row>
    <row r="526" spans="1:5" ht="14.6" x14ac:dyDescent="0.4">
      <c r="A526" s="7" t="s">
        <v>801</v>
      </c>
      <c r="B526" s="4" t="s">
        <v>354</v>
      </c>
      <c r="C526" s="4" t="s">
        <v>12</v>
      </c>
      <c r="D526" s="8" t="s">
        <v>1522</v>
      </c>
      <c r="E526" s="8" t="s">
        <v>1525</v>
      </c>
    </row>
    <row r="527" spans="1:5" ht="14.6" x14ac:dyDescent="0.4">
      <c r="A527" s="7" t="s">
        <v>802</v>
      </c>
      <c r="B527" s="4" t="s">
        <v>254</v>
      </c>
      <c r="C527" s="4" t="s">
        <v>9</v>
      </c>
      <c r="D527" s="8" t="s">
        <v>1522</v>
      </c>
      <c r="E527" s="8" t="s">
        <v>1527</v>
      </c>
    </row>
    <row r="528" spans="1:5" ht="14.6" x14ac:dyDescent="0.4">
      <c r="A528" s="7" t="s">
        <v>803</v>
      </c>
      <c r="B528" s="4" t="s">
        <v>804</v>
      </c>
      <c r="C528" s="4" t="s">
        <v>24</v>
      </c>
      <c r="D528" s="8" t="s">
        <v>1520</v>
      </c>
      <c r="E528" s="8" t="s">
        <v>1528</v>
      </c>
    </row>
    <row r="529" spans="1:5" ht="14.6" x14ac:dyDescent="0.4">
      <c r="A529" s="7" t="s">
        <v>805</v>
      </c>
      <c r="B529" s="4" t="s">
        <v>369</v>
      </c>
      <c r="C529" s="4" t="s">
        <v>21</v>
      </c>
      <c r="D529" s="8" t="s">
        <v>1522</v>
      </c>
      <c r="E529" s="8" t="s">
        <v>1527</v>
      </c>
    </row>
    <row r="530" spans="1:5" ht="14.6" x14ac:dyDescent="0.4">
      <c r="A530" s="7" t="s">
        <v>806</v>
      </c>
      <c r="B530" s="4" t="s">
        <v>807</v>
      </c>
      <c r="C530" s="4" t="s">
        <v>34</v>
      </c>
      <c r="D530" s="8" t="s">
        <v>1520</v>
      </c>
      <c r="E530" s="8" t="s">
        <v>1528</v>
      </c>
    </row>
    <row r="531" spans="1:5" ht="14.6" x14ac:dyDescent="0.4">
      <c r="A531" s="7" t="s">
        <v>808</v>
      </c>
      <c r="B531" s="4" t="s">
        <v>809</v>
      </c>
      <c r="C531" s="4" t="s">
        <v>12</v>
      </c>
      <c r="D531" s="8" t="s">
        <v>1520</v>
      </c>
      <c r="E531" s="8" t="s">
        <v>1528</v>
      </c>
    </row>
    <row r="532" spans="1:5" ht="14.6" x14ac:dyDescent="0.4">
      <c r="A532" s="7" t="s">
        <v>810</v>
      </c>
      <c r="B532" s="4" t="s">
        <v>811</v>
      </c>
      <c r="C532" s="4" t="s">
        <v>12</v>
      </c>
      <c r="D532" s="8" t="s">
        <v>1522</v>
      </c>
      <c r="E532" s="8" t="s">
        <v>1527</v>
      </c>
    </row>
    <row r="533" spans="1:5" ht="14.6" x14ac:dyDescent="0.4">
      <c r="A533" s="7" t="s">
        <v>812</v>
      </c>
      <c r="B533" s="4" t="s">
        <v>232</v>
      </c>
      <c r="C533" s="4" t="s">
        <v>6</v>
      </c>
      <c r="D533" s="8" t="s">
        <v>1520</v>
      </c>
      <c r="E533" s="8" t="s">
        <v>1528</v>
      </c>
    </row>
    <row r="534" spans="1:5" ht="14.6" x14ac:dyDescent="0.4">
      <c r="A534" s="7" t="s">
        <v>813</v>
      </c>
      <c r="B534" s="4" t="s">
        <v>154</v>
      </c>
      <c r="C534" s="4" t="s">
        <v>21</v>
      </c>
      <c r="D534" s="8" t="s">
        <v>1520</v>
      </c>
      <c r="E534" s="8" t="s">
        <v>1528</v>
      </c>
    </row>
    <row r="535" spans="1:5" ht="14.6" x14ac:dyDescent="0.4">
      <c r="A535" s="7" t="s">
        <v>814</v>
      </c>
      <c r="B535" s="4" t="s">
        <v>259</v>
      </c>
      <c r="C535" s="4" t="s">
        <v>18</v>
      </c>
      <c r="D535" s="8" t="s">
        <v>1522</v>
      </c>
      <c r="E535" s="8" t="s">
        <v>1523</v>
      </c>
    </row>
    <row r="536" spans="1:5" ht="14.6" x14ac:dyDescent="0.4">
      <c r="A536" s="7" t="s">
        <v>815</v>
      </c>
      <c r="B536" s="4" t="s">
        <v>816</v>
      </c>
      <c r="C536" s="4" t="s">
        <v>68</v>
      </c>
      <c r="D536" s="8" t="s">
        <v>1522</v>
      </c>
      <c r="E536" s="8" t="s">
        <v>1527</v>
      </c>
    </row>
    <row r="537" spans="1:5" ht="14.6" x14ac:dyDescent="0.4">
      <c r="A537" s="7" t="s">
        <v>817</v>
      </c>
      <c r="B537" s="4" t="s">
        <v>500</v>
      </c>
      <c r="C537" s="4" t="s">
        <v>65</v>
      </c>
      <c r="D537" s="8" t="s">
        <v>1520</v>
      </c>
      <c r="E537" s="8" t="s">
        <v>1528</v>
      </c>
    </row>
    <row r="538" spans="1:5" ht="14.6" x14ac:dyDescent="0.4">
      <c r="A538" s="7" t="s">
        <v>818</v>
      </c>
      <c r="B538" s="4" t="s">
        <v>62</v>
      </c>
      <c r="C538" s="4" t="s">
        <v>65</v>
      </c>
      <c r="D538" s="8" t="s">
        <v>1520</v>
      </c>
      <c r="E538" s="8" t="s">
        <v>1528</v>
      </c>
    </row>
    <row r="539" spans="1:5" ht="14.6" x14ac:dyDescent="0.4">
      <c r="A539" s="7" t="s">
        <v>819</v>
      </c>
      <c r="B539" s="4" t="s">
        <v>620</v>
      </c>
      <c r="C539" s="4" t="s">
        <v>24</v>
      </c>
      <c r="D539" s="8" t="s">
        <v>1522</v>
      </c>
      <c r="E539" s="8" t="s">
        <v>1527</v>
      </c>
    </row>
    <row r="540" spans="1:5" ht="14.6" x14ac:dyDescent="0.4">
      <c r="A540" s="7" t="s">
        <v>820</v>
      </c>
      <c r="B540" s="4" t="s">
        <v>144</v>
      </c>
      <c r="C540" s="4" t="s">
        <v>15</v>
      </c>
      <c r="D540" s="8" t="s">
        <v>1522</v>
      </c>
      <c r="E540" s="8" t="s">
        <v>1527</v>
      </c>
    </row>
    <row r="541" spans="1:5" ht="14.6" x14ac:dyDescent="0.4">
      <c r="A541" s="7" t="s">
        <v>821</v>
      </c>
      <c r="B541" s="4" t="s">
        <v>822</v>
      </c>
      <c r="C541" s="4" t="s">
        <v>6</v>
      </c>
      <c r="D541" s="8" t="s">
        <v>1520</v>
      </c>
      <c r="E541" s="8" t="s">
        <v>1528</v>
      </c>
    </row>
    <row r="542" spans="1:5" ht="14.6" x14ac:dyDescent="0.4">
      <c r="A542" s="7" t="s">
        <v>823</v>
      </c>
      <c r="B542" s="4" t="s">
        <v>409</v>
      </c>
      <c r="C542" s="4" t="s">
        <v>52</v>
      </c>
      <c r="D542" s="8" t="s">
        <v>1520</v>
      </c>
      <c r="E542" s="8" t="s">
        <v>1528</v>
      </c>
    </row>
    <row r="543" spans="1:5" ht="14.6" x14ac:dyDescent="0.4">
      <c r="A543" s="7" t="s">
        <v>824</v>
      </c>
      <c r="B543" s="4" t="s">
        <v>365</v>
      </c>
      <c r="C543" s="4" t="s">
        <v>55</v>
      </c>
      <c r="D543" s="8" t="s">
        <v>1520</v>
      </c>
      <c r="E543" s="8" t="s">
        <v>1528</v>
      </c>
    </row>
    <row r="544" spans="1:5" ht="14.6" x14ac:dyDescent="0.4">
      <c r="A544" s="7" t="s">
        <v>825</v>
      </c>
      <c r="B544" s="4" t="s">
        <v>426</v>
      </c>
      <c r="C544" s="4" t="s">
        <v>21</v>
      </c>
      <c r="D544" s="8" t="s">
        <v>1520</v>
      </c>
      <c r="E544" s="8" t="s">
        <v>1528</v>
      </c>
    </row>
    <row r="545" spans="1:5" ht="14.6" x14ac:dyDescent="0.4">
      <c r="A545" s="7" t="s">
        <v>826</v>
      </c>
      <c r="B545" s="4" t="s">
        <v>383</v>
      </c>
      <c r="C545" s="4" t="s">
        <v>47</v>
      </c>
      <c r="D545" s="8" t="s">
        <v>1520</v>
      </c>
      <c r="E545" s="8" t="s">
        <v>1528</v>
      </c>
    </row>
    <row r="546" spans="1:5" ht="14.6" x14ac:dyDescent="0.4">
      <c r="A546" s="7" t="s">
        <v>827</v>
      </c>
      <c r="B546" s="4" t="s">
        <v>101</v>
      </c>
      <c r="C546" s="4" t="s">
        <v>34</v>
      </c>
      <c r="D546" s="8" t="s">
        <v>1520</v>
      </c>
      <c r="E546" s="8" t="s">
        <v>1528</v>
      </c>
    </row>
    <row r="547" spans="1:5" ht="14.6" x14ac:dyDescent="0.4">
      <c r="A547" s="7" t="s">
        <v>828</v>
      </c>
      <c r="B547" s="4" t="s">
        <v>451</v>
      </c>
      <c r="C547" s="4" t="s">
        <v>15</v>
      </c>
      <c r="D547" s="8" t="s">
        <v>1520</v>
      </c>
      <c r="E547" s="8" t="s">
        <v>1528</v>
      </c>
    </row>
    <row r="548" spans="1:5" ht="14.6" x14ac:dyDescent="0.4">
      <c r="A548" s="7" t="s">
        <v>829</v>
      </c>
      <c r="B548" s="4" t="s">
        <v>506</v>
      </c>
      <c r="C548" s="4" t="s">
        <v>24</v>
      </c>
      <c r="D548" s="8" t="s">
        <v>1520</v>
      </c>
      <c r="E548" s="8" t="s">
        <v>1528</v>
      </c>
    </row>
    <row r="549" spans="1:5" ht="14.6" x14ac:dyDescent="0.4">
      <c r="A549" s="7" t="s">
        <v>830</v>
      </c>
      <c r="B549" s="4" t="s">
        <v>49</v>
      </c>
      <c r="C549" s="4" t="s">
        <v>9</v>
      </c>
      <c r="D549" s="8" t="s">
        <v>1520</v>
      </c>
      <c r="E549" s="8" t="s">
        <v>1528</v>
      </c>
    </row>
    <row r="550" spans="1:5" ht="14.6" x14ac:dyDescent="0.4">
      <c r="A550" s="7" t="s">
        <v>831</v>
      </c>
      <c r="B550" s="4" t="s">
        <v>193</v>
      </c>
      <c r="C550" s="4" t="s">
        <v>12</v>
      </c>
      <c r="D550" s="8" t="s">
        <v>1520</v>
      </c>
      <c r="E550" s="8" t="s">
        <v>1528</v>
      </c>
    </row>
    <row r="551" spans="1:5" ht="14.6" x14ac:dyDescent="0.4">
      <c r="A551" s="7" t="s">
        <v>832</v>
      </c>
      <c r="B551" s="4" t="s">
        <v>578</v>
      </c>
      <c r="C551" s="4" t="s">
        <v>68</v>
      </c>
      <c r="D551" s="8" t="s">
        <v>1520</v>
      </c>
      <c r="E551" s="8" t="s">
        <v>1528</v>
      </c>
    </row>
    <row r="552" spans="1:5" ht="14.6" x14ac:dyDescent="0.4">
      <c r="A552" s="7" t="s">
        <v>833</v>
      </c>
      <c r="B552" s="4" t="s">
        <v>834</v>
      </c>
      <c r="C552" s="4" t="s">
        <v>6</v>
      </c>
      <c r="D552" s="8" t="s">
        <v>1522</v>
      </c>
      <c r="E552" s="8" t="s">
        <v>1529</v>
      </c>
    </row>
    <row r="553" spans="1:5" ht="14.6" x14ac:dyDescent="0.4">
      <c r="A553" s="7" t="s">
        <v>835</v>
      </c>
      <c r="B553" s="4" t="s">
        <v>372</v>
      </c>
      <c r="C553" s="4" t="s">
        <v>6</v>
      </c>
      <c r="D553" s="8" t="s">
        <v>1522</v>
      </c>
      <c r="E553" s="8" t="s">
        <v>1529</v>
      </c>
    </row>
    <row r="554" spans="1:5" ht="14.6" x14ac:dyDescent="0.4">
      <c r="A554" s="7" t="s">
        <v>836</v>
      </c>
      <c r="B554" s="4" t="s">
        <v>263</v>
      </c>
      <c r="C554" s="4" t="s">
        <v>47</v>
      </c>
      <c r="D554" s="8" t="s">
        <v>1522</v>
      </c>
      <c r="E554" s="8" t="s">
        <v>1529</v>
      </c>
    </row>
    <row r="555" spans="1:5" ht="14.6" x14ac:dyDescent="0.4">
      <c r="A555" s="7" t="s">
        <v>837</v>
      </c>
      <c r="B555" s="4" t="s">
        <v>286</v>
      </c>
      <c r="C555" s="4" t="s">
        <v>34</v>
      </c>
      <c r="D555" s="8" t="s">
        <v>1520</v>
      </c>
      <c r="E555" s="8" t="s">
        <v>1528</v>
      </c>
    </row>
    <row r="556" spans="1:5" ht="14.6" x14ac:dyDescent="0.4">
      <c r="A556" s="7" t="s">
        <v>838</v>
      </c>
      <c r="B556" s="4" t="s">
        <v>839</v>
      </c>
      <c r="C556" s="4" t="s">
        <v>18</v>
      </c>
      <c r="D556" s="8" t="s">
        <v>1520</v>
      </c>
      <c r="E556" s="8" t="s">
        <v>1528</v>
      </c>
    </row>
    <row r="557" spans="1:5" ht="14.6" x14ac:dyDescent="0.4">
      <c r="A557" s="7" t="s">
        <v>840</v>
      </c>
      <c r="B557" s="4" t="s">
        <v>356</v>
      </c>
      <c r="C557" s="4" t="s">
        <v>47</v>
      </c>
      <c r="D557" s="8" t="s">
        <v>1520</v>
      </c>
      <c r="E557" s="8" t="s">
        <v>1528</v>
      </c>
    </row>
    <row r="558" spans="1:5" ht="14.6" x14ac:dyDescent="0.4">
      <c r="A558" s="7" t="s">
        <v>841</v>
      </c>
      <c r="B558" s="4" t="s">
        <v>842</v>
      </c>
      <c r="C558" s="4" t="s">
        <v>24</v>
      </c>
      <c r="D558" s="8" t="s">
        <v>1520</v>
      </c>
      <c r="E558" s="8" t="s">
        <v>1528</v>
      </c>
    </row>
    <row r="559" spans="1:5" ht="14.6" x14ac:dyDescent="0.4">
      <c r="A559" s="7" t="s">
        <v>843</v>
      </c>
      <c r="B559" s="4" t="s">
        <v>456</v>
      </c>
      <c r="C559" s="4" t="s">
        <v>29</v>
      </c>
      <c r="D559" s="8" t="s">
        <v>1520</v>
      </c>
      <c r="E559" s="8" t="s">
        <v>1528</v>
      </c>
    </row>
    <row r="560" spans="1:5" ht="14.6" x14ac:dyDescent="0.4">
      <c r="A560" s="7" t="s">
        <v>844</v>
      </c>
      <c r="B560" s="4" t="s">
        <v>545</v>
      </c>
      <c r="C560" s="4" t="s">
        <v>68</v>
      </c>
      <c r="D560" s="8" t="s">
        <v>1520</v>
      </c>
      <c r="E560" s="8" t="s">
        <v>1528</v>
      </c>
    </row>
    <row r="561" spans="1:5" ht="14.6" x14ac:dyDescent="0.4">
      <c r="A561" s="7" t="s">
        <v>845</v>
      </c>
      <c r="B561" s="4" t="s">
        <v>246</v>
      </c>
      <c r="C561" s="4" t="s">
        <v>58</v>
      </c>
      <c r="D561" s="8" t="s">
        <v>1522</v>
      </c>
      <c r="E561" s="8" t="s">
        <v>1531</v>
      </c>
    </row>
    <row r="562" spans="1:5" ht="14.6" x14ac:dyDescent="0.4">
      <c r="A562" s="7" t="s">
        <v>846</v>
      </c>
      <c r="B562" s="4" t="s">
        <v>160</v>
      </c>
      <c r="C562" s="4" t="s">
        <v>12</v>
      </c>
      <c r="D562" s="8" t="s">
        <v>1522</v>
      </c>
      <c r="E562" s="8" t="s">
        <v>1531</v>
      </c>
    </row>
    <row r="563" spans="1:5" ht="14.6" x14ac:dyDescent="0.4">
      <c r="A563" s="7" t="s">
        <v>847</v>
      </c>
      <c r="B563" s="4" t="s">
        <v>848</v>
      </c>
      <c r="C563" s="4" t="s">
        <v>9</v>
      </c>
      <c r="D563" s="8" t="s">
        <v>1520</v>
      </c>
      <c r="E563" s="8" t="s">
        <v>1528</v>
      </c>
    </row>
    <row r="564" spans="1:5" ht="14.6" x14ac:dyDescent="0.4">
      <c r="A564" s="7" t="s">
        <v>849</v>
      </c>
      <c r="B564" s="4" t="s">
        <v>347</v>
      </c>
      <c r="C564" s="4" t="s">
        <v>24</v>
      </c>
      <c r="D564" s="8" t="s">
        <v>1522</v>
      </c>
      <c r="E564" s="8" t="s">
        <v>1527</v>
      </c>
    </row>
    <row r="565" spans="1:5" ht="14.6" x14ac:dyDescent="0.4">
      <c r="A565" s="7" t="s">
        <v>850</v>
      </c>
      <c r="B565" s="4" t="s">
        <v>60</v>
      </c>
      <c r="C565" s="4" t="s">
        <v>29</v>
      </c>
      <c r="D565" s="8" t="s">
        <v>1520</v>
      </c>
      <c r="E565" s="8" t="s">
        <v>1528</v>
      </c>
    </row>
    <row r="566" spans="1:5" ht="14.6" x14ac:dyDescent="0.4">
      <c r="A566" s="7" t="s">
        <v>851</v>
      </c>
      <c r="B566" s="4" t="s">
        <v>211</v>
      </c>
      <c r="C566" s="4" t="s">
        <v>55</v>
      </c>
      <c r="D566" s="8" t="s">
        <v>1522</v>
      </c>
      <c r="E566" s="8" t="s">
        <v>1527</v>
      </c>
    </row>
    <row r="567" spans="1:5" ht="14.6" x14ac:dyDescent="0.4">
      <c r="A567" s="7" t="s">
        <v>852</v>
      </c>
      <c r="B567" s="4" t="s">
        <v>757</v>
      </c>
      <c r="C567" s="4" t="s">
        <v>55</v>
      </c>
      <c r="D567" s="8" t="s">
        <v>1520</v>
      </c>
      <c r="E567" s="8" t="s">
        <v>1528</v>
      </c>
    </row>
    <row r="568" spans="1:5" ht="14.6" x14ac:dyDescent="0.4">
      <c r="A568" s="7" t="s">
        <v>853</v>
      </c>
      <c r="B568" s="4" t="s">
        <v>552</v>
      </c>
      <c r="C568" s="4" t="s">
        <v>34</v>
      </c>
      <c r="D568" s="8" t="s">
        <v>1520</v>
      </c>
      <c r="E568" s="8" t="s">
        <v>1528</v>
      </c>
    </row>
    <row r="569" spans="1:5" ht="14.6" x14ac:dyDescent="0.4">
      <c r="A569" s="7" t="s">
        <v>854</v>
      </c>
      <c r="B569" s="4" t="s">
        <v>252</v>
      </c>
      <c r="C569" s="4" t="s">
        <v>55</v>
      </c>
      <c r="D569" s="8" t="s">
        <v>1522</v>
      </c>
      <c r="E569" s="8" t="s">
        <v>1527</v>
      </c>
    </row>
    <row r="570" spans="1:5" ht="14.6" x14ac:dyDescent="0.4">
      <c r="A570" s="7" t="s">
        <v>855</v>
      </c>
      <c r="B570" s="4" t="s">
        <v>856</v>
      </c>
      <c r="C570" s="4" t="s">
        <v>47</v>
      </c>
      <c r="D570" s="8" t="s">
        <v>1522</v>
      </c>
      <c r="E570" s="8" t="s">
        <v>1526</v>
      </c>
    </row>
    <row r="571" spans="1:5" ht="14.6" x14ac:dyDescent="0.4">
      <c r="A571" s="7" t="s">
        <v>857</v>
      </c>
      <c r="B571" s="4" t="s">
        <v>300</v>
      </c>
      <c r="C571" s="4" t="s">
        <v>29</v>
      </c>
      <c r="D571" s="8" t="s">
        <v>1520</v>
      </c>
      <c r="E571" s="8" t="s">
        <v>1528</v>
      </c>
    </row>
    <row r="572" spans="1:5" ht="14.6" x14ac:dyDescent="0.4">
      <c r="A572" s="7" t="s">
        <v>858</v>
      </c>
      <c r="B572" s="4" t="s">
        <v>269</v>
      </c>
      <c r="C572" s="4" t="s">
        <v>55</v>
      </c>
      <c r="D572" s="8" t="s">
        <v>1522</v>
      </c>
      <c r="E572" s="8" t="s">
        <v>1523</v>
      </c>
    </row>
    <row r="573" spans="1:5" ht="14.6" x14ac:dyDescent="0.4">
      <c r="A573" s="7" t="s">
        <v>859</v>
      </c>
      <c r="B573" s="4" t="s">
        <v>141</v>
      </c>
      <c r="C573" s="4" t="s">
        <v>29</v>
      </c>
      <c r="D573" s="8" t="s">
        <v>1522</v>
      </c>
      <c r="E573" s="8" t="s">
        <v>1523</v>
      </c>
    </row>
    <row r="574" spans="1:5" ht="14.6" x14ac:dyDescent="0.4">
      <c r="A574" s="7" t="s">
        <v>860</v>
      </c>
      <c r="B574" s="4" t="s">
        <v>620</v>
      </c>
      <c r="C574" s="4" t="s">
        <v>15</v>
      </c>
      <c r="D574" s="8" t="s">
        <v>1520</v>
      </c>
      <c r="E574" s="8" t="s">
        <v>1528</v>
      </c>
    </row>
    <row r="575" spans="1:5" ht="14.6" x14ac:dyDescent="0.4">
      <c r="A575" s="7" t="s">
        <v>861</v>
      </c>
      <c r="B575" s="4" t="s">
        <v>213</v>
      </c>
      <c r="C575" s="4" t="s">
        <v>24</v>
      </c>
      <c r="D575" s="8" t="s">
        <v>1522</v>
      </c>
      <c r="E575" s="8" t="s">
        <v>1526</v>
      </c>
    </row>
    <row r="576" spans="1:5" ht="14.6" x14ac:dyDescent="0.4">
      <c r="A576" s="7" t="s">
        <v>862</v>
      </c>
      <c r="B576" s="4" t="s">
        <v>291</v>
      </c>
      <c r="C576" s="4" t="s">
        <v>47</v>
      </c>
      <c r="D576" s="8" t="s">
        <v>1520</v>
      </c>
      <c r="E576" s="8" t="s">
        <v>1528</v>
      </c>
    </row>
    <row r="577" spans="1:5" ht="14.6" x14ac:dyDescent="0.4">
      <c r="A577" s="7" t="s">
        <v>863</v>
      </c>
      <c r="B577" s="4" t="s">
        <v>864</v>
      </c>
      <c r="C577" s="4" t="s">
        <v>9</v>
      </c>
      <c r="D577" s="8" t="s">
        <v>1522</v>
      </c>
      <c r="E577" s="8" t="s">
        <v>1527</v>
      </c>
    </row>
    <row r="578" spans="1:5" ht="14.6" x14ac:dyDescent="0.4">
      <c r="A578" s="7" t="s">
        <v>865</v>
      </c>
      <c r="B578" s="4" t="s">
        <v>411</v>
      </c>
      <c r="C578" s="4" t="s">
        <v>12</v>
      </c>
      <c r="D578" s="8" t="s">
        <v>1520</v>
      </c>
      <c r="E578" s="8" t="s">
        <v>1528</v>
      </c>
    </row>
    <row r="579" spans="1:5" ht="14.6" x14ac:dyDescent="0.4">
      <c r="A579" s="7" t="s">
        <v>866</v>
      </c>
      <c r="B579" s="4" t="s">
        <v>511</v>
      </c>
      <c r="C579" s="4" t="s">
        <v>58</v>
      </c>
      <c r="D579" s="8" t="s">
        <v>1522</v>
      </c>
      <c r="E579" s="8" t="s">
        <v>1526</v>
      </c>
    </row>
    <row r="580" spans="1:5" ht="14.6" x14ac:dyDescent="0.4">
      <c r="A580" s="7" t="s">
        <v>867</v>
      </c>
      <c r="B580" s="4" t="s">
        <v>311</v>
      </c>
      <c r="C580" s="4" t="s">
        <v>52</v>
      </c>
      <c r="D580" s="8" t="s">
        <v>1520</v>
      </c>
      <c r="E580" s="8" t="s">
        <v>1528</v>
      </c>
    </row>
    <row r="581" spans="1:5" ht="14.6" x14ac:dyDescent="0.4">
      <c r="A581" s="7" t="s">
        <v>868</v>
      </c>
      <c r="B581" s="4" t="s">
        <v>430</v>
      </c>
      <c r="C581" s="4" t="s">
        <v>68</v>
      </c>
      <c r="D581" s="8" t="s">
        <v>1522</v>
      </c>
      <c r="E581" s="8" t="s">
        <v>1527</v>
      </c>
    </row>
    <row r="582" spans="1:5" ht="14.6" x14ac:dyDescent="0.4">
      <c r="A582" s="7" t="s">
        <v>869</v>
      </c>
      <c r="B582" s="4" t="s">
        <v>690</v>
      </c>
      <c r="C582" s="4" t="s">
        <v>58</v>
      </c>
      <c r="D582" s="8" t="s">
        <v>1522</v>
      </c>
      <c r="E582" s="8" t="s">
        <v>1523</v>
      </c>
    </row>
    <row r="583" spans="1:5" ht="14.6" x14ac:dyDescent="0.4">
      <c r="A583" s="7" t="s">
        <v>870</v>
      </c>
      <c r="B583" s="4" t="s">
        <v>78</v>
      </c>
      <c r="C583" s="4" t="s">
        <v>29</v>
      </c>
      <c r="D583" s="8" t="s">
        <v>1520</v>
      </c>
      <c r="E583" s="8" t="s">
        <v>1528</v>
      </c>
    </row>
    <row r="584" spans="1:5" ht="14.6" x14ac:dyDescent="0.4">
      <c r="A584" s="7" t="s">
        <v>871</v>
      </c>
      <c r="B584" s="4" t="s">
        <v>158</v>
      </c>
      <c r="C584" s="4" t="s">
        <v>9</v>
      </c>
      <c r="D584" s="8" t="s">
        <v>1520</v>
      </c>
      <c r="E584" s="8" t="s">
        <v>1528</v>
      </c>
    </row>
    <row r="585" spans="1:5" ht="14.6" x14ac:dyDescent="0.4">
      <c r="A585" s="7" t="s">
        <v>872</v>
      </c>
      <c r="B585" s="4" t="s">
        <v>105</v>
      </c>
      <c r="C585" s="4" t="s">
        <v>55</v>
      </c>
      <c r="D585" s="8" t="s">
        <v>1520</v>
      </c>
      <c r="E585" s="8" t="s">
        <v>1528</v>
      </c>
    </row>
    <row r="586" spans="1:5" ht="14.6" x14ac:dyDescent="0.4">
      <c r="A586" s="7" t="s">
        <v>873</v>
      </c>
      <c r="B586" s="4" t="s">
        <v>263</v>
      </c>
      <c r="C586" s="4" t="s">
        <v>68</v>
      </c>
      <c r="D586" s="8" t="s">
        <v>1522</v>
      </c>
      <c r="E586" s="8" t="s">
        <v>1523</v>
      </c>
    </row>
    <row r="587" spans="1:5" ht="14.6" x14ac:dyDescent="0.4">
      <c r="A587" s="7" t="s">
        <v>874</v>
      </c>
      <c r="B587" s="4" t="s">
        <v>44</v>
      </c>
      <c r="C587" s="4" t="s">
        <v>15</v>
      </c>
      <c r="D587" s="8" t="s">
        <v>1520</v>
      </c>
      <c r="E587" s="8" t="s">
        <v>1528</v>
      </c>
    </row>
    <row r="588" spans="1:5" ht="14.6" x14ac:dyDescent="0.4">
      <c r="A588" s="7" t="s">
        <v>875</v>
      </c>
      <c r="B588" s="4" t="s">
        <v>542</v>
      </c>
      <c r="C588" s="4" t="s">
        <v>18</v>
      </c>
      <c r="D588" s="8" t="s">
        <v>1522</v>
      </c>
      <c r="E588" s="8" t="s">
        <v>1527</v>
      </c>
    </row>
    <row r="589" spans="1:5" ht="14.6" x14ac:dyDescent="0.4">
      <c r="A589" s="7" t="s">
        <v>876</v>
      </c>
      <c r="B589" s="4" t="s">
        <v>139</v>
      </c>
      <c r="C589" s="4" t="s">
        <v>68</v>
      </c>
      <c r="D589" s="8" t="s">
        <v>1522</v>
      </c>
      <c r="E589" s="8" t="s">
        <v>1523</v>
      </c>
    </row>
    <row r="590" spans="1:5" ht="14.6" x14ac:dyDescent="0.4">
      <c r="A590" s="7" t="s">
        <v>877</v>
      </c>
      <c r="B590" s="4" t="s">
        <v>522</v>
      </c>
      <c r="C590" s="4" t="s">
        <v>29</v>
      </c>
      <c r="D590" s="8" t="s">
        <v>1522</v>
      </c>
      <c r="E590" s="8" t="s">
        <v>1525</v>
      </c>
    </row>
    <row r="591" spans="1:5" ht="14.6" x14ac:dyDescent="0.4">
      <c r="A591" s="7" t="s">
        <v>878</v>
      </c>
      <c r="B591" s="4" t="s">
        <v>879</v>
      </c>
      <c r="C591" s="4" t="s">
        <v>55</v>
      </c>
      <c r="D591" s="8" t="s">
        <v>1520</v>
      </c>
      <c r="E591" s="8" t="s">
        <v>1528</v>
      </c>
    </row>
    <row r="592" spans="1:5" ht="14.6" x14ac:dyDescent="0.4">
      <c r="A592" s="7" t="s">
        <v>880</v>
      </c>
      <c r="B592" s="4" t="s">
        <v>881</v>
      </c>
      <c r="C592" s="4" t="s">
        <v>68</v>
      </c>
      <c r="D592" s="8" t="s">
        <v>1520</v>
      </c>
      <c r="E592" s="8" t="s">
        <v>1528</v>
      </c>
    </row>
    <row r="593" spans="1:5" ht="14.6" x14ac:dyDescent="0.4">
      <c r="A593" s="7" t="s">
        <v>882</v>
      </c>
      <c r="B593" s="4" t="s">
        <v>504</v>
      </c>
      <c r="C593" s="4" t="s">
        <v>34</v>
      </c>
      <c r="D593" s="8" t="s">
        <v>1520</v>
      </c>
      <c r="E593" s="8" t="s">
        <v>1528</v>
      </c>
    </row>
    <row r="594" spans="1:5" ht="14.6" x14ac:dyDescent="0.4">
      <c r="A594" s="7" t="s">
        <v>883</v>
      </c>
      <c r="B594" s="4" t="s">
        <v>76</v>
      </c>
      <c r="C594" s="4" t="s">
        <v>52</v>
      </c>
      <c r="D594" s="8" t="s">
        <v>1520</v>
      </c>
      <c r="E594" s="8" t="s">
        <v>1528</v>
      </c>
    </row>
    <row r="595" spans="1:5" ht="14.6" x14ac:dyDescent="0.4">
      <c r="A595" s="7" t="s">
        <v>884</v>
      </c>
      <c r="B595" s="4" t="s">
        <v>162</v>
      </c>
      <c r="C595" s="4" t="s">
        <v>52</v>
      </c>
      <c r="D595" s="8" t="s">
        <v>1520</v>
      </c>
      <c r="E595" s="8" t="s">
        <v>1528</v>
      </c>
    </row>
    <row r="596" spans="1:5" ht="14.6" x14ac:dyDescent="0.4">
      <c r="A596" s="7" t="s">
        <v>885</v>
      </c>
      <c r="B596" s="4" t="s">
        <v>593</v>
      </c>
      <c r="C596" s="4" t="s">
        <v>18</v>
      </c>
      <c r="D596" s="8" t="s">
        <v>1520</v>
      </c>
      <c r="E596" s="8" t="s">
        <v>1528</v>
      </c>
    </row>
    <row r="597" spans="1:5" ht="14.6" x14ac:dyDescent="0.4">
      <c r="A597" s="7" t="s">
        <v>886</v>
      </c>
      <c r="B597" s="4" t="s">
        <v>202</v>
      </c>
      <c r="C597" s="4" t="s">
        <v>52</v>
      </c>
      <c r="D597" s="8" t="s">
        <v>1520</v>
      </c>
      <c r="E597" s="8" t="s">
        <v>1528</v>
      </c>
    </row>
    <row r="598" spans="1:5" ht="14.6" x14ac:dyDescent="0.4">
      <c r="A598" s="7" t="s">
        <v>887</v>
      </c>
      <c r="B598" s="4" t="s">
        <v>146</v>
      </c>
      <c r="C598" s="4" t="s">
        <v>6</v>
      </c>
      <c r="D598" s="8" t="s">
        <v>1520</v>
      </c>
      <c r="E598" s="8" t="s">
        <v>1528</v>
      </c>
    </row>
    <row r="599" spans="1:5" ht="14.6" x14ac:dyDescent="0.4">
      <c r="A599" s="7" t="s">
        <v>888</v>
      </c>
      <c r="B599" s="4" t="s">
        <v>116</v>
      </c>
      <c r="C599" s="4" t="s">
        <v>34</v>
      </c>
      <c r="D599" s="8" t="s">
        <v>1522</v>
      </c>
      <c r="E599" s="8" t="s">
        <v>1525</v>
      </c>
    </row>
    <row r="600" spans="1:5" ht="14.6" x14ac:dyDescent="0.4">
      <c r="A600" s="7" t="s">
        <v>889</v>
      </c>
      <c r="B600" s="4" t="s">
        <v>300</v>
      </c>
      <c r="C600" s="4" t="s">
        <v>52</v>
      </c>
      <c r="D600" s="8" t="s">
        <v>1520</v>
      </c>
      <c r="E600" s="8" t="s">
        <v>1528</v>
      </c>
    </row>
    <row r="601" spans="1:5" ht="14.6" x14ac:dyDescent="0.4">
      <c r="A601" s="7" t="s">
        <v>890</v>
      </c>
      <c r="B601" s="4" t="s">
        <v>98</v>
      </c>
      <c r="C601" s="4" t="s">
        <v>34</v>
      </c>
      <c r="D601" s="8" t="s">
        <v>1520</v>
      </c>
      <c r="E601" s="8" t="s">
        <v>1528</v>
      </c>
    </row>
    <row r="602" spans="1:5" ht="14.6" x14ac:dyDescent="0.4">
      <c r="A602" s="7" t="s">
        <v>891</v>
      </c>
      <c r="B602" s="4" t="s">
        <v>892</v>
      </c>
      <c r="C602" s="4" t="s">
        <v>29</v>
      </c>
      <c r="D602" s="8" t="s">
        <v>1520</v>
      </c>
      <c r="E602" s="8" t="s">
        <v>1528</v>
      </c>
    </row>
    <row r="603" spans="1:5" ht="14.6" x14ac:dyDescent="0.4">
      <c r="A603" s="7" t="s">
        <v>893</v>
      </c>
      <c r="B603" s="4" t="s">
        <v>154</v>
      </c>
      <c r="C603" s="4" t="s">
        <v>12</v>
      </c>
      <c r="D603" s="8" t="s">
        <v>1522</v>
      </c>
      <c r="E603" s="8" t="s">
        <v>1527</v>
      </c>
    </row>
    <row r="604" spans="1:5" ht="14.6" x14ac:dyDescent="0.4">
      <c r="A604" s="7" t="s">
        <v>894</v>
      </c>
      <c r="B604" s="4" t="s">
        <v>554</v>
      </c>
      <c r="C604" s="4" t="s">
        <v>52</v>
      </c>
      <c r="D604" s="8" t="s">
        <v>1522</v>
      </c>
      <c r="E604" s="8" t="s">
        <v>1527</v>
      </c>
    </row>
    <row r="605" spans="1:5" ht="14.6" x14ac:dyDescent="0.4">
      <c r="A605" s="7" t="s">
        <v>895</v>
      </c>
      <c r="B605" s="4" t="s">
        <v>105</v>
      </c>
      <c r="C605" s="4" t="s">
        <v>29</v>
      </c>
      <c r="D605" s="8" t="s">
        <v>1520</v>
      </c>
      <c r="E605" s="8" t="s">
        <v>1528</v>
      </c>
    </row>
    <row r="606" spans="1:5" ht="14.6" x14ac:dyDescent="0.4">
      <c r="A606" s="7" t="s">
        <v>896</v>
      </c>
      <c r="B606" s="4" t="s">
        <v>180</v>
      </c>
      <c r="C606" s="4" t="s">
        <v>34</v>
      </c>
      <c r="D606" s="8" t="s">
        <v>1522</v>
      </c>
      <c r="E606" s="8" t="s">
        <v>1527</v>
      </c>
    </row>
    <row r="607" spans="1:5" ht="14.6" x14ac:dyDescent="0.4">
      <c r="A607" s="7" t="s">
        <v>897</v>
      </c>
      <c r="B607" s="4" t="s">
        <v>511</v>
      </c>
      <c r="C607" s="4" t="s">
        <v>29</v>
      </c>
      <c r="D607" s="8" t="s">
        <v>1520</v>
      </c>
      <c r="E607" s="8" t="s">
        <v>1528</v>
      </c>
    </row>
    <row r="608" spans="1:5" ht="14.6" x14ac:dyDescent="0.4">
      <c r="A608" s="7" t="s">
        <v>898</v>
      </c>
      <c r="B608" s="4" t="s">
        <v>38</v>
      </c>
      <c r="C608" s="4" t="s">
        <v>47</v>
      </c>
      <c r="D608" s="8" t="s">
        <v>1520</v>
      </c>
      <c r="E608" s="8" t="s">
        <v>1528</v>
      </c>
    </row>
    <row r="609" spans="1:5" ht="14.6" x14ac:dyDescent="0.4">
      <c r="A609" s="7" t="s">
        <v>899</v>
      </c>
      <c r="B609" s="4" t="s">
        <v>14</v>
      </c>
      <c r="C609" s="4" t="s">
        <v>52</v>
      </c>
      <c r="D609" s="8" t="s">
        <v>1522</v>
      </c>
      <c r="E609" s="8" t="s">
        <v>1527</v>
      </c>
    </row>
    <row r="610" spans="1:5" ht="14.6" x14ac:dyDescent="0.4">
      <c r="A610" s="7" t="s">
        <v>900</v>
      </c>
      <c r="B610" s="4" t="s">
        <v>154</v>
      </c>
      <c r="C610" s="4" t="s">
        <v>15</v>
      </c>
      <c r="D610" s="8" t="s">
        <v>1520</v>
      </c>
      <c r="E610" s="8" t="s">
        <v>1528</v>
      </c>
    </row>
    <row r="611" spans="1:5" ht="14.6" x14ac:dyDescent="0.4">
      <c r="A611" s="7" t="s">
        <v>901</v>
      </c>
      <c r="B611" s="4" t="s">
        <v>724</v>
      </c>
      <c r="C611" s="4" t="s">
        <v>52</v>
      </c>
      <c r="D611" s="8" t="s">
        <v>1520</v>
      </c>
      <c r="E611" s="8" t="s">
        <v>1528</v>
      </c>
    </row>
    <row r="612" spans="1:5" ht="14.6" x14ac:dyDescent="0.4">
      <c r="A612" s="7" t="s">
        <v>902</v>
      </c>
      <c r="B612" s="4" t="s">
        <v>839</v>
      </c>
      <c r="C612" s="4" t="s">
        <v>68</v>
      </c>
      <c r="D612" s="8" t="s">
        <v>1520</v>
      </c>
      <c r="E612" s="8" t="s">
        <v>1528</v>
      </c>
    </row>
    <row r="613" spans="1:5" ht="14.6" x14ac:dyDescent="0.4">
      <c r="A613" s="7" t="s">
        <v>903</v>
      </c>
      <c r="B613" s="4" t="s">
        <v>733</v>
      </c>
      <c r="C613" s="4" t="s">
        <v>6</v>
      </c>
      <c r="D613" s="8" t="s">
        <v>1520</v>
      </c>
      <c r="E613" s="8" t="s">
        <v>1528</v>
      </c>
    </row>
    <row r="614" spans="1:5" ht="14.6" x14ac:dyDescent="0.4">
      <c r="A614" s="7" t="s">
        <v>904</v>
      </c>
      <c r="B614" s="4" t="s">
        <v>291</v>
      </c>
      <c r="C614" s="4" t="s">
        <v>68</v>
      </c>
      <c r="D614" s="8" t="s">
        <v>1522</v>
      </c>
      <c r="E614" s="8" t="s">
        <v>1529</v>
      </c>
    </row>
    <row r="615" spans="1:5" ht="14.6" x14ac:dyDescent="0.4">
      <c r="A615" s="7" t="s">
        <v>905</v>
      </c>
      <c r="B615" s="4" t="s">
        <v>221</v>
      </c>
      <c r="C615" s="4" t="s">
        <v>12</v>
      </c>
      <c r="D615" s="8" t="s">
        <v>1522</v>
      </c>
      <c r="E615" s="8" t="s">
        <v>1529</v>
      </c>
    </row>
    <row r="616" spans="1:5" ht="14.6" x14ac:dyDescent="0.4">
      <c r="A616" s="7" t="s">
        <v>906</v>
      </c>
      <c r="B616" s="4" t="s">
        <v>182</v>
      </c>
      <c r="C616" s="4" t="s">
        <v>65</v>
      </c>
      <c r="D616" s="8" t="s">
        <v>1520</v>
      </c>
      <c r="E616" s="8" t="s">
        <v>1528</v>
      </c>
    </row>
    <row r="617" spans="1:5" ht="14.6" x14ac:dyDescent="0.4">
      <c r="A617" s="7" t="s">
        <v>907</v>
      </c>
      <c r="B617" s="4" t="s">
        <v>133</v>
      </c>
      <c r="C617" s="4" t="s">
        <v>12</v>
      </c>
      <c r="D617" s="8" t="s">
        <v>1522</v>
      </c>
      <c r="E617" s="8" t="s">
        <v>1527</v>
      </c>
    </row>
    <row r="618" spans="1:5" ht="14.6" x14ac:dyDescent="0.4">
      <c r="A618" s="7" t="s">
        <v>908</v>
      </c>
      <c r="B618" s="4" t="s">
        <v>909</v>
      </c>
      <c r="C618" s="4" t="s">
        <v>58</v>
      </c>
      <c r="D618" s="8" t="s">
        <v>1522</v>
      </c>
      <c r="E618" s="8" t="s">
        <v>1529</v>
      </c>
    </row>
    <row r="619" spans="1:5" ht="14.6" x14ac:dyDescent="0.4">
      <c r="A619" s="7" t="s">
        <v>910</v>
      </c>
      <c r="B619" s="4" t="s">
        <v>335</v>
      </c>
      <c r="C619" s="4" t="s">
        <v>24</v>
      </c>
      <c r="D619" s="8" t="s">
        <v>1520</v>
      </c>
      <c r="E619" s="8" t="s">
        <v>1528</v>
      </c>
    </row>
    <row r="620" spans="1:5" ht="14.6" x14ac:dyDescent="0.4">
      <c r="A620" s="7" t="s">
        <v>911</v>
      </c>
      <c r="B620" s="4" t="s">
        <v>545</v>
      </c>
      <c r="C620" s="4" t="s">
        <v>47</v>
      </c>
      <c r="D620" s="8" t="s">
        <v>1520</v>
      </c>
      <c r="E620" s="8" t="s">
        <v>1528</v>
      </c>
    </row>
    <row r="621" spans="1:5" ht="14.6" x14ac:dyDescent="0.4">
      <c r="A621" s="7" t="s">
        <v>912</v>
      </c>
      <c r="B621" s="4" t="s">
        <v>316</v>
      </c>
      <c r="C621" s="4" t="s">
        <v>21</v>
      </c>
      <c r="D621" s="8" t="s">
        <v>1522</v>
      </c>
      <c r="E621" s="8" t="s">
        <v>1530</v>
      </c>
    </row>
    <row r="622" spans="1:5" ht="14.6" x14ac:dyDescent="0.4">
      <c r="A622" s="7" t="s">
        <v>913</v>
      </c>
      <c r="B622" s="4" t="s">
        <v>234</v>
      </c>
      <c r="C622" s="4" t="s">
        <v>55</v>
      </c>
      <c r="D622" s="8" t="s">
        <v>1520</v>
      </c>
      <c r="E622" s="8" t="s">
        <v>1528</v>
      </c>
    </row>
    <row r="623" spans="1:5" ht="14.6" x14ac:dyDescent="0.4">
      <c r="A623" s="7" t="s">
        <v>914</v>
      </c>
      <c r="B623" s="4" t="s">
        <v>879</v>
      </c>
      <c r="C623" s="4" t="s">
        <v>65</v>
      </c>
      <c r="D623" s="8" t="s">
        <v>1520</v>
      </c>
      <c r="E623" s="8" t="s">
        <v>1528</v>
      </c>
    </row>
    <row r="624" spans="1:5" ht="14.6" x14ac:dyDescent="0.4">
      <c r="A624" s="7" t="s">
        <v>915</v>
      </c>
      <c r="B624" s="4" t="s">
        <v>300</v>
      </c>
      <c r="C624" s="4" t="s">
        <v>15</v>
      </c>
      <c r="D624" s="8" t="s">
        <v>1522</v>
      </c>
      <c r="E624" s="8" t="s">
        <v>1530</v>
      </c>
    </row>
    <row r="625" spans="1:5" ht="14.6" x14ac:dyDescent="0.4">
      <c r="A625" s="7" t="s">
        <v>916</v>
      </c>
      <c r="B625" s="4" t="s">
        <v>464</v>
      </c>
      <c r="C625" s="4" t="s">
        <v>21</v>
      </c>
      <c r="D625" s="8" t="s">
        <v>1520</v>
      </c>
      <c r="E625" s="8" t="s">
        <v>1528</v>
      </c>
    </row>
    <row r="626" spans="1:5" ht="14.6" x14ac:dyDescent="0.4">
      <c r="A626" s="7" t="s">
        <v>917</v>
      </c>
      <c r="B626" s="4" t="s">
        <v>645</v>
      </c>
      <c r="C626" s="4" t="s">
        <v>58</v>
      </c>
      <c r="D626" s="8" t="s">
        <v>1522</v>
      </c>
      <c r="E626" s="8" t="s">
        <v>1531</v>
      </c>
    </row>
    <row r="627" spans="1:5" ht="14.6" x14ac:dyDescent="0.4">
      <c r="A627" s="7" t="s">
        <v>918</v>
      </c>
      <c r="B627" s="4" t="s">
        <v>919</v>
      </c>
      <c r="C627" s="4" t="s">
        <v>18</v>
      </c>
      <c r="D627" s="8" t="s">
        <v>1520</v>
      </c>
      <c r="E627" s="8" t="s">
        <v>1528</v>
      </c>
    </row>
    <row r="628" spans="1:5" ht="14.6" x14ac:dyDescent="0.4">
      <c r="A628" s="7" t="s">
        <v>920</v>
      </c>
      <c r="B628" s="4" t="s">
        <v>839</v>
      </c>
      <c r="C628" s="4" t="s">
        <v>9</v>
      </c>
      <c r="D628" s="8" t="s">
        <v>1520</v>
      </c>
      <c r="E628" s="8" t="s">
        <v>1528</v>
      </c>
    </row>
    <row r="629" spans="1:5" ht="14.6" x14ac:dyDescent="0.4">
      <c r="A629" s="7" t="s">
        <v>921</v>
      </c>
      <c r="B629" s="4" t="s">
        <v>839</v>
      </c>
      <c r="C629" s="4" t="s">
        <v>24</v>
      </c>
      <c r="D629" s="8" t="s">
        <v>1520</v>
      </c>
      <c r="E629" s="8" t="s">
        <v>1528</v>
      </c>
    </row>
    <row r="630" spans="1:5" ht="14.6" x14ac:dyDescent="0.4">
      <c r="A630" s="7" t="s">
        <v>922</v>
      </c>
      <c r="B630" s="4" t="s">
        <v>919</v>
      </c>
      <c r="C630" s="4" t="s">
        <v>68</v>
      </c>
      <c r="D630" s="8" t="s">
        <v>1520</v>
      </c>
      <c r="E630" s="8" t="s">
        <v>1528</v>
      </c>
    </row>
    <row r="631" spans="1:5" ht="14.6" x14ac:dyDescent="0.4">
      <c r="A631" s="7" t="s">
        <v>923</v>
      </c>
      <c r="B631" s="4" t="s">
        <v>795</v>
      </c>
      <c r="C631" s="4" t="s">
        <v>58</v>
      </c>
      <c r="D631" s="8" t="s">
        <v>1520</v>
      </c>
      <c r="E631" s="8" t="s">
        <v>1528</v>
      </c>
    </row>
    <row r="632" spans="1:5" ht="14.6" x14ac:dyDescent="0.4">
      <c r="A632" s="7" t="s">
        <v>924</v>
      </c>
      <c r="B632" s="4" t="s">
        <v>694</v>
      </c>
      <c r="C632" s="4" t="s">
        <v>29</v>
      </c>
      <c r="D632" s="8" t="s">
        <v>1520</v>
      </c>
      <c r="E632" s="8" t="s">
        <v>1528</v>
      </c>
    </row>
    <row r="633" spans="1:5" ht="14.6" x14ac:dyDescent="0.4">
      <c r="A633" s="7" t="s">
        <v>925</v>
      </c>
      <c r="B633" s="4" t="s">
        <v>682</v>
      </c>
      <c r="C633" s="4" t="s">
        <v>15</v>
      </c>
      <c r="D633" s="8" t="s">
        <v>1522</v>
      </c>
      <c r="E633" s="8" t="s">
        <v>1527</v>
      </c>
    </row>
    <row r="634" spans="1:5" ht="14.6" x14ac:dyDescent="0.4">
      <c r="A634" s="7" t="s">
        <v>926</v>
      </c>
      <c r="B634" s="4" t="s">
        <v>927</v>
      </c>
      <c r="C634" s="4" t="s">
        <v>65</v>
      </c>
      <c r="D634" s="8" t="s">
        <v>1522</v>
      </c>
      <c r="E634" s="8" t="s">
        <v>1532</v>
      </c>
    </row>
    <row r="635" spans="1:5" ht="14.6" x14ac:dyDescent="0.4">
      <c r="A635" s="7" t="s">
        <v>928</v>
      </c>
      <c r="B635" s="4" t="s">
        <v>354</v>
      </c>
      <c r="C635" s="4" t="s">
        <v>65</v>
      </c>
      <c r="D635" s="8" t="s">
        <v>1520</v>
      </c>
      <c r="E635" s="8" t="s">
        <v>1528</v>
      </c>
    </row>
    <row r="636" spans="1:5" ht="14.6" x14ac:dyDescent="0.4">
      <c r="A636" s="7" t="s">
        <v>929</v>
      </c>
      <c r="B636" s="4" t="s">
        <v>67</v>
      </c>
      <c r="C636" s="4" t="s">
        <v>52</v>
      </c>
      <c r="D636" s="8" t="s">
        <v>1522</v>
      </c>
      <c r="E636" s="8" t="s">
        <v>1523</v>
      </c>
    </row>
    <row r="637" spans="1:5" ht="14.6" x14ac:dyDescent="0.4">
      <c r="A637" s="7" t="s">
        <v>930</v>
      </c>
      <c r="B637" s="4" t="s">
        <v>406</v>
      </c>
      <c r="C637" s="4" t="s">
        <v>6</v>
      </c>
      <c r="D637" s="8" t="s">
        <v>1522</v>
      </c>
      <c r="E637" s="8" t="s">
        <v>1525</v>
      </c>
    </row>
    <row r="638" spans="1:5" ht="14.6" x14ac:dyDescent="0.4">
      <c r="A638" s="7" t="s">
        <v>931</v>
      </c>
      <c r="B638" s="4" t="s">
        <v>545</v>
      </c>
      <c r="C638" s="4" t="s">
        <v>52</v>
      </c>
      <c r="D638" s="8" t="s">
        <v>1520</v>
      </c>
      <c r="E638" s="8" t="s">
        <v>1528</v>
      </c>
    </row>
    <row r="639" spans="1:5" ht="14.6" x14ac:dyDescent="0.4">
      <c r="A639" s="7" t="s">
        <v>932</v>
      </c>
      <c r="B639" s="4" t="s">
        <v>490</v>
      </c>
      <c r="C639" s="4" t="s">
        <v>47</v>
      </c>
      <c r="D639" s="8" t="s">
        <v>1520</v>
      </c>
      <c r="E639" s="8" t="s">
        <v>1528</v>
      </c>
    </row>
    <row r="640" spans="1:5" ht="14.6" x14ac:dyDescent="0.4">
      <c r="A640" s="7" t="s">
        <v>933</v>
      </c>
      <c r="B640" s="4" t="s">
        <v>11</v>
      </c>
      <c r="C640" s="4" t="s">
        <v>15</v>
      </c>
      <c r="D640" s="8" t="s">
        <v>1520</v>
      </c>
      <c r="E640" s="8" t="s">
        <v>1528</v>
      </c>
    </row>
    <row r="641" spans="1:5" ht="14.6" x14ac:dyDescent="0.4">
      <c r="A641" s="7" t="s">
        <v>934</v>
      </c>
      <c r="B641" s="4" t="s">
        <v>701</v>
      </c>
      <c r="C641" s="4" t="s">
        <v>47</v>
      </c>
      <c r="D641" s="8" t="s">
        <v>1522</v>
      </c>
      <c r="E641" s="8" t="s">
        <v>1523</v>
      </c>
    </row>
    <row r="642" spans="1:5" ht="14.6" x14ac:dyDescent="0.4">
      <c r="A642" s="7" t="s">
        <v>935</v>
      </c>
      <c r="B642" s="4" t="s">
        <v>70</v>
      </c>
      <c r="C642" s="4" t="s">
        <v>58</v>
      </c>
      <c r="D642" s="8" t="s">
        <v>1520</v>
      </c>
      <c r="E642" s="8" t="s">
        <v>1528</v>
      </c>
    </row>
    <row r="643" spans="1:5" ht="14.6" x14ac:dyDescent="0.4">
      <c r="A643" s="7" t="s">
        <v>936</v>
      </c>
      <c r="B643" s="4" t="s">
        <v>485</v>
      </c>
      <c r="C643" s="4" t="s">
        <v>55</v>
      </c>
      <c r="D643" s="8" t="s">
        <v>1520</v>
      </c>
      <c r="E643" s="8" t="s">
        <v>1528</v>
      </c>
    </row>
    <row r="644" spans="1:5" ht="14.6" x14ac:dyDescent="0.4">
      <c r="A644" s="7" t="s">
        <v>937</v>
      </c>
      <c r="B644" s="4" t="s">
        <v>938</v>
      </c>
      <c r="C644" s="4" t="s">
        <v>34</v>
      </c>
      <c r="D644" s="8" t="s">
        <v>1520</v>
      </c>
      <c r="E644" s="8" t="s">
        <v>1528</v>
      </c>
    </row>
    <row r="645" spans="1:5" ht="14.6" x14ac:dyDescent="0.4">
      <c r="A645" s="7" t="s">
        <v>939</v>
      </c>
      <c r="B645" s="4" t="s">
        <v>8</v>
      </c>
      <c r="C645" s="4" t="s">
        <v>34</v>
      </c>
      <c r="D645" s="8" t="s">
        <v>1522</v>
      </c>
      <c r="E645" s="8" t="s">
        <v>1532</v>
      </c>
    </row>
    <row r="646" spans="1:5" ht="14.6" x14ac:dyDescent="0.4">
      <c r="A646" s="7" t="s">
        <v>940</v>
      </c>
      <c r="B646" s="4" t="s">
        <v>444</v>
      </c>
      <c r="C646" s="4" t="s">
        <v>58</v>
      </c>
      <c r="D646" s="8" t="s">
        <v>1522</v>
      </c>
      <c r="E646" s="8" t="s">
        <v>1525</v>
      </c>
    </row>
    <row r="647" spans="1:5" ht="14.6" x14ac:dyDescent="0.4">
      <c r="A647" s="7" t="s">
        <v>941</v>
      </c>
      <c r="B647" s="4" t="s">
        <v>282</v>
      </c>
      <c r="C647" s="4" t="s">
        <v>12</v>
      </c>
      <c r="D647" s="8" t="s">
        <v>1522</v>
      </c>
      <c r="E647" s="8" t="s">
        <v>1525</v>
      </c>
    </row>
    <row r="648" spans="1:5" ht="14.6" x14ac:dyDescent="0.4">
      <c r="A648" s="7" t="s">
        <v>942</v>
      </c>
      <c r="B648" s="4" t="s">
        <v>747</v>
      </c>
      <c r="C648" s="4" t="s">
        <v>47</v>
      </c>
      <c r="D648" s="8" t="s">
        <v>1520</v>
      </c>
      <c r="E648" s="8" t="s">
        <v>1528</v>
      </c>
    </row>
    <row r="649" spans="1:5" ht="14.6" x14ac:dyDescent="0.4">
      <c r="A649" s="7" t="s">
        <v>943</v>
      </c>
      <c r="B649" s="4" t="s">
        <v>944</v>
      </c>
      <c r="C649" s="4" t="s">
        <v>55</v>
      </c>
      <c r="D649" s="8" t="s">
        <v>1522</v>
      </c>
      <c r="E649" s="8" t="s">
        <v>1525</v>
      </c>
    </row>
    <row r="650" spans="1:5" ht="14.6" x14ac:dyDescent="0.4">
      <c r="A650" s="7" t="s">
        <v>945</v>
      </c>
      <c r="B650" s="4" t="s">
        <v>286</v>
      </c>
      <c r="C650" s="4" t="s">
        <v>34</v>
      </c>
      <c r="D650" s="8" t="s">
        <v>1522</v>
      </c>
      <c r="E650" s="8" t="s">
        <v>1523</v>
      </c>
    </row>
    <row r="651" spans="1:5" ht="14.6" x14ac:dyDescent="0.4">
      <c r="A651" s="7" t="s">
        <v>946</v>
      </c>
      <c r="B651" s="4" t="s">
        <v>93</v>
      </c>
      <c r="C651" s="4" t="s">
        <v>12</v>
      </c>
      <c r="D651" s="8" t="s">
        <v>1522</v>
      </c>
      <c r="E651" s="8" t="s">
        <v>1526</v>
      </c>
    </row>
    <row r="652" spans="1:5" ht="14.6" x14ac:dyDescent="0.4">
      <c r="A652" s="7" t="s">
        <v>947</v>
      </c>
      <c r="B652" s="4" t="s">
        <v>116</v>
      </c>
      <c r="C652" s="4" t="s">
        <v>15</v>
      </c>
      <c r="D652" s="8" t="s">
        <v>1520</v>
      </c>
      <c r="E652" s="8" t="s">
        <v>1528</v>
      </c>
    </row>
    <row r="653" spans="1:5" ht="14.6" x14ac:dyDescent="0.4">
      <c r="A653" s="7" t="s">
        <v>948</v>
      </c>
      <c r="B653" s="4" t="s">
        <v>259</v>
      </c>
      <c r="C653" s="4" t="s">
        <v>18</v>
      </c>
      <c r="D653" s="8" t="s">
        <v>1520</v>
      </c>
      <c r="E653" s="8" t="s">
        <v>1528</v>
      </c>
    </row>
    <row r="654" spans="1:5" ht="14.6" x14ac:dyDescent="0.4">
      <c r="A654" s="7" t="s">
        <v>949</v>
      </c>
      <c r="B654" s="4" t="s">
        <v>892</v>
      </c>
      <c r="C654" s="4" t="s">
        <v>29</v>
      </c>
      <c r="D654" s="8" t="s">
        <v>1520</v>
      </c>
      <c r="E654" s="8" t="s">
        <v>1528</v>
      </c>
    </row>
    <row r="655" spans="1:5" ht="14.6" x14ac:dyDescent="0.4">
      <c r="A655" s="7" t="s">
        <v>950</v>
      </c>
      <c r="B655" s="4" t="s">
        <v>276</v>
      </c>
      <c r="C655" s="4" t="s">
        <v>15</v>
      </c>
      <c r="D655" s="8" t="s">
        <v>1520</v>
      </c>
      <c r="E655" s="8" t="s">
        <v>1528</v>
      </c>
    </row>
    <row r="656" spans="1:5" ht="14.6" x14ac:dyDescent="0.4">
      <c r="A656" s="7" t="s">
        <v>951</v>
      </c>
      <c r="B656" s="4" t="s">
        <v>879</v>
      </c>
      <c r="C656" s="4" t="s">
        <v>68</v>
      </c>
      <c r="D656" s="8" t="s">
        <v>1522</v>
      </c>
      <c r="E656" s="8" t="s">
        <v>1523</v>
      </c>
    </row>
    <row r="657" spans="1:5" ht="14.6" x14ac:dyDescent="0.4">
      <c r="A657" s="7" t="s">
        <v>952</v>
      </c>
      <c r="B657" s="4" t="s">
        <v>141</v>
      </c>
      <c r="C657" s="4" t="s">
        <v>18</v>
      </c>
      <c r="D657" s="8" t="s">
        <v>1520</v>
      </c>
      <c r="E657" s="8" t="s">
        <v>1528</v>
      </c>
    </row>
    <row r="658" spans="1:5" ht="14.6" x14ac:dyDescent="0.4">
      <c r="A658" s="7" t="s">
        <v>953</v>
      </c>
      <c r="B658" s="4" t="s">
        <v>296</v>
      </c>
      <c r="C658" s="4" t="s">
        <v>65</v>
      </c>
      <c r="D658" s="8" t="s">
        <v>1522</v>
      </c>
      <c r="E658" s="8" t="s">
        <v>1523</v>
      </c>
    </row>
    <row r="659" spans="1:5" ht="14.6" x14ac:dyDescent="0.4">
      <c r="A659" s="7" t="s">
        <v>954</v>
      </c>
      <c r="B659" s="4" t="s">
        <v>955</v>
      </c>
      <c r="C659" s="4" t="s">
        <v>15</v>
      </c>
      <c r="D659" s="8" t="s">
        <v>1520</v>
      </c>
      <c r="E659" s="8" t="s">
        <v>1528</v>
      </c>
    </row>
    <row r="660" spans="1:5" ht="14.6" x14ac:dyDescent="0.4">
      <c r="A660" s="7" t="s">
        <v>956</v>
      </c>
      <c r="B660" s="4" t="s">
        <v>14</v>
      </c>
      <c r="C660" s="4" t="s">
        <v>58</v>
      </c>
      <c r="D660" s="8" t="s">
        <v>1522</v>
      </c>
      <c r="E660" s="8" t="s">
        <v>1525</v>
      </c>
    </row>
    <row r="661" spans="1:5" ht="14.6" x14ac:dyDescent="0.4">
      <c r="A661" s="7" t="s">
        <v>957</v>
      </c>
      <c r="B661" s="4" t="s">
        <v>881</v>
      </c>
      <c r="C661" s="4" t="s">
        <v>24</v>
      </c>
      <c r="D661" s="8" t="s">
        <v>1520</v>
      </c>
      <c r="E661" s="8" t="s">
        <v>1528</v>
      </c>
    </row>
    <row r="662" spans="1:5" ht="14.6" x14ac:dyDescent="0.4">
      <c r="A662" s="7" t="s">
        <v>958</v>
      </c>
      <c r="B662" s="4" t="s">
        <v>259</v>
      </c>
      <c r="C662" s="4" t="s">
        <v>21</v>
      </c>
      <c r="D662" s="8" t="s">
        <v>1520</v>
      </c>
      <c r="E662" s="8" t="s">
        <v>1528</v>
      </c>
    </row>
    <row r="663" spans="1:5" ht="14.6" x14ac:dyDescent="0.4">
      <c r="A663" s="7" t="s">
        <v>959</v>
      </c>
      <c r="B663" s="4" t="s">
        <v>960</v>
      </c>
      <c r="C663" s="4" t="s">
        <v>52</v>
      </c>
      <c r="D663" s="8" t="s">
        <v>1522</v>
      </c>
      <c r="E663" s="8" t="s">
        <v>1527</v>
      </c>
    </row>
    <row r="664" spans="1:5" ht="14.6" x14ac:dyDescent="0.4">
      <c r="A664" s="7" t="s">
        <v>961</v>
      </c>
      <c r="B664" s="4" t="s">
        <v>601</v>
      </c>
      <c r="C664" s="4" t="s">
        <v>65</v>
      </c>
      <c r="D664" s="8" t="s">
        <v>1520</v>
      </c>
      <c r="E664" s="8" t="s">
        <v>1528</v>
      </c>
    </row>
    <row r="665" spans="1:5" ht="14.6" x14ac:dyDescent="0.4">
      <c r="A665" s="7" t="s">
        <v>962</v>
      </c>
      <c r="B665" s="4" t="s">
        <v>54</v>
      </c>
      <c r="C665" s="4" t="s">
        <v>52</v>
      </c>
      <c r="D665" s="8" t="s">
        <v>1522</v>
      </c>
      <c r="E665" s="8" t="s">
        <v>1523</v>
      </c>
    </row>
    <row r="666" spans="1:5" ht="14.6" x14ac:dyDescent="0.4">
      <c r="A666" s="7" t="s">
        <v>963</v>
      </c>
      <c r="B666" s="4" t="s">
        <v>637</v>
      </c>
      <c r="C666" s="4" t="s">
        <v>15</v>
      </c>
      <c r="D666" s="8" t="s">
        <v>1522</v>
      </c>
      <c r="E666" s="8" t="s">
        <v>1525</v>
      </c>
    </row>
    <row r="667" spans="1:5" ht="14.6" x14ac:dyDescent="0.4">
      <c r="A667" s="7" t="s">
        <v>964</v>
      </c>
      <c r="B667" s="4" t="s">
        <v>428</v>
      </c>
      <c r="C667" s="4" t="s">
        <v>6</v>
      </c>
      <c r="D667" s="8" t="s">
        <v>1520</v>
      </c>
      <c r="E667" s="8" t="s">
        <v>1528</v>
      </c>
    </row>
    <row r="668" spans="1:5" ht="14.6" x14ac:dyDescent="0.4">
      <c r="A668" s="7" t="s">
        <v>965</v>
      </c>
      <c r="B668" s="4" t="s">
        <v>126</v>
      </c>
      <c r="C668" s="4" t="s">
        <v>21</v>
      </c>
      <c r="D668" s="8" t="s">
        <v>1520</v>
      </c>
      <c r="E668" s="8" t="s">
        <v>1528</v>
      </c>
    </row>
    <row r="669" spans="1:5" ht="14.6" x14ac:dyDescent="0.4">
      <c r="A669" s="7" t="s">
        <v>966</v>
      </c>
      <c r="B669" s="4" t="s">
        <v>795</v>
      </c>
      <c r="C669" s="4" t="s">
        <v>55</v>
      </c>
      <c r="D669" s="8" t="s">
        <v>1520</v>
      </c>
      <c r="E669" s="8" t="s">
        <v>1528</v>
      </c>
    </row>
    <row r="670" spans="1:5" ht="14.6" x14ac:dyDescent="0.4">
      <c r="A670" s="7" t="s">
        <v>967</v>
      </c>
      <c r="B670" s="4" t="s">
        <v>252</v>
      </c>
      <c r="C670" s="4" t="s">
        <v>55</v>
      </c>
      <c r="D670" s="8" t="s">
        <v>1522</v>
      </c>
      <c r="E670" s="8" t="s">
        <v>1523</v>
      </c>
    </row>
    <row r="671" spans="1:5" ht="14.6" x14ac:dyDescent="0.4">
      <c r="A671" s="7" t="s">
        <v>968</v>
      </c>
      <c r="B671" s="4" t="s">
        <v>661</v>
      </c>
      <c r="C671" s="4" t="s">
        <v>9</v>
      </c>
      <c r="D671" s="8" t="s">
        <v>1522</v>
      </c>
      <c r="E671" s="8" t="s">
        <v>1527</v>
      </c>
    </row>
    <row r="672" spans="1:5" ht="14.6" x14ac:dyDescent="0.4">
      <c r="A672" s="7" t="s">
        <v>969</v>
      </c>
      <c r="B672" s="4" t="s">
        <v>57</v>
      </c>
      <c r="C672" s="4" t="s">
        <v>18</v>
      </c>
      <c r="D672" s="8" t="s">
        <v>1520</v>
      </c>
      <c r="E672" s="8" t="s">
        <v>1528</v>
      </c>
    </row>
    <row r="673" spans="1:5" ht="14.6" x14ac:dyDescent="0.4">
      <c r="A673" s="7" t="s">
        <v>970</v>
      </c>
      <c r="B673" s="4" t="s">
        <v>682</v>
      </c>
      <c r="C673" s="4" t="s">
        <v>24</v>
      </c>
      <c r="D673" s="8" t="s">
        <v>1522</v>
      </c>
      <c r="E673" s="8" t="s">
        <v>1523</v>
      </c>
    </row>
    <row r="674" spans="1:5" ht="14.6" x14ac:dyDescent="0.4">
      <c r="A674" s="7" t="s">
        <v>971</v>
      </c>
      <c r="B674" s="4" t="s">
        <v>822</v>
      </c>
      <c r="C674" s="4" t="s">
        <v>24</v>
      </c>
      <c r="D674" s="8" t="s">
        <v>1522</v>
      </c>
      <c r="E674" s="8" t="s">
        <v>1527</v>
      </c>
    </row>
    <row r="675" spans="1:5" ht="14.6" x14ac:dyDescent="0.4">
      <c r="A675" s="7" t="s">
        <v>972</v>
      </c>
      <c r="B675" s="4" t="s">
        <v>973</v>
      </c>
      <c r="C675" s="4" t="s">
        <v>55</v>
      </c>
      <c r="D675" s="8" t="s">
        <v>1522</v>
      </c>
      <c r="E675" s="8" t="s">
        <v>1523</v>
      </c>
    </row>
    <row r="676" spans="1:5" ht="14.6" x14ac:dyDescent="0.4">
      <c r="A676" s="7" t="s">
        <v>974</v>
      </c>
      <c r="B676" s="4" t="s">
        <v>259</v>
      </c>
      <c r="C676" s="4" t="s">
        <v>6</v>
      </c>
      <c r="D676" s="8" t="s">
        <v>1520</v>
      </c>
      <c r="E676" s="8" t="s">
        <v>1528</v>
      </c>
    </row>
    <row r="677" spans="1:5" ht="14.6" x14ac:dyDescent="0.4">
      <c r="A677" s="7" t="s">
        <v>975</v>
      </c>
      <c r="B677" s="4" t="s">
        <v>171</v>
      </c>
      <c r="C677" s="4" t="s">
        <v>18</v>
      </c>
      <c r="D677" s="8" t="s">
        <v>1522</v>
      </c>
      <c r="E677" s="8" t="s">
        <v>1527</v>
      </c>
    </row>
    <row r="678" spans="1:5" ht="14.6" x14ac:dyDescent="0.4">
      <c r="A678" s="7" t="s">
        <v>976</v>
      </c>
      <c r="B678" s="4" t="s">
        <v>8</v>
      </c>
      <c r="C678" s="4" t="s">
        <v>52</v>
      </c>
      <c r="D678" s="8" t="s">
        <v>1520</v>
      </c>
      <c r="E678" s="8" t="s">
        <v>1528</v>
      </c>
    </row>
    <row r="679" spans="1:5" ht="14.6" x14ac:dyDescent="0.4">
      <c r="A679" s="7" t="s">
        <v>977</v>
      </c>
      <c r="B679" s="4" t="s">
        <v>978</v>
      </c>
      <c r="C679" s="4" t="s">
        <v>58</v>
      </c>
      <c r="D679" s="8" t="s">
        <v>1522</v>
      </c>
      <c r="E679" s="8" t="s">
        <v>1527</v>
      </c>
    </row>
    <row r="680" spans="1:5" ht="14.6" x14ac:dyDescent="0.4">
      <c r="A680" s="7" t="s">
        <v>979</v>
      </c>
      <c r="B680" s="4" t="s">
        <v>490</v>
      </c>
      <c r="C680" s="4" t="s">
        <v>68</v>
      </c>
      <c r="D680" s="8" t="s">
        <v>1520</v>
      </c>
      <c r="E680" s="8" t="s">
        <v>1528</v>
      </c>
    </row>
    <row r="681" spans="1:5" ht="14.6" x14ac:dyDescent="0.4">
      <c r="A681" s="7" t="s">
        <v>980</v>
      </c>
      <c r="B681" s="4" t="s">
        <v>391</v>
      </c>
      <c r="C681" s="4" t="s">
        <v>47</v>
      </c>
      <c r="D681" s="8" t="s">
        <v>1522</v>
      </c>
      <c r="E681" s="8" t="s">
        <v>1525</v>
      </c>
    </row>
    <row r="682" spans="1:5" ht="14.6" x14ac:dyDescent="0.4">
      <c r="A682" s="7" t="s">
        <v>981</v>
      </c>
      <c r="B682" s="4" t="s">
        <v>573</v>
      </c>
      <c r="C682" s="4" t="s">
        <v>9</v>
      </c>
      <c r="D682" s="8" t="s">
        <v>1522</v>
      </c>
      <c r="E682" s="8" t="s">
        <v>1523</v>
      </c>
    </row>
    <row r="683" spans="1:5" ht="14.6" x14ac:dyDescent="0.4">
      <c r="A683" s="7" t="s">
        <v>982</v>
      </c>
      <c r="B683" s="4" t="s">
        <v>351</v>
      </c>
      <c r="C683" s="4" t="s">
        <v>65</v>
      </c>
      <c r="D683" s="8" t="s">
        <v>1520</v>
      </c>
      <c r="E683" s="8" t="s">
        <v>1528</v>
      </c>
    </row>
    <row r="684" spans="1:5" ht="14.6" x14ac:dyDescent="0.4">
      <c r="A684" s="7" t="s">
        <v>983</v>
      </c>
      <c r="B684" s="4" t="s">
        <v>211</v>
      </c>
      <c r="C684" s="4" t="s">
        <v>58</v>
      </c>
      <c r="D684" s="8" t="s">
        <v>1520</v>
      </c>
      <c r="E684" s="8" t="s">
        <v>1528</v>
      </c>
    </row>
    <row r="685" spans="1:5" ht="14.6" x14ac:dyDescent="0.4">
      <c r="A685" s="7" t="s">
        <v>984</v>
      </c>
      <c r="B685" s="4" t="s">
        <v>542</v>
      </c>
      <c r="C685" s="4" t="s">
        <v>58</v>
      </c>
      <c r="D685" s="8" t="s">
        <v>1520</v>
      </c>
      <c r="E685" s="8" t="s">
        <v>1528</v>
      </c>
    </row>
    <row r="686" spans="1:5" ht="14.6" x14ac:dyDescent="0.4">
      <c r="A686" s="7" t="s">
        <v>985</v>
      </c>
      <c r="B686" s="4" t="s">
        <v>369</v>
      </c>
      <c r="C686" s="4" t="s">
        <v>21</v>
      </c>
      <c r="D686" s="8" t="s">
        <v>1520</v>
      </c>
      <c r="E686" s="8" t="s">
        <v>1528</v>
      </c>
    </row>
    <row r="687" spans="1:5" ht="14.6" x14ac:dyDescent="0.4">
      <c r="A687" s="7" t="s">
        <v>986</v>
      </c>
      <c r="B687" s="4" t="s">
        <v>554</v>
      </c>
      <c r="C687" s="4" t="s">
        <v>18</v>
      </c>
      <c r="D687" s="8" t="s">
        <v>1520</v>
      </c>
      <c r="E687" s="8" t="s">
        <v>1528</v>
      </c>
    </row>
    <row r="688" spans="1:5" ht="14.6" x14ac:dyDescent="0.4">
      <c r="A688" s="7" t="s">
        <v>987</v>
      </c>
      <c r="B688" s="4" t="s">
        <v>675</v>
      </c>
      <c r="C688" s="4" t="s">
        <v>9</v>
      </c>
      <c r="D688" s="8" t="s">
        <v>1522</v>
      </c>
      <c r="E688" s="8" t="s">
        <v>1527</v>
      </c>
    </row>
    <row r="689" spans="1:5" ht="14.6" x14ac:dyDescent="0.4">
      <c r="A689" s="7" t="s">
        <v>988</v>
      </c>
      <c r="B689" s="4" t="s">
        <v>383</v>
      </c>
      <c r="C689" s="4" t="s">
        <v>18</v>
      </c>
      <c r="D689" s="8" t="s">
        <v>1520</v>
      </c>
      <c r="E689" s="8" t="s">
        <v>1528</v>
      </c>
    </row>
    <row r="690" spans="1:5" ht="14.6" x14ac:dyDescent="0.4">
      <c r="A690" s="7" t="s">
        <v>989</v>
      </c>
      <c r="B690" s="4" t="s">
        <v>311</v>
      </c>
      <c r="C690" s="4" t="s">
        <v>29</v>
      </c>
      <c r="D690" s="8" t="s">
        <v>1520</v>
      </c>
      <c r="E690" s="8" t="s">
        <v>1528</v>
      </c>
    </row>
    <row r="691" spans="1:5" ht="14.6" x14ac:dyDescent="0.4">
      <c r="A691" s="7" t="s">
        <v>990</v>
      </c>
      <c r="B691" s="4" t="s">
        <v>699</v>
      </c>
      <c r="C691" s="4" t="s">
        <v>12</v>
      </c>
      <c r="D691" s="8" t="s">
        <v>1520</v>
      </c>
      <c r="E691" s="8" t="s">
        <v>1528</v>
      </c>
    </row>
    <row r="692" spans="1:5" ht="14.6" x14ac:dyDescent="0.4">
      <c r="A692" s="7" t="s">
        <v>991</v>
      </c>
      <c r="B692" s="4" t="s">
        <v>992</v>
      </c>
      <c r="C692" s="4" t="s">
        <v>34</v>
      </c>
      <c r="D692" s="8" t="s">
        <v>1520</v>
      </c>
      <c r="E692" s="8" t="s">
        <v>1528</v>
      </c>
    </row>
    <row r="693" spans="1:5" ht="14.6" x14ac:dyDescent="0.4">
      <c r="A693" s="7" t="s">
        <v>993</v>
      </c>
      <c r="B693" s="4" t="s">
        <v>135</v>
      </c>
      <c r="C693" s="4" t="s">
        <v>18</v>
      </c>
      <c r="D693" s="8" t="s">
        <v>1520</v>
      </c>
      <c r="E693" s="8" t="s">
        <v>1528</v>
      </c>
    </row>
    <row r="694" spans="1:5" ht="14.6" x14ac:dyDescent="0.4">
      <c r="A694" s="7" t="s">
        <v>994</v>
      </c>
      <c r="B694" s="4" t="s">
        <v>809</v>
      </c>
      <c r="C694" s="4" t="s">
        <v>12</v>
      </c>
      <c r="D694" s="8" t="s">
        <v>1522</v>
      </c>
      <c r="E694" s="8" t="s">
        <v>1529</v>
      </c>
    </row>
    <row r="695" spans="1:5" ht="14.6" x14ac:dyDescent="0.4">
      <c r="A695" s="7" t="s">
        <v>995</v>
      </c>
      <c r="B695" s="4" t="s">
        <v>567</v>
      </c>
      <c r="C695" s="4" t="s">
        <v>55</v>
      </c>
      <c r="D695" s="8" t="s">
        <v>1522</v>
      </c>
      <c r="E695" s="8" t="s">
        <v>1529</v>
      </c>
    </row>
    <row r="696" spans="1:5" ht="14.6" x14ac:dyDescent="0.4">
      <c r="A696" s="7" t="s">
        <v>996</v>
      </c>
      <c r="B696" s="4" t="s">
        <v>997</v>
      </c>
      <c r="C696" s="4" t="s">
        <v>6</v>
      </c>
      <c r="D696" s="8" t="s">
        <v>1520</v>
      </c>
      <c r="E696" s="8" t="s">
        <v>1528</v>
      </c>
    </row>
    <row r="697" spans="1:5" ht="14.6" x14ac:dyDescent="0.4">
      <c r="A697" s="7" t="s">
        <v>998</v>
      </c>
      <c r="B697" s="4" t="s">
        <v>374</v>
      </c>
      <c r="C697" s="4" t="s">
        <v>29</v>
      </c>
      <c r="D697" s="8" t="s">
        <v>1520</v>
      </c>
      <c r="E697" s="8" t="s">
        <v>1528</v>
      </c>
    </row>
    <row r="698" spans="1:5" ht="14.6" x14ac:dyDescent="0.4">
      <c r="A698" s="7" t="s">
        <v>999</v>
      </c>
      <c r="B698" s="4" t="s">
        <v>409</v>
      </c>
      <c r="C698" s="4" t="s">
        <v>58</v>
      </c>
      <c r="D698" s="8" t="s">
        <v>1522</v>
      </c>
      <c r="E698" s="8" t="s">
        <v>1527</v>
      </c>
    </row>
    <row r="699" spans="1:5" ht="14.6" x14ac:dyDescent="0.4">
      <c r="A699" s="7" t="s">
        <v>1000</v>
      </c>
      <c r="B699" s="4" t="s">
        <v>456</v>
      </c>
      <c r="C699" s="4" t="s">
        <v>58</v>
      </c>
      <c r="D699" s="8" t="s">
        <v>1522</v>
      </c>
      <c r="E699" s="8" t="s">
        <v>1529</v>
      </c>
    </row>
    <row r="700" spans="1:5" ht="14.6" x14ac:dyDescent="0.4">
      <c r="A700" s="7" t="s">
        <v>1001</v>
      </c>
      <c r="B700" s="4" t="s">
        <v>345</v>
      </c>
      <c r="C700" s="4" t="s">
        <v>15</v>
      </c>
      <c r="D700" s="8" t="s">
        <v>1520</v>
      </c>
      <c r="E700" s="8" t="s">
        <v>1528</v>
      </c>
    </row>
    <row r="701" spans="1:5" ht="14.6" x14ac:dyDescent="0.4">
      <c r="A701" s="7" t="s">
        <v>1002</v>
      </c>
      <c r="B701" s="4" t="s">
        <v>204</v>
      </c>
      <c r="C701" s="4" t="s">
        <v>55</v>
      </c>
      <c r="D701" s="8" t="s">
        <v>1522</v>
      </c>
      <c r="E701" s="8" t="s">
        <v>1530</v>
      </c>
    </row>
    <row r="702" spans="1:5" ht="14.6" x14ac:dyDescent="0.4">
      <c r="A702" s="7" t="s">
        <v>1003</v>
      </c>
      <c r="B702" s="4" t="s">
        <v>60</v>
      </c>
      <c r="C702" s="4" t="s">
        <v>21</v>
      </c>
      <c r="D702" s="8" t="s">
        <v>1520</v>
      </c>
      <c r="E702" s="8" t="s">
        <v>1528</v>
      </c>
    </row>
    <row r="703" spans="1:5" ht="14.6" x14ac:dyDescent="0.4">
      <c r="A703" s="7" t="s">
        <v>1004</v>
      </c>
      <c r="B703" s="4" t="s">
        <v>60</v>
      </c>
      <c r="C703" s="4" t="s">
        <v>58</v>
      </c>
      <c r="D703" s="8" t="s">
        <v>1520</v>
      </c>
      <c r="E703" s="8" t="s">
        <v>1528</v>
      </c>
    </row>
    <row r="704" spans="1:5" ht="14.6" x14ac:dyDescent="0.4">
      <c r="A704" s="7" t="s">
        <v>1005</v>
      </c>
      <c r="B704" s="4" t="s">
        <v>62</v>
      </c>
      <c r="C704" s="4" t="s">
        <v>18</v>
      </c>
      <c r="D704" s="8" t="s">
        <v>1520</v>
      </c>
      <c r="E704" s="8" t="s">
        <v>1528</v>
      </c>
    </row>
    <row r="705" spans="1:5" ht="14.6" x14ac:dyDescent="0.4">
      <c r="A705" s="7" t="s">
        <v>1006</v>
      </c>
      <c r="B705" s="4" t="s">
        <v>578</v>
      </c>
      <c r="C705" s="4" t="s">
        <v>52</v>
      </c>
      <c r="D705" s="8" t="s">
        <v>1522</v>
      </c>
      <c r="E705" s="8" t="s">
        <v>1530</v>
      </c>
    </row>
    <row r="706" spans="1:5" ht="14.6" x14ac:dyDescent="0.4">
      <c r="A706" s="7" t="s">
        <v>1007</v>
      </c>
      <c r="B706" s="4" t="s">
        <v>973</v>
      </c>
      <c r="C706" s="4" t="s">
        <v>68</v>
      </c>
      <c r="D706" s="8" t="s">
        <v>1520</v>
      </c>
      <c r="E706" s="8" t="s">
        <v>1528</v>
      </c>
    </row>
    <row r="707" spans="1:5" ht="14.6" x14ac:dyDescent="0.4">
      <c r="A707" s="7" t="s">
        <v>1008</v>
      </c>
      <c r="B707" s="4" t="s">
        <v>40</v>
      </c>
      <c r="C707" s="4" t="s">
        <v>65</v>
      </c>
      <c r="D707" s="8" t="s">
        <v>1520</v>
      </c>
      <c r="E707" s="8" t="s">
        <v>1528</v>
      </c>
    </row>
    <row r="708" spans="1:5" ht="14.6" x14ac:dyDescent="0.4">
      <c r="A708" s="7" t="s">
        <v>1009</v>
      </c>
      <c r="B708" s="4" t="s">
        <v>839</v>
      </c>
      <c r="C708" s="4" t="s">
        <v>24</v>
      </c>
      <c r="D708" s="8" t="s">
        <v>1522</v>
      </c>
      <c r="E708" s="8" t="s">
        <v>1531</v>
      </c>
    </row>
    <row r="709" spans="1:5" ht="14.6" x14ac:dyDescent="0.4">
      <c r="A709" s="7" t="s">
        <v>1010</v>
      </c>
      <c r="B709" s="4" t="s">
        <v>413</v>
      </c>
      <c r="C709" s="4" t="s">
        <v>29</v>
      </c>
      <c r="D709" s="8" t="s">
        <v>1520</v>
      </c>
      <c r="E709" s="8" t="s">
        <v>1528</v>
      </c>
    </row>
    <row r="710" spans="1:5" ht="14.6" x14ac:dyDescent="0.4">
      <c r="A710" s="7" t="s">
        <v>1011</v>
      </c>
      <c r="B710" s="4" t="s">
        <v>643</v>
      </c>
      <c r="C710" s="4" t="s">
        <v>21</v>
      </c>
      <c r="D710" s="8" t="s">
        <v>1520</v>
      </c>
      <c r="E710" s="8" t="s">
        <v>1528</v>
      </c>
    </row>
    <row r="711" spans="1:5" ht="14.6" x14ac:dyDescent="0.4">
      <c r="A711" s="7" t="s">
        <v>1012</v>
      </c>
      <c r="B711" s="4" t="s">
        <v>816</v>
      </c>
      <c r="C711" s="4" t="s">
        <v>52</v>
      </c>
      <c r="D711" s="8" t="s">
        <v>1522</v>
      </c>
      <c r="E711" s="8" t="s">
        <v>1526</v>
      </c>
    </row>
    <row r="712" spans="1:5" ht="14.6" x14ac:dyDescent="0.4">
      <c r="A712" s="7" t="s">
        <v>1013</v>
      </c>
      <c r="B712" s="4" t="s">
        <v>519</v>
      </c>
      <c r="C712" s="4" t="s">
        <v>47</v>
      </c>
      <c r="D712" s="8" t="s">
        <v>1520</v>
      </c>
      <c r="E712" s="8" t="s">
        <v>1528</v>
      </c>
    </row>
    <row r="713" spans="1:5" ht="14.6" x14ac:dyDescent="0.4">
      <c r="A713" s="7" t="s">
        <v>1014</v>
      </c>
      <c r="B713" s="4" t="s">
        <v>451</v>
      </c>
      <c r="C713" s="4" t="s">
        <v>12</v>
      </c>
      <c r="D713" s="8" t="s">
        <v>1520</v>
      </c>
      <c r="E713" s="8" t="s">
        <v>1528</v>
      </c>
    </row>
    <row r="714" spans="1:5" ht="14.6" x14ac:dyDescent="0.4">
      <c r="A714" s="7" t="s">
        <v>1015</v>
      </c>
      <c r="B714" s="4" t="s">
        <v>1016</v>
      </c>
      <c r="C714" s="4" t="s">
        <v>47</v>
      </c>
      <c r="D714" s="8" t="s">
        <v>1522</v>
      </c>
      <c r="E714" s="8" t="s">
        <v>1523</v>
      </c>
    </row>
    <row r="715" spans="1:5" ht="14.6" x14ac:dyDescent="0.4">
      <c r="A715" s="7" t="s">
        <v>1017</v>
      </c>
      <c r="B715" s="4" t="s">
        <v>667</v>
      </c>
      <c r="C715" s="4" t="s">
        <v>47</v>
      </c>
      <c r="D715" s="8" t="s">
        <v>1520</v>
      </c>
      <c r="E715" s="8" t="s">
        <v>1528</v>
      </c>
    </row>
    <row r="716" spans="1:5" ht="14.6" x14ac:dyDescent="0.4">
      <c r="A716" s="7" t="s">
        <v>1018</v>
      </c>
      <c r="B716" s="4" t="s">
        <v>413</v>
      </c>
      <c r="C716" s="4" t="s">
        <v>55</v>
      </c>
      <c r="D716" s="8" t="s">
        <v>1522</v>
      </c>
      <c r="E716" s="8" t="s">
        <v>1527</v>
      </c>
    </row>
    <row r="717" spans="1:5" ht="14.6" x14ac:dyDescent="0.4">
      <c r="A717" s="7" t="s">
        <v>1019</v>
      </c>
      <c r="B717" s="4" t="s">
        <v>717</v>
      </c>
      <c r="C717" s="4" t="s">
        <v>68</v>
      </c>
      <c r="D717" s="8" t="s">
        <v>1522</v>
      </c>
      <c r="E717" s="8" t="s">
        <v>1527</v>
      </c>
    </row>
    <row r="718" spans="1:5" ht="14.6" x14ac:dyDescent="0.4">
      <c r="A718" s="7" t="s">
        <v>1020</v>
      </c>
      <c r="B718" s="4" t="s">
        <v>634</v>
      </c>
      <c r="C718" s="4" t="s">
        <v>12</v>
      </c>
      <c r="D718" s="8" t="s">
        <v>1522</v>
      </c>
      <c r="E718" s="8" t="s">
        <v>1527</v>
      </c>
    </row>
    <row r="719" spans="1:5" ht="14.6" x14ac:dyDescent="0.4">
      <c r="A719" s="7" t="s">
        <v>1021</v>
      </c>
      <c r="B719" s="4" t="s">
        <v>57</v>
      </c>
      <c r="C719" s="4" t="s">
        <v>58</v>
      </c>
      <c r="D719" s="8" t="s">
        <v>1520</v>
      </c>
      <c r="E719" s="8" t="s">
        <v>1528</v>
      </c>
    </row>
    <row r="720" spans="1:5" ht="14.6" x14ac:dyDescent="0.4">
      <c r="A720" s="7" t="s">
        <v>1022</v>
      </c>
      <c r="B720" s="4" t="s">
        <v>816</v>
      </c>
      <c r="C720" s="4" t="s">
        <v>34</v>
      </c>
      <c r="D720" s="8" t="s">
        <v>1522</v>
      </c>
      <c r="E720" s="8" t="s">
        <v>1523</v>
      </c>
    </row>
    <row r="721" spans="1:5" ht="14.6" x14ac:dyDescent="0.4">
      <c r="A721" s="7" t="s">
        <v>1023</v>
      </c>
      <c r="B721" s="4" t="s">
        <v>511</v>
      </c>
      <c r="C721" s="4" t="s">
        <v>18</v>
      </c>
      <c r="D721" s="8" t="s">
        <v>1522</v>
      </c>
      <c r="E721" s="8" t="s">
        <v>1523</v>
      </c>
    </row>
    <row r="722" spans="1:5" ht="14.6" x14ac:dyDescent="0.4">
      <c r="A722" s="7" t="s">
        <v>1024</v>
      </c>
      <c r="B722" s="4" t="s">
        <v>122</v>
      </c>
      <c r="C722" s="4" t="s">
        <v>24</v>
      </c>
      <c r="D722" s="8" t="s">
        <v>1520</v>
      </c>
      <c r="E722" s="8" t="s">
        <v>1528</v>
      </c>
    </row>
    <row r="723" spans="1:5" ht="14.6" x14ac:dyDescent="0.4">
      <c r="A723" s="7" t="s">
        <v>1025</v>
      </c>
      <c r="B723" s="4" t="s">
        <v>324</v>
      </c>
      <c r="C723" s="4" t="s">
        <v>58</v>
      </c>
      <c r="D723" s="8" t="s">
        <v>1520</v>
      </c>
      <c r="E723" s="8" t="s">
        <v>1528</v>
      </c>
    </row>
    <row r="724" spans="1:5" ht="14.6" x14ac:dyDescent="0.4">
      <c r="A724" s="7" t="s">
        <v>1026</v>
      </c>
      <c r="B724" s="4" t="s">
        <v>1027</v>
      </c>
      <c r="C724" s="4" t="s">
        <v>6</v>
      </c>
      <c r="D724" s="8" t="s">
        <v>1520</v>
      </c>
      <c r="E724" s="8" t="s">
        <v>1528</v>
      </c>
    </row>
    <row r="725" spans="1:5" ht="14.6" x14ac:dyDescent="0.4">
      <c r="A725" s="7" t="s">
        <v>1028</v>
      </c>
      <c r="B725" s="4" t="s">
        <v>1029</v>
      </c>
      <c r="C725" s="4" t="s">
        <v>55</v>
      </c>
      <c r="D725" s="8" t="s">
        <v>1520</v>
      </c>
      <c r="E725" s="8" t="s">
        <v>1528</v>
      </c>
    </row>
    <row r="726" spans="1:5" ht="14.6" x14ac:dyDescent="0.4">
      <c r="A726" s="7" t="s">
        <v>1030</v>
      </c>
      <c r="B726" s="4" t="s">
        <v>1031</v>
      </c>
      <c r="C726" s="4" t="s">
        <v>9</v>
      </c>
      <c r="D726" s="8" t="s">
        <v>1520</v>
      </c>
      <c r="E726" s="8" t="s">
        <v>1528</v>
      </c>
    </row>
    <row r="727" spans="1:5" ht="14.6" x14ac:dyDescent="0.4">
      <c r="A727" s="7" t="s">
        <v>1032</v>
      </c>
      <c r="B727" s="4" t="s">
        <v>1033</v>
      </c>
      <c r="C727" s="4" t="s">
        <v>12</v>
      </c>
      <c r="D727" s="8" t="s">
        <v>1520</v>
      </c>
      <c r="E727" s="8" t="s">
        <v>1528</v>
      </c>
    </row>
    <row r="728" spans="1:5" ht="14.6" x14ac:dyDescent="0.4">
      <c r="A728" s="7" t="s">
        <v>1034</v>
      </c>
      <c r="B728" s="4" t="s">
        <v>1035</v>
      </c>
      <c r="C728" s="4" t="s">
        <v>12</v>
      </c>
      <c r="D728" s="8" t="s">
        <v>1520</v>
      </c>
      <c r="E728" s="8" t="s">
        <v>1528</v>
      </c>
    </row>
    <row r="729" spans="1:5" ht="14.6" x14ac:dyDescent="0.4">
      <c r="A729" s="7" t="s">
        <v>1036</v>
      </c>
      <c r="B729" s="4" t="s">
        <v>1035</v>
      </c>
      <c r="C729" s="4" t="s">
        <v>55</v>
      </c>
      <c r="D729" s="8" t="s">
        <v>1522</v>
      </c>
      <c r="E729" s="8" t="s">
        <v>1525</v>
      </c>
    </row>
    <row r="730" spans="1:5" ht="14.6" x14ac:dyDescent="0.4">
      <c r="A730" s="7" t="s">
        <v>1037</v>
      </c>
      <c r="B730" s="4" t="s">
        <v>1038</v>
      </c>
      <c r="C730" s="4" t="s">
        <v>9</v>
      </c>
      <c r="D730" s="8" t="s">
        <v>1520</v>
      </c>
      <c r="E730" s="8" t="s">
        <v>1528</v>
      </c>
    </row>
    <row r="731" spans="1:5" ht="14.6" x14ac:dyDescent="0.4">
      <c r="A731" s="7" t="s">
        <v>1039</v>
      </c>
      <c r="B731" s="4" t="s">
        <v>1040</v>
      </c>
      <c r="C731" s="4" t="s">
        <v>21</v>
      </c>
      <c r="D731" s="8" t="s">
        <v>1522</v>
      </c>
      <c r="E731" s="8" t="s">
        <v>1523</v>
      </c>
    </row>
    <row r="732" spans="1:5" ht="14.6" x14ac:dyDescent="0.4">
      <c r="A732" s="7" t="s">
        <v>1041</v>
      </c>
      <c r="B732" s="4" t="s">
        <v>1038</v>
      </c>
      <c r="C732" s="4" t="s">
        <v>47</v>
      </c>
      <c r="D732" s="8" t="s">
        <v>1522</v>
      </c>
      <c r="E732" s="8" t="s">
        <v>1525</v>
      </c>
    </row>
    <row r="733" spans="1:5" ht="14.6" x14ac:dyDescent="0.4">
      <c r="A733" s="7" t="s">
        <v>1042</v>
      </c>
      <c r="B733" s="4" t="s">
        <v>1038</v>
      </c>
      <c r="C733" s="4" t="s">
        <v>9</v>
      </c>
      <c r="D733" s="8" t="s">
        <v>1522</v>
      </c>
      <c r="E733" s="8" t="s">
        <v>1523</v>
      </c>
    </row>
    <row r="734" spans="1:5" ht="14.6" x14ac:dyDescent="0.4">
      <c r="A734" s="7" t="s">
        <v>1043</v>
      </c>
      <c r="B734" s="4" t="s">
        <v>1031</v>
      </c>
      <c r="C734" s="4" t="s">
        <v>6</v>
      </c>
      <c r="D734" s="8" t="s">
        <v>1522</v>
      </c>
      <c r="E734" s="8" t="s">
        <v>1527</v>
      </c>
    </row>
    <row r="735" spans="1:5" ht="14.6" x14ac:dyDescent="0.4">
      <c r="A735" s="7" t="s">
        <v>1044</v>
      </c>
      <c r="B735" s="4" t="s">
        <v>1045</v>
      </c>
      <c r="C735" s="4" t="s">
        <v>52</v>
      </c>
      <c r="D735" s="8" t="s">
        <v>1520</v>
      </c>
      <c r="E735" s="8" t="s">
        <v>1528</v>
      </c>
    </row>
    <row r="736" spans="1:5" ht="14.6" x14ac:dyDescent="0.4">
      <c r="A736" s="7" t="s">
        <v>1046</v>
      </c>
      <c r="B736" s="4" t="s">
        <v>1047</v>
      </c>
      <c r="C736" s="4" t="s">
        <v>47</v>
      </c>
      <c r="D736" s="8" t="s">
        <v>1520</v>
      </c>
      <c r="E736" s="8" t="s">
        <v>1528</v>
      </c>
    </row>
    <row r="737" spans="1:5" ht="14.6" x14ac:dyDescent="0.4">
      <c r="A737" s="7" t="s">
        <v>1048</v>
      </c>
      <c r="B737" s="4" t="s">
        <v>1027</v>
      </c>
      <c r="C737" s="4" t="s">
        <v>52</v>
      </c>
      <c r="D737" s="8" t="s">
        <v>1520</v>
      </c>
      <c r="E737" s="8" t="s">
        <v>1528</v>
      </c>
    </row>
    <row r="738" spans="1:5" ht="14.6" x14ac:dyDescent="0.4">
      <c r="A738" s="7" t="s">
        <v>1049</v>
      </c>
      <c r="B738" s="4" t="s">
        <v>1027</v>
      </c>
      <c r="C738" s="4" t="s">
        <v>52</v>
      </c>
      <c r="D738" s="8" t="s">
        <v>1522</v>
      </c>
      <c r="E738" s="8" t="s">
        <v>1523</v>
      </c>
    </row>
    <row r="739" spans="1:5" ht="14.6" x14ac:dyDescent="0.4">
      <c r="A739" s="7" t="s">
        <v>1050</v>
      </c>
      <c r="B739" s="4" t="s">
        <v>1051</v>
      </c>
      <c r="C739" s="4" t="s">
        <v>34</v>
      </c>
      <c r="D739" s="8" t="s">
        <v>1520</v>
      </c>
      <c r="E739" s="8" t="s">
        <v>1528</v>
      </c>
    </row>
    <row r="740" spans="1:5" ht="14.6" x14ac:dyDescent="0.4">
      <c r="A740" s="7" t="s">
        <v>1052</v>
      </c>
      <c r="B740" s="4" t="s">
        <v>1038</v>
      </c>
      <c r="C740" s="4" t="s">
        <v>68</v>
      </c>
      <c r="D740" s="8" t="s">
        <v>1520</v>
      </c>
      <c r="E740" s="8" t="s">
        <v>1528</v>
      </c>
    </row>
    <row r="741" spans="1:5" ht="14.6" x14ac:dyDescent="0.4">
      <c r="A741" s="7" t="s">
        <v>1053</v>
      </c>
      <c r="B741" s="4" t="s">
        <v>1054</v>
      </c>
      <c r="C741" s="4" t="s">
        <v>6</v>
      </c>
      <c r="D741" s="8" t="s">
        <v>1522</v>
      </c>
      <c r="E741" s="8" t="s">
        <v>1527</v>
      </c>
    </row>
    <row r="742" spans="1:5" ht="14.6" x14ac:dyDescent="0.4">
      <c r="A742" s="7" t="s">
        <v>1055</v>
      </c>
      <c r="B742" s="4" t="s">
        <v>1029</v>
      </c>
      <c r="C742" s="4" t="s">
        <v>68</v>
      </c>
      <c r="D742" s="8" t="s">
        <v>1522</v>
      </c>
      <c r="E742" s="8" t="s">
        <v>1527</v>
      </c>
    </row>
    <row r="743" spans="1:5" ht="14.6" x14ac:dyDescent="0.4">
      <c r="A743" s="7" t="s">
        <v>1056</v>
      </c>
      <c r="B743" s="4" t="s">
        <v>1054</v>
      </c>
      <c r="C743" s="4" t="s">
        <v>9</v>
      </c>
      <c r="D743" s="8" t="s">
        <v>1522</v>
      </c>
      <c r="E743" s="8" t="s">
        <v>1532</v>
      </c>
    </row>
    <row r="744" spans="1:5" ht="14.6" x14ac:dyDescent="0.4">
      <c r="A744" s="7" t="s">
        <v>1057</v>
      </c>
      <c r="B744" s="4" t="s">
        <v>1038</v>
      </c>
      <c r="C744" s="4" t="s">
        <v>47</v>
      </c>
      <c r="D744" s="8" t="s">
        <v>1520</v>
      </c>
      <c r="E744" s="8" t="s">
        <v>1528</v>
      </c>
    </row>
    <row r="745" spans="1:5" ht="14.6" x14ac:dyDescent="0.4">
      <c r="A745" s="7" t="s">
        <v>1058</v>
      </c>
      <c r="B745" s="4" t="s">
        <v>1038</v>
      </c>
      <c r="C745" s="4" t="s">
        <v>29</v>
      </c>
      <c r="D745" s="8" t="s">
        <v>1522</v>
      </c>
      <c r="E745" s="8" t="s">
        <v>1527</v>
      </c>
    </row>
    <row r="746" spans="1:5" ht="14.6" x14ac:dyDescent="0.4">
      <c r="A746" s="7" t="s">
        <v>1059</v>
      </c>
      <c r="B746" s="4" t="s">
        <v>1060</v>
      </c>
      <c r="C746" s="4" t="s">
        <v>12</v>
      </c>
      <c r="D746" s="8" t="s">
        <v>1522</v>
      </c>
      <c r="E746" s="8" t="s">
        <v>1523</v>
      </c>
    </row>
    <row r="747" spans="1:5" ht="14.6" x14ac:dyDescent="0.4">
      <c r="A747" s="7" t="s">
        <v>1061</v>
      </c>
      <c r="B747" s="4" t="s">
        <v>1062</v>
      </c>
      <c r="C747" s="4" t="s">
        <v>24</v>
      </c>
      <c r="D747" s="8" t="s">
        <v>1520</v>
      </c>
      <c r="E747" s="8" t="s">
        <v>1528</v>
      </c>
    </row>
    <row r="748" spans="1:5" ht="14.6" x14ac:dyDescent="0.4">
      <c r="A748" s="7" t="s">
        <v>1063</v>
      </c>
      <c r="B748" s="4" t="s">
        <v>1045</v>
      </c>
      <c r="C748" s="4" t="s">
        <v>55</v>
      </c>
      <c r="D748" s="8" t="s">
        <v>1522</v>
      </c>
      <c r="E748" s="8" t="s">
        <v>1527</v>
      </c>
    </row>
    <row r="749" spans="1:5" ht="14.6" x14ac:dyDescent="0.4">
      <c r="A749" s="7" t="s">
        <v>1064</v>
      </c>
      <c r="B749" s="4" t="s">
        <v>1060</v>
      </c>
      <c r="C749" s="4" t="s">
        <v>18</v>
      </c>
      <c r="D749" s="8" t="s">
        <v>1522</v>
      </c>
      <c r="E749" s="8" t="s">
        <v>1527</v>
      </c>
    </row>
    <row r="750" spans="1:5" ht="14.6" x14ac:dyDescent="0.4">
      <c r="A750" s="7" t="s">
        <v>1065</v>
      </c>
      <c r="B750" s="4" t="s">
        <v>1062</v>
      </c>
      <c r="C750" s="4" t="s">
        <v>18</v>
      </c>
      <c r="D750" s="8" t="s">
        <v>1520</v>
      </c>
      <c r="E750" s="8" t="s">
        <v>1528</v>
      </c>
    </row>
    <row r="751" spans="1:5" ht="14.6" x14ac:dyDescent="0.4">
      <c r="A751" s="7" t="s">
        <v>1066</v>
      </c>
      <c r="B751" s="4" t="s">
        <v>1067</v>
      </c>
      <c r="C751" s="4" t="s">
        <v>15</v>
      </c>
      <c r="D751" s="8" t="s">
        <v>1520</v>
      </c>
      <c r="E751" s="8" t="s">
        <v>1528</v>
      </c>
    </row>
    <row r="752" spans="1:5" ht="14.6" x14ac:dyDescent="0.4">
      <c r="A752" s="7" t="s">
        <v>1068</v>
      </c>
      <c r="B752" s="4" t="s">
        <v>1033</v>
      </c>
      <c r="C752" s="4" t="s">
        <v>21</v>
      </c>
      <c r="D752" s="8" t="s">
        <v>1520</v>
      </c>
      <c r="E752" s="8" t="s">
        <v>1528</v>
      </c>
    </row>
    <row r="753" spans="1:5" ht="14.6" x14ac:dyDescent="0.4">
      <c r="A753" s="7" t="s">
        <v>1069</v>
      </c>
      <c r="B753" s="4" t="s">
        <v>1070</v>
      </c>
      <c r="C753" s="4" t="s">
        <v>65</v>
      </c>
      <c r="D753" s="8" t="s">
        <v>1520</v>
      </c>
      <c r="E753" s="8" t="s">
        <v>1528</v>
      </c>
    </row>
    <row r="754" spans="1:5" ht="14.6" x14ac:dyDescent="0.4">
      <c r="A754" s="7" t="s">
        <v>1071</v>
      </c>
      <c r="B754" s="4" t="s">
        <v>1047</v>
      </c>
      <c r="C754" s="4" t="s">
        <v>52</v>
      </c>
      <c r="D754" s="8" t="s">
        <v>1520</v>
      </c>
      <c r="E754" s="8" t="s">
        <v>1528</v>
      </c>
    </row>
    <row r="755" spans="1:5" ht="14.6" x14ac:dyDescent="0.4">
      <c r="A755" s="7" t="s">
        <v>1072</v>
      </c>
      <c r="B755" s="4" t="s">
        <v>1051</v>
      </c>
      <c r="C755" s="4" t="s">
        <v>15</v>
      </c>
      <c r="D755" s="8" t="s">
        <v>1522</v>
      </c>
      <c r="E755" s="8" t="s">
        <v>1527</v>
      </c>
    </row>
    <row r="756" spans="1:5" ht="14.6" x14ac:dyDescent="0.4">
      <c r="A756" s="7" t="s">
        <v>1073</v>
      </c>
      <c r="B756" s="4" t="s">
        <v>1074</v>
      </c>
      <c r="C756" s="4" t="s">
        <v>68</v>
      </c>
      <c r="D756" s="8" t="s">
        <v>1520</v>
      </c>
      <c r="E756" s="8" t="s">
        <v>1528</v>
      </c>
    </row>
    <row r="757" spans="1:5" ht="14.6" x14ac:dyDescent="0.4">
      <c r="A757" s="7" t="s">
        <v>1075</v>
      </c>
      <c r="B757" s="4" t="s">
        <v>1047</v>
      </c>
      <c r="C757" s="4" t="s">
        <v>68</v>
      </c>
      <c r="D757" s="8" t="s">
        <v>1520</v>
      </c>
      <c r="E757" s="8" t="s">
        <v>1528</v>
      </c>
    </row>
    <row r="758" spans="1:5" ht="14.6" x14ac:dyDescent="0.4">
      <c r="A758" s="7" t="s">
        <v>1076</v>
      </c>
      <c r="B758" s="4" t="s">
        <v>1060</v>
      </c>
      <c r="C758" s="4" t="s">
        <v>12</v>
      </c>
      <c r="D758" s="8" t="s">
        <v>1520</v>
      </c>
      <c r="E758" s="8" t="s">
        <v>1528</v>
      </c>
    </row>
    <row r="759" spans="1:5" ht="14.6" x14ac:dyDescent="0.4">
      <c r="A759" s="7" t="s">
        <v>1077</v>
      </c>
      <c r="B759" s="4" t="s">
        <v>1045</v>
      </c>
      <c r="C759" s="4" t="s">
        <v>34</v>
      </c>
      <c r="D759" s="8" t="s">
        <v>1520</v>
      </c>
      <c r="E759" s="8" t="s">
        <v>1528</v>
      </c>
    </row>
    <row r="760" spans="1:5" ht="14.6" x14ac:dyDescent="0.4">
      <c r="A760" s="7" t="s">
        <v>1078</v>
      </c>
      <c r="B760" s="4" t="s">
        <v>1060</v>
      </c>
      <c r="C760" s="4" t="s">
        <v>9</v>
      </c>
      <c r="D760" s="8" t="s">
        <v>1520</v>
      </c>
      <c r="E760" s="8" t="s">
        <v>1528</v>
      </c>
    </row>
    <row r="761" spans="1:5" ht="14.6" x14ac:dyDescent="0.4">
      <c r="A761" s="7" t="s">
        <v>1079</v>
      </c>
      <c r="B761" s="4" t="s">
        <v>1080</v>
      </c>
      <c r="C761" s="4" t="s">
        <v>12</v>
      </c>
      <c r="D761" s="8" t="s">
        <v>1520</v>
      </c>
      <c r="E761" s="8" t="s">
        <v>1528</v>
      </c>
    </row>
    <row r="762" spans="1:5" ht="14.6" x14ac:dyDescent="0.4">
      <c r="A762" s="7" t="s">
        <v>1081</v>
      </c>
      <c r="B762" s="4" t="s">
        <v>1080</v>
      </c>
      <c r="C762" s="4" t="s">
        <v>18</v>
      </c>
      <c r="D762" s="8" t="s">
        <v>1520</v>
      </c>
      <c r="E762" s="8" t="s">
        <v>1528</v>
      </c>
    </row>
    <row r="763" spans="1:5" ht="14.6" x14ac:dyDescent="0.4">
      <c r="A763" s="7" t="s">
        <v>1082</v>
      </c>
      <c r="B763" s="4" t="s">
        <v>1027</v>
      </c>
      <c r="C763" s="4" t="s">
        <v>52</v>
      </c>
      <c r="D763" s="8" t="s">
        <v>1520</v>
      </c>
      <c r="E763" s="8" t="s">
        <v>1528</v>
      </c>
    </row>
    <row r="764" spans="1:5" ht="14.6" x14ac:dyDescent="0.4">
      <c r="A764" s="7" t="s">
        <v>1083</v>
      </c>
      <c r="B764" s="4" t="s">
        <v>1070</v>
      </c>
      <c r="C764" s="4" t="s">
        <v>6</v>
      </c>
      <c r="D764" s="8" t="s">
        <v>1520</v>
      </c>
      <c r="E764" s="8" t="s">
        <v>1528</v>
      </c>
    </row>
    <row r="765" spans="1:5" ht="14.6" x14ac:dyDescent="0.4">
      <c r="A765" s="7" t="s">
        <v>1084</v>
      </c>
      <c r="B765" s="4" t="s">
        <v>1085</v>
      </c>
      <c r="C765" s="4" t="s">
        <v>9</v>
      </c>
      <c r="D765" s="8" t="s">
        <v>1520</v>
      </c>
      <c r="E765" s="8" t="s">
        <v>1528</v>
      </c>
    </row>
    <row r="766" spans="1:5" ht="14.6" x14ac:dyDescent="0.4">
      <c r="A766" s="7" t="s">
        <v>1086</v>
      </c>
      <c r="B766" s="4" t="s">
        <v>1087</v>
      </c>
      <c r="C766" s="4" t="s">
        <v>47</v>
      </c>
      <c r="D766" s="8" t="s">
        <v>1522</v>
      </c>
      <c r="E766" s="8" t="s">
        <v>1529</v>
      </c>
    </row>
    <row r="767" spans="1:5" ht="14.6" x14ac:dyDescent="0.4">
      <c r="A767" s="7" t="s">
        <v>1088</v>
      </c>
      <c r="B767" s="4" t="s">
        <v>1029</v>
      </c>
      <c r="C767" s="4" t="s">
        <v>34</v>
      </c>
      <c r="D767" s="8" t="s">
        <v>1522</v>
      </c>
      <c r="E767" s="8" t="s">
        <v>1529</v>
      </c>
    </row>
    <row r="768" spans="1:5" ht="14.6" x14ac:dyDescent="0.4">
      <c r="A768" s="7" t="s">
        <v>1089</v>
      </c>
      <c r="B768" s="4" t="s">
        <v>1062</v>
      </c>
      <c r="C768" s="4" t="s">
        <v>21</v>
      </c>
      <c r="D768" s="8" t="s">
        <v>1522</v>
      </c>
      <c r="E768" s="8" t="s">
        <v>1527</v>
      </c>
    </row>
    <row r="769" spans="1:5" ht="14.6" x14ac:dyDescent="0.4">
      <c r="A769" s="7" t="s">
        <v>1090</v>
      </c>
      <c r="B769" s="4" t="s">
        <v>1087</v>
      </c>
      <c r="C769" s="4" t="s">
        <v>18</v>
      </c>
      <c r="D769" s="8" t="s">
        <v>1522</v>
      </c>
      <c r="E769" s="8" t="s">
        <v>1527</v>
      </c>
    </row>
    <row r="770" spans="1:5" ht="14.6" x14ac:dyDescent="0.4">
      <c r="A770" s="7" t="s">
        <v>1091</v>
      </c>
      <c r="B770" s="4" t="s">
        <v>1031</v>
      </c>
      <c r="C770" s="4" t="s">
        <v>21</v>
      </c>
      <c r="D770" s="8" t="s">
        <v>1522</v>
      </c>
      <c r="E770" s="8" t="s">
        <v>1529</v>
      </c>
    </row>
    <row r="771" spans="1:5" ht="14.6" x14ac:dyDescent="0.4">
      <c r="A771" s="7" t="s">
        <v>1092</v>
      </c>
      <c r="B771" s="4" t="s">
        <v>1067</v>
      </c>
      <c r="C771" s="4" t="s">
        <v>18</v>
      </c>
      <c r="D771" s="8" t="s">
        <v>1520</v>
      </c>
      <c r="E771" s="8" t="s">
        <v>1528</v>
      </c>
    </row>
    <row r="772" spans="1:5" ht="14.6" x14ac:dyDescent="0.4">
      <c r="A772" s="7" t="s">
        <v>1093</v>
      </c>
      <c r="B772" s="4" t="s">
        <v>1051</v>
      </c>
      <c r="C772" s="4" t="s">
        <v>55</v>
      </c>
      <c r="D772" s="8" t="s">
        <v>1522</v>
      </c>
      <c r="E772" s="8" t="s">
        <v>1530</v>
      </c>
    </row>
    <row r="773" spans="1:5" ht="14.6" x14ac:dyDescent="0.4">
      <c r="A773" s="7" t="s">
        <v>1094</v>
      </c>
      <c r="B773" s="4" t="s">
        <v>1070</v>
      </c>
      <c r="C773" s="4" t="s">
        <v>58</v>
      </c>
      <c r="D773" s="8" t="s">
        <v>1520</v>
      </c>
      <c r="E773" s="8" t="s">
        <v>1528</v>
      </c>
    </row>
    <row r="774" spans="1:5" ht="14.6" x14ac:dyDescent="0.4">
      <c r="A774" s="7" t="s">
        <v>1095</v>
      </c>
      <c r="B774" s="4" t="s">
        <v>1070</v>
      </c>
      <c r="C774" s="4" t="s">
        <v>58</v>
      </c>
      <c r="D774" s="8" t="s">
        <v>1520</v>
      </c>
      <c r="E774" s="8" t="s">
        <v>1528</v>
      </c>
    </row>
    <row r="775" spans="1:5" ht="14.6" x14ac:dyDescent="0.4">
      <c r="A775" s="7" t="s">
        <v>1096</v>
      </c>
      <c r="B775" s="4" t="s">
        <v>1045</v>
      </c>
      <c r="C775" s="4" t="s">
        <v>9</v>
      </c>
      <c r="D775" s="8" t="s">
        <v>1520</v>
      </c>
      <c r="E775" s="8" t="s">
        <v>1528</v>
      </c>
    </row>
    <row r="776" spans="1:5" ht="14.6" x14ac:dyDescent="0.4">
      <c r="A776" s="7" t="s">
        <v>1097</v>
      </c>
      <c r="B776" s="4" t="s">
        <v>1038</v>
      </c>
      <c r="C776" s="4" t="s">
        <v>65</v>
      </c>
      <c r="D776" s="8" t="s">
        <v>1522</v>
      </c>
      <c r="E776" s="8" t="s">
        <v>1530</v>
      </c>
    </row>
    <row r="777" spans="1:5" ht="14.6" x14ac:dyDescent="0.4">
      <c r="A777" s="7" t="s">
        <v>1098</v>
      </c>
      <c r="B777" s="4" t="s">
        <v>1080</v>
      </c>
      <c r="C777" s="4" t="s">
        <v>6</v>
      </c>
      <c r="D777" s="8" t="s">
        <v>1520</v>
      </c>
      <c r="E777" s="8" t="s">
        <v>1528</v>
      </c>
    </row>
    <row r="778" spans="1:5" ht="14.6" x14ac:dyDescent="0.4">
      <c r="A778" s="7" t="s">
        <v>1099</v>
      </c>
      <c r="B778" s="4" t="s">
        <v>1054</v>
      </c>
      <c r="C778" s="4" t="s">
        <v>15</v>
      </c>
      <c r="D778" s="8" t="s">
        <v>1520</v>
      </c>
      <c r="E778" s="8" t="s">
        <v>1528</v>
      </c>
    </row>
    <row r="779" spans="1:5" ht="14.6" x14ac:dyDescent="0.4">
      <c r="A779" s="7" t="s">
        <v>1100</v>
      </c>
      <c r="B779" s="4" t="s">
        <v>1070</v>
      </c>
      <c r="C779" s="4" t="s">
        <v>21</v>
      </c>
      <c r="D779" s="8" t="s">
        <v>1520</v>
      </c>
      <c r="E779" s="8" t="s">
        <v>1528</v>
      </c>
    </row>
    <row r="780" spans="1:5" ht="14.6" x14ac:dyDescent="0.4">
      <c r="A780" s="7" t="s">
        <v>1101</v>
      </c>
      <c r="B780" s="4" t="s">
        <v>1102</v>
      </c>
      <c r="C780" s="4" t="s">
        <v>9</v>
      </c>
      <c r="D780" s="8" t="s">
        <v>1522</v>
      </c>
      <c r="E780" s="8" t="s">
        <v>1527</v>
      </c>
    </row>
    <row r="781" spans="1:5" ht="14.6" x14ac:dyDescent="0.4">
      <c r="A781" s="7" t="s">
        <v>1103</v>
      </c>
      <c r="B781" s="4" t="s">
        <v>1080</v>
      </c>
      <c r="C781" s="4" t="s">
        <v>58</v>
      </c>
      <c r="D781" s="8" t="s">
        <v>1522</v>
      </c>
      <c r="E781" s="8" t="s">
        <v>1527</v>
      </c>
    </row>
    <row r="782" spans="1:5" ht="14.6" x14ac:dyDescent="0.4">
      <c r="A782" s="7" t="s">
        <v>1104</v>
      </c>
      <c r="B782" s="4" t="s">
        <v>1047</v>
      </c>
      <c r="C782" s="4" t="s">
        <v>29</v>
      </c>
      <c r="D782" s="8" t="s">
        <v>1520</v>
      </c>
      <c r="E782" s="8" t="s">
        <v>1528</v>
      </c>
    </row>
    <row r="783" spans="1:5" ht="14.6" x14ac:dyDescent="0.4">
      <c r="A783" s="7" t="s">
        <v>1105</v>
      </c>
      <c r="B783" s="4" t="s">
        <v>1085</v>
      </c>
      <c r="C783" s="4" t="s">
        <v>34</v>
      </c>
      <c r="D783" s="8" t="s">
        <v>1520</v>
      </c>
      <c r="E783" s="8" t="s">
        <v>1528</v>
      </c>
    </row>
    <row r="784" spans="1:5" ht="14.6" x14ac:dyDescent="0.4">
      <c r="A784" s="7" t="s">
        <v>1106</v>
      </c>
      <c r="B784" s="4" t="s">
        <v>1060</v>
      </c>
      <c r="C784" s="4" t="s">
        <v>9</v>
      </c>
      <c r="D784" s="8" t="s">
        <v>1520</v>
      </c>
      <c r="E784" s="8" t="s">
        <v>1528</v>
      </c>
    </row>
    <row r="785" spans="1:5" ht="14.6" x14ac:dyDescent="0.4">
      <c r="A785" s="7" t="s">
        <v>1107</v>
      </c>
      <c r="B785" s="4" t="s">
        <v>1029</v>
      </c>
      <c r="C785" s="4" t="s">
        <v>65</v>
      </c>
      <c r="D785" s="8" t="s">
        <v>1522</v>
      </c>
      <c r="E785" s="8" t="s">
        <v>1527</v>
      </c>
    </row>
    <row r="786" spans="1:5" ht="14.6" x14ac:dyDescent="0.4">
      <c r="A786" s="7" t="s">
        <v>1108</v>
      </c>
      <c r="B786" s="4" t="s">
        <v>1085</v>
      </c>
      <c r="C786" s="4" t="s">
        <v>15</v>
      </c>
      <c r="D786" s="8" t="s">
        <v>1522</v>
      </c>
      <c r="E786" s="8" t="s">
        <v>1526</v>
      </c>
    </row>
    <row r="787" spans="1:5" ht="14.6" x14ac:dyDescent="0.4">
      <c r="A787" s="7" t="s">
        <v>1109</v>
      </c>
      <c r="B787" s="4" t="s">
        <v>1029</v>
      </c>
      <c r="C787" s="4" t="s">
        <v>21</v>
      </c>
      <c r="D787" s="8" t="s">
        <v>1522</v>
      </c>
      <c r="E787" s="8" t="s">
        <v>1526</v>
      </c>
    </row>
    <row r="788" spans="1:5" ht="14.6" x14ac:dyDescent="0.4">
      <c r="A788" s="7" t="s">
        <v>1110</v>
      </c>
      <c r="B788" s="4" t="s">
        <v>1051</v>
      </c>
      <c r="C788" s="4" t="s">
        <v>21</v>
      </c>
      <c r="D788" s="8" t="s">
        <v>1520</v>
      </c>
      <c r="E788" s="8" t="s">
        <v>1528</v>
      </c>
    </row>
    <row r="789" spans="1:5" ht="14.6" x14ac:dyDescent="0.4">
      <c r="A789" s="7" t="s">
        <v>1111</v>
      </c>
      <c r="B789" s="4" t="s">
        <v>1029</v>
      </c>
      <c r="C789" s="4" t="s">
        <v>58</v>
      </c>
      <c r="D789" s="8" t="s">
        <v>1522</v>
      </c>
      <c r="E789" s="8" t="s">
        <v>1523</v>
      </c>
    </row>
    <row r="790" spans="1:5" ht="14.6" x14ac:dyDescent="0.4">
      <c r="A790" s="7" t="s">
        <v>1112</v>
      </c>
      <c r="B790" s="4" t="s">
        <v>1029</v>
      </c>
      <c r="C790" s="4" t="s">
        <v>21</v>
      </c>
      <c r="D790" s="8" t="s">
        <v>1520</v>
      </c>
      <c r="E790" s="8" t="s">
        <v>1528</v>
      </c>
    </row>
    <row r="791" spans="1:5" ht="14.6" x14ac:dyDescent="0.4">
      <c r="A791" s="7" t="s">
        <v>1113</v>
      </c>
      <c r="B791" s="4" t="s">
        <v>1067</v>
      </c>
      <c r="C791" s="4" t="s">
        <v>6</v>
      </c>
      <c r="D791" s="8" t="s">
        <v>1522</v>
      </c>
      <c r="E791" s="8" t="s">
        <v>1523</v>
      </c>
    </row>
    <row r="792" spans="1:5" ht="14.6" x14ac:dyDescent="0.4">
      <c r="A792" s="7" t="s">
        <v>1114</v>
      </c>
      <c r="B792" s="4" t="s">
        <v>1067</v>
      </c>
      <c r="C792" s="4" t="s">
        <v>55</v>
      </c>
      <c r="D792" s="8" t="s">
        <v>1522</v>
      </c>
      <c r="E792" s="8" t="s">
        <v>1527</v>
      </c>
    </row>
    <row r="793" spans="1:5" ht="14.6" x14ac:dyDescent="0.4">
      <c r="A793" s="7" t="s">
        <v>1115</v>
      </c>
      <c r="B793" s="4" t="s">
        <v>1047</v>
      </c>
      <c r="C793" s="4" t="s">
        <v>65</v>
      </c>
      <c r="D793" s="8" t="s">
        <v>1520</v>
      </c>
      <c r="E793" s="8" t="s">
        <v>1528</v>
      </c>
    </row>
    <row r="794" spans="1:5" ht="14.6" x14ac:dyDescent="0.4">
      <c r="A794" s="7" t="s">
        <v>1116</v>
      </c>
      <c r="B794" s="4" t="s">
        <v>1080</v>
      </c>
      <c r="C794" s="4" t="s">
        <v>34</v>
      </c>
      <c r="D794" s="8" t="s">
        <v>1520</v>
      </c>
      <c r="E794" s="8" t="s">
        <v>1528</v>
      </c>
    </row>
    <row r="795" spans="1:5" ht="14.6" x14ac:dyDescent="0.4">
      <c r="A795" s="7" t="s">
        <v>1117</v>
      </c>
      <c r="B795" s="4" t="s">
        <v>1045</v>
      </c>
      <c r="C795" s="4" t="s">
        <v>18</v>
      </c>
      <c r="D795" s="8" t="s">
        <v>1522</v>
      </c>
      <c r="E795" s="8" t="s">
        <v>1523</v>
      </c>
    </row>
    <row r="796" spans="1:5" ht="14.6" x14ac:dyDescent="0.4">
      <c r="A796" s="7" t="s">
        <v>1118</v>
      </c>
      <c r="B796" s="4" t="s">
        <v>1047</v>
      </c>
      <c r="C796" s="4" t="s">
        <v>24</v>
      </c>
      <c r="D796" s="8" t="s">
        <v>1520</v>
      </c>
      <c r="E796" s="8" t="s">
        <v>1528</v>
      </c>
    </row>
    <row r="797" spans="1:5" ht="14.6" x14ac:dyDescent="0.4">
      <c r="A797" s="7" t="s">
        <v>1119</v>
      </c>
      <c r="B797" s="4" t="s">
        <v>1060</v>
      </c>
      <c r="C797" s="4" t="s">
        <v>24</v>
      </c>
      <c r="D797" s="8" t="s">
        <v>1520</v>
      </c>
      <c r="E797" s="8" t="s">
        <v>1528</v>
      </c>
    </row>
    <row r="798" spans="1:5" ht="14.6" x14ac:dyDescent="0.4">
      <c r="A798" s="7" t="s">
        <v>1120</v>
      </c>
      <c r="B798" s="4" t="s">
        <v>1062</v>
      </c>
      <c r="C798" s="4" t="s">
        <v>9</v>
      </c>
      <c r="D798" s="8" t="s">
        <v>1520</v>
      </c>
      <c r="E798" s="8" t="s">
        <v>1528</v>
      </c>
    </row>
    <row r="799" spans="1:5" ht="14.6" x14ac:dyDescent="0.4">
      <c r="A799" s="7" t="s">
        <v>1121</v>
      </c>
      <c r="B799" s="4" t="s">
        <v>1031</v>
      </c>
      <c r="C799" s="4" t="s">
        <v>65</v>
      </c>
      <c r="D799" s="8" t="s">
        <v>1522</v>
      </c>
      <c r="E799" s="8" t="s">
        <v>1532</v>
      </c>
    </row>
    <row r="800" spans="1:5" ht="14.6" x14ac:dyDescent="0.4">
      <c r="A800" s="7" t="s">
        <v>1122</v>
      </c>
      <c r="B800" s="4" t="s">
        <v>1054</v>
      </c>
      <c r="C800" s="4" t="s">
        <v>6</v>
      </c>
      <c r="D800" s="8" t="s">
        <v>1520</v>
      </c>
      <c r="E800" s="8" t="s">
        <v>1528</v>
      </c>
    </row>
    <row r="801" spans="1:5" ht="14.6" x14ac:dyDescent="0.4">
      <c r="A801" s="7" t="s">
        <v>1123</v>
      </c>
      <c r="B801" s="4" t="s">
        <v>1067</v>
      </c>
      <c r="C801" s="4" t="s">
        <v>55</v>
      </c>
      <c r="D801" s="8" t="s">
        <v>1522</v>
      </c>
      <c r="E801" s="8" t="s">
        <v>1523</v>
      </c>
    </row>
    <row r="802" spans="1:5" ht="14.6" x14ac:dyDescent="0.4">
      <c r="A802" s="7" t="s">
        <v>1124</v>
      </c>
      <c r="B802" s="4" t="s">
        <v>1085</v>
      </c>
      <c r="C802" s="4" t="s">
        <v>21</v>
      </c>
      <c r="D802" s="8" t="s">
        <v>1522</v>
      </c>
      <c r="E802" s="8" t="s">
        <v>1523</v>
      </c>
    </row>
    <row r="803" spans="1:5" ht="14.6" x14ac:dyDescent="0.4">
      <c r="A803" s="7" t="s">
        <v>1125</v>
      </c>
      <c r="B803" s="4" t="s">
        <v>1031</v>
      </c>
      <c r="C803" s="4" t="s">
        <v>21</v>
      </c>
      <c r="D803" s="8" t="s">
        <v>1522</v>
      </c>
      <c r="E803" s="8" t="s">
        <v>1527</v>
      </c>
    </row>
    <row r="804" spans="1:5" ht="14.6" x14ac:dyDescent="0.4">
      <c r="A804" s="7" t="s">
        <v>1126</v>
      </c>
      <c r="B804" s="4" t="s">
        <v>1102</v>
      </c>
      <c r="C804" s="4" t="s">
        <v>29</v>
      </c>
      <c r="D804" s="8" t="s">
        <v>1522</v>
      </c>
      <c r="E804" s="8" t="s">
        <v>1527</v>
      </c>
    </row>
    <row r="805" spans="1:5" ht="14.6" x14ac:dyDescent="0.4">
      <c r="A805" s="7" t="s">
        <v>1127</v>
      </c>
      <c r="B805" s="4" t="s">
        <v>1047</v>
      </c>
      <c r="C805" s="4" t="s">
        <v>9</v>
      </c>
      <c r="D805" s="8" t="s">
        <v>1520</v>
      </c>
      <c r="E805" s="8" t="s">
        <v>1528</v>
      </c>
    </row>
    <row r="806" spans="1:5" ht="14.6" x14ac:dyDescent="0.4">
      <c r="A806" s="7" t="s">
        <v>1128</v>
      </c>
      <c r="B806" s="4" t="s">
        <v>1045</v>
      </c>
      <c r="C806" s="4" t="s">
        <v>65</v>
      </c>
      <c r="D806" s="8" t="s">
        <v>1522</v>
      </c>
      <c r="E806" s="8" t="s">
        <v>1523</v>
      </c>
    </row>
    <row r="807" spans="1:5" ht="14.6" x14ac:dyDescent="0.4">
      <c r="A807" s="7" t="s">
        <v>1129</v>
      </c>
      <c r="B807" s="4" t="s">
        <v>1102</v>
      </c>
      <c r="C807" s="4" t="s">
        <v>15</v>
      </c>
      <c r="D807" s="8" t="s">
        <v>1522</v>
      </c>
      <c r="E807" s="8" t="s">
        <v>1526</v>
      </c>
    </row>
    <row r="808" spans="1:5" ht="14.6" x14ac:dyDescent="0.4">
      <c r="A808" s="7" t="s">
        <v>1130</v>
      </c>
      <c r="B808" s="4" t="s">
        <v>1035</v>
      </c>
      <c r="C808" s="4" t="s">
        <v>55</v>
      </c>
      <c r="D808" s="8" t="s">
        <v>1522</v>
      </c>
      <c r="E808" s="8" t="s">
        <v>1527</v>
      </c>
    </row>
    <row r="809" spans="1:5" ht="14.6" x14ac:dyDescent="0.4">
      <c r="A809" s="7" t="s">
        <v>1131</v>
      </c>
      <c r="B809" s="4" t="s">
        <v>1087</v>
      </c>
      <c r="C809" s="4" t="s">
        <v>55</v>
      </c>
      <c r="D809" s="8" t="s">
        <v>1522</v>
      </c>
      <c r="E809" s="8" t="s">
        <v>1527</v>
      </c>
    </row>
    <row r="810" spans="1:5" ht="14.6" x14ac:dyDescent="0.4">
      <c r="A810" s="7" t="s">
        <v>1132</v>
      </c>
      <c r="B810" s="4" t="s">
        <v>1051</v>
      </c>
      <c r="C810" s="4" t="s">
        <v>68</v>
      </c>
      <c r="D810" s="8" t="s">
        <v>1522</v>
      </c>
      <c r="E810" s="8" t="s">
        <v>1523</v>
      </c>
    </row>
    <row r="811" spans="1:5" ht="14.6" x14ac:dyDescent="0.4">
      <c r="A811" s="7" t="s">
        <v>1133</v>
      </c>
      <c r="B811" s="4" t="s">
        <v>1080</v>
      </c>
      <c r="C811" s="4" t="s">
        <v>47</v>
      </c>
      <c r="D811" s="8" t="s">
        <v>1520</v>
      </c>
      <c r="E811" s="8" t="s">
        <v>1528</v>
      </c>
    </row>
    <row r="812" spans="1:5" ht="14.6" x14ac:dyDescent="0.4">
      <c r="A812" s="7" t="s">
        <v>1134</v>
      </c>
      <c r="B812" s="4" t="s">
        <v>1070</v>
      </c>
      <c r="C812" s="4" t="s">
        <v>18</v>
      </c>
      <c r="D812" s="8" t="s">
        <v>1522</v>
      </c>
      <c r="E812" s="8" t="s">
        <v>1527</v>
      </c>
    </row>
    <row r="813" spans="1:5" ht="14.6" x14ac:dyDescent="0.4">
      <c r="A813" s="7" t="s">
        <v>1135</v>
      </c>
      <c r="B813" s="4" t="s">
        <v>1027</v>
      </c>
      <c r="C813" s="4" t="s">
        <v>6</v>
      </c>
      <c r="D813" s="8" t="s">
        <v>1520</v>
      </c>
      <c r="E813" s="8" t="s">
        <v>1528</v>
      </c>
    </row>
    <row r="814" spans="1:5" ht="14.6" x14ac:dyDescent="0.4">
      <c r="A814" s="7" t="s">
        <v>1136</v>
      </c>
      <c r="B814" s="4" t="s">
        <v>1074</v>
      </c>
      <c r="C814" s="4" t="s">
        <v>15</v>
      </c>
      <c r="D814" s="8" t="s">
        <v>1522</v>
      </c>
      <c r="E814" s="8" t="s">
        <v>1527</v>
      </c>
    </row>
    <row r="815" spans="1:5" ht="14.6" x14ac:dyDescent="0.4">
      <c r="A815" s="7" t="s">
        <v>1137</v>
      </c>
      <c r="B815" s="4" t="s">
        <v>1033</v>
      </c>
      <c r="C815" s="4" t="s">
        <v>15</v>
      </c>
      <c r="D815" s="8" t="s">
        <v>1522</v>
      </c>
      <c r="E815" s="8" t="s">
        <v>1523</v>
      </c>
    </row>
    <row r="816" spans="1:5" ht="14.6" x14ac:dyDescent="0.4">
      <c r="A816" s="7" t="s">
        <v>1138</v>
      </c>
      <c r="B816" s="4" t="s">
        <v>1040</v>
      </c>
      <c r="C816" s="4" t="s">
        <v>21</v>
      </c>
      <c r="D816" s="8" t="s">
        <v>1522</v>
      </c>
      <c r="E816" s="8" t="s">
        <v>1523</v>
      </c>
    </row>
    <row r="817" spans="1:5" ht="14.6" x14ac:dyDescent="0.4">
      <c r="A817" s="7" t="s">
        <v>1139</v>
      </c>
      <c r="B817" s="4" t="s">
        <v>1087</v>
      </c>
      <c r="C817" s="4" t="s">
        <v>52</v>
      </c>
      <c r="D817" s="8" t="s">
        <v>1520</v>
      </c>
      <c r="E817" s="8" t="s">
        <v>1528</v>
      </c>
    </row>
    <row r="818" spans="1:5" ht="14.6" x14ac:dyDescent="0.4">
      <c r="A818" s="7" t="s">
        <v>1140</v>
      </c>
      <c r="B818" s="4" t="s">
        <v>1038</v>
      </c>
      <c r="C818" s="4" t="s">
        <v>9</v>
      </c>
      <c r="D818" s="8" t="s">
        <v>1522</v>
      </c>
      <c r="E818" s="8" t="s">
        <v>1532</v>
      </c>
    </row>
    <row r="819" spans="1:5" ht="14.6" x14ac:dyDescent="0.4">
      <c r="A819" s="7" t="s">
        <v>1141</v>
      </c>
      <c r="B819" s="4" t="s">
        <v>1038</v>
      </c>
      <c r="C819" s="4" t="s">
        <v>47</v>
      </c>
      <c r="D819" s="8" t="s">
        <v>1522</v>
      </c>
      <c r="E819" s="8" t="s">
        <v>1527</v>
      </c>
    </row>
    <row r="820" spans="1:5" ht="14.6" x14ac:dyDescent="0.4">
      <c r="A820" s="7" t="s">
        <v>1142</v>
      </c>
      <c r="B820" s="4" t="s">
        <v>1080</v>
      </c>
      <c r="C820" s="4" t="s">
        <v>55</v>
      </c>
      <c r="D820" s="8" t="s">
        <v>1522</v>
      </c>
      <c r="E820" s="8" t="s">
        <v>1527</v>
      </c>
    </row>
    <row r="821" spans="1:5" ht="14.6" x14ac:dyDescent="0.4">
      <c r="A821" s="7" t="s">
        <v>1143</v>
      </c>
      <c r="B821" s="4" t="s">
        <v>1102</v>
      </c>
      <c r="C821" s="4" t="s">
        <v>9</v>
      </c>
      <c r="D821" s="8" t="s">
        <v>1520</v>
      </c>
      <c r="E821" s="8" t="s">
        <v>1528</v>
      </c>
    </row>
    <row r="822" spans="1:5" ht="14.6" x14ac:dyDescent="0.4">
      <c r="A822" s="7" t="s">
        <v>1144</v>
      </c>
      <c r="B822" s="4" t="s">
        <v>1145</v>
      </c>
      <c r="C822" s="4" t="s">
        <v>29</v>
      </c>
      <c r="D822" s="8" t="s">
        <v>1522</v>
      </c>
      <c r="E822" s="8" t="s">
        <v>1527</v>
      </c>
    </row>
    <row r="823" spans="1:5" ht="14.6" x14ac:dyDescent="0.4">
      <c r="A823" s="7" t="s">
        <v>1146</v>
      </c>
      <c r="B823" s="4" t="s">
        <v>1147</v>
      </c>
      <c r="C823" s="4" t="s">
        <v>65</v>
      </c>
      <c r="D823" s="8" t="s">
        <v>1520</v>
      </c>
      <c r="E823" s="8" t="s">
        <v>1528</v>
      </c>
    </row>
    <row r="824" spans="1:5" ht="14.6" x14ac:dyDescent="0.4">
      <c r="A824" s="7" t="s">
        <v>1148</v>
      </c>
      <c r="B824" s="4" t="s">
        <v>1149</v>
      </c>
      <c r="C824" s="4" t="s">
        <v>29</v>
      </c>
      <c r="D824" s="8" t="s">
        <v>1520</v>
      </c>
      <c r="E824" s="8" t="s">
        <v>1528</v>
      </c>
    </row>
    <row r="825" spans="1:5" ht="14.6" x14ac:dyDescent="0.4">
      <c r="A825" s="7" t="s">
        <v>1150</v>
      </c>
      <c r="B825" s="4" t="s">
        <v>1151</v>
      </c>
      <c r="C825" s="4" t="s">
        <v>18</v>
      </c>
      <c r="D825" s="8" t="s">
        <v>1520</v>
      </c>
      <c r="E825" s="8" t="s">
        <v>1528</v>
      </c>
    </row>
    <row r="826" spans="1:5" ht="14.6" x14ac:dyDescent="0.4">
      <c r="A826" s="7" t="s">
        <v>1152</v>
      </c>
      <c r="B826" s="4" t="s">
        <v>1151</v>
      </c>
      <c r="C826" s="4" t="s">
        <v>6</v>
      </c>
      <c r="D826" s="8" t="s">
        <v>1520</v>
      </c>
      <c r="E826" s="8" t="s">
        <v>1528</v>
      </c>
    </row>
    <row r="827" spans="1:5" ht="14.6" x14ac:dyDescent="0.4">
      <c r="A827" s="7" t="s">
        <v>1153</v>
      </c>
      <c r="B827" s="4" t="s">
        <v>1154</v>
      </c>
      <c r="C827" s="4" t="s">
        <v>29</v>
      </c>
      <c r="D827" s="8" t="s">
        <v>1520</v>
      </c>
      <c r="E827" s="8" t="s">
        <v>1528</v>
      </c>
    </row>
    <row r="828" spans="1:5" ht="14.6" x14ac:dyDescent="0.4">
      <c r="A828" s="7" t="s">
        <v>1155</v>
      </c>
      <c r="B828" s="4" t="s">
        <v>1156</v>
      </c>
      <c r="C828" s="4" t="s">
        <v>15</v>
      </c>
      <c r="D828" s="8" t="s">
        <v>1520</v>
      </c>
      <c r="E828" s="8" t="s">
        <v>1528</v>
      </c>
    </row>
    <row r="829" spans="1:5" ht="14.6" x14ac:dyDescent="0.4">
      <c r="A829" s="7" t="s">
        <v>1157</v>
      </c>
      <c r="B829" s="4" t="s">
        <v>1158</v>
      </c>
      <c r="C829" s="4" t="s">
        <v>55</v>
      </c>
      <c r="D829" s="8" t="s">
        <v>1520</v>
      </c>
      <c r="E829" s="8" t="s">
        <v>1528</v>
      </c>
    </row>
    <row r="830" spans="1:5" ht="14.6" x14ac:dyDescent="0.4">
      <c r="A830" s="7" t="s">
        <v>1159</v>
      </c>
      <c r="B830" s="4" t="s">
        <v>1160</v>
      </c>
      <c r="C830" s="4" t="s">
        <v>12</v>
      </c>
      <c r="D830" s="8" t="s">
        <v>1520</v>
      </c>
      <c r="E830" s="8" t="s">
        <v>1528</v>
      </c>
    </row>
    <row r="831" spans="1:5" ht="14.6" x14ac:dyDescent="0.4">
      <c r="A831" s="7" t="s">
        <v>1161</v>
      </c>
      <c r="B831" s="4" t="s">
        <v>1162</v>
      </c>
      <c r="C831" s="4" t="s">
        <v>34</v>
      </c>
      <c r="D831" s="8" t="s">
        <v>1522</v>
      </c>
      <c r="E831" s="8" t="s">
        <v>1527</v>
      </c>
    </row>
    <row r="832" spans="1:5" ht="14.6" x14ac:dyDescent="0.4">
      <c r="A832" s="7" t="s">
        <v>1163</v>
      </c>
      <c r="B832" s="4" t="s">
        <v>1156</v>
      </c>
      <c r="C832" s="4" t="s">
        <v>15</v>
      </c>
      <c r="D832" s="8" t="s">
        <v>1522</v>
      </c>
      <c r="E832" s="8" t="s">
        <v>1527</v>
      </c>
    </row>
    <row r="833" spans="1:5" ht="14.6" x14ac:dyDescent="0.4">
      <c r="A833" s="7" t="s">
        <v>1164</v>
      </c>
      <c r="B833" s="4" t="s">
        <v>1149</v>
      </c>
      <c r="C833" s="4" t="s">
        <v>52</v>
      </c>
      <c r="D833" s="8" t="s">
        <v>1520</v>
      </c>
      <c r="E833" s="8" t="s">
        <v>1528</v>
      </c>
    </row>
    <row r="834" spans="1:5" ht="14.6" x14ac:dyDescent="0.4">
      <c r="A834" s="7" t="s">
        <v>1165</v>
      </c>
      <c r="B834" s="4" t="s">
        <v>1162</v>
      </c>
      <c r="C834" s="4" t="s">
        <v>24</v>
      </c>
      <c r="D834" s="8" t="s">
        <v>1522</v>
      </c>
      <c r="E834" s="8" t="s">
        <v>1527</v>
      </c>
    </row>
    <row r="835" spans="1:5" ht="14.6" x14ac:dyDescent="0.4">
      <c r="A835" s="7" t="s">
        <v>1166</v>
      </c>
      <c r="B835" s="4" t="s">
        <v>1167</v>
      </c>
      <c r="C835" s="4" t="s">
        <v>21</v>
      </c>
      <c r="D835" s="8" t="s">
        <v>1520</v>
      </c>
      <c r="E835" s="8" t="s">
        <v>1528</v>
      </c>
    </row>
    <row r="836" spans="1:5" ht="14.6" x14ac:dyDescent="0.4">
      <c r="A836" s="7" t="s">
        <v>1168</v>
      </c>
      <c r="B836" s="4" t="s">
        <v>1169</v>
      </c>
      <c r="C836" s="4" t="s">
        <v>21</v>
      </c>
      <c r="D836" s="8" t="s">
        <v>1520</v>
      </c>
      <c r="E836" s="8" t="s">
        <v>1528</v>
      </c>
    </row>
    <row r="837" spans="1:5" ht="14.6" x14ac:dyDescent="0.4">
      <c r="A837" s="7" t="s">
        <v>1170</v>
      </c>
      <c r="B837" s="4" t="s">
        <v>1167</v>
      </c>
      <c r="C837" s="4" t="s">
        <v>68</v>
      </c>
      <c r="D837" s="8" t="s">
        <v>1520</v>
      </c>
      <c r="E837" s="8" t="s">
        <v>1528</v>
      </c>
    </row>
    <row r="838" spans="1:5" ht="14.6" x14ac:dyDescent="0.4">
      <c r="A838" s="7" t="s">
        <v>1171</v>
      </c>
      <c r="B838" s="4" t="s">
        <v>1167</v>
      </c>
      <c r="C838" s="4" t="s">
        <v>29</v>
      </c>
      <c r="D838" s="8" t="s">
        <v>1520</v>
      </c>
      <c r="E838" s="8" t="s">
        <v>1528</v>
      </c>
    </row>
    <row r="839" spans="1:5" ht="14.6" x14ac:dyDescent="0.4">
      <c r="A839" s="7" t="s">
        <v>1172</v>
      </c>
      <c r="B839" s="4" t="s">
        <v>1167</v>
      </c>
      <c r="C839" s="4" t="s">
        <v>52</v>
      </c>
      <c r="D839" s="8" t="s">
        <v>1520</v>
      </c>
      <c r="E839" s="8" t="s">
        <v>1528</v>
      </c>
    </row>
    <row r="840" spans="1:5" ht="14.6" x14ac:dyDescent="0.4">
      <c r="A840" s="7" t="s">
        <v>1173</v>
      </c>
      <c r="B840" s="4" t="s">
        <v>1149</v>
      </c>
      <c r="C840" s="4" t="s">
        <v>65</v>
      </c>
      <c r="D840" s="8" t="s">
        <v>1522</v>
      </c>
      <c r="E840" s="8" t="s">
        <v>1527</v>
      </c>
    </row>
    <row r="841" spans="1:5" ht="14.6" x14ac:dyDescent="0.4">
      <c r="A841" s="7" t="s">
        <v>1174</v>
      </c>
      <c r="B841" s="4" t="s">
        <v>1167</v>
      </c>
      <c r="C841" s="4" t="s">
        <v>18</v>
      </c>
      <c r="D841" s="8" t="s">
        <v>1520</v>
      </c>
      <c r="E841" s="8" t="s">
        <v>1528</v>
      </c>
    </row>
    <row r="842" spans="1:5" ht="14.6" x14ac:dyDescent="0.4">
      <c r="A842" s="7" t="s">
        <v>1175</v>
      </c>
      <c r="B842" s="4" t="s">
        <v>1176</v>
      </c>
      <c r="C842" s="4" t="s">
        <v>18</v>
      </c>
      <c r="D842" s="8" t="s">
        <v>1522</v>
      </c>
      <c r="E842" s="8" t="s">
        <v>1527</v>
      </c>
    </row>
    <row r="843" spans="1:5" ht="14.6" x14ac:dyDescent="0.4">
      <c r="A843" s="7" t="s">
        <v>1177</v>
      </c>
      <c r="B843" s="4" t="s">
        <v>1178</v>
      </c>
      <c r="C843" s="4" t="s">
        <v>29</v>
      </c>
      <c r="D843" s="8" t="s">
        <v>1520</v>
      </c>
      <c r="E843" s="8" t="s">
        <v>1528</v>
      </c>
    </row>
    <row r="844" spans="1:5" ht="14.6" x14ac:dyDescent="0.4">
      <c r="A844" s="7" t="s">
        <v>1179</v>
      </c>
      <c r="B844" s="4" t="s">
        <v>1162</v>
      </c>
      <c r="C844" s="4" t="s">
        <v>68</v>
      </c>
      <c r="D844" s="8" t="s">
        <v>1520</v>
      </c>
      <c r="E844" s="8" t="s">
        <v>1528</v>
      </c>
    </row>
    <row r="845" spans="1:5" ht="14.6" x14ac:dyDescent="0.4">
      <c r="A845" s="7" t="s">
        <v>1180</v>
      </c>
      <c r="B845" s="4" t="s">
        <v>1167</v>
      </c>
      <c r="C845" s="4" t="s">
        <v>29</v>
      </c>
      <c r="D845" s="8" t="s">
        <v>1520</v>
      </c>
      <c r="E845" s="8" t="s">
        <v>1528</v>
      </c>
    </row>
    <row r="846" spans="1:5" ht="14.6" x14ac:dyDescent="0.4">
      <c r="A846" s="7" t="s">
        <v>1181</v>
      </c>
      <c r="B846" s="4" t="s">
        <v>1154</v>
      </c>
      <c r="C846" s="4" t="s">
        <v>34</v>
      </c>
      <c r="D846" s="8" t="s">
        <v>1520</v>
      </c>
      <c r="E846" s="8" t="s">
        <v>1528</v>
      </c>
    </row>
    <row r="847" spans="1:5" ht="14.6" x14ac:dyDescent="0.4">
      <c r="A847" s="7" t="s">
        <v>1182</v>
      </c>
      <c r="B847" s="4" t="s">
        <v>1183</v>
      </c>
      <c r="C847" s="4" t="s">
        <v>12</v>
      </c>
      <c r="D847" s="8" t="s">
        <v>1520</v>
      </c>
      <c r="E847" s="8" t="s">
        <v>1528</v>
      </c>
    </row>
    <row r="848" spans="1:5" ht="14.6" x14ac:dyDescent="0.4">
      <c r="A848" s="7" t="s">
        <v>1184</v>
      </c>
      <c r="B848" s="4" t="s">
        <v>1183</v>
      </c>
      <c r="C848" s="4" t="s">
        <v>21</v>
      </c>
      <c r="D848" s="8" t="s">
        <v>1520</v>
      </c>
      <c r="E848" s="8" t="s">
        <v>1528</v>
      </c>
    </row>
    <row r="849" spans="1:5" ht="14.6" x14ac:dyDescent="0.4">
      <c r="A849" s="7" t="s">
        <v>1185</v>
      </c>
      <c r="B849" s="4" t="s">
        <v>1167</v>
      </c>
      <c r="C849" s="4" t="s">
        <v>52</v>
      </c>
      <c r="D849" s="8" t="s">
        <v>1520</v>
      </c>
      <c r="E849" s="8" t="s">
        <v>1528</v>
      </c>
    </row>
    <row r="850" spans="1:5" ht="14.6" x14ac:dyDescent="0.4">
      <c r="A850" s="7" t="s">
        <v>1186</v>
      </c>
      <c r="B850" s="4" t="s">
        <v>1167</v>
      </c>
      <c r="C850" s="4" t="s">
        <v>65</v>
      </c>
      <c r="D850" s="8" t="s">
        <v>1520</v>
      </c>
      <c r="E850" s="8" t="s">
        <v>1528</v>
      </c>
    </row>
    <row r="851" spans="1:5" ht="14.6" x14ac:dyDescent="0.4">
      <c r="A851" s="7" t="s">
        <v>1187</v>
      </c>
      <c r="B851" s="4" t="s">
        <v>1188</v>
      </c>
      <c r="C851" s="4" t="s">
        <v>52</v>
      </c>
      <c r="D851" s="8" t="s">
        <v>1520</v>
      </c>
      <c r="E851" s="8" t="s">
        <v>1528</v>
      </c>
    </row>
    <row r="852" spans="1:5" ht="14.6" x14ac:dyDescent="0.4">
      <c r="A852" s="7" t="s">
        <v>1189</v>
      </c>
      <c r="B852" s="4" t="s">
        <v>1167</v>
      </c>
      <c r="C852" s="4" t="s">
        <v>15</v>
      </c>
      <c r="D852" s="8" t="s">
        <v>1520</v>
      </c>
      <c r="E852" s="8" t="s">
        <v>1528</v>
      </c>
    </row>
    <row r="853" spans="1:5" ht="14.6" x14ac:dyDescent="0.4">
      <c r="A853" s="7" t="s">
        <v>1190</v>
      </c>
      <c r="B853" s="4" t="s">
        <v>1191</v>
      </c>
      <c r="C853" s="4" t="s">
        <v>6</v>
      </c>
      <c r="D853" s="8" t="s">
        <v>1520</v>
      </c>
      <c r="E853" s="8" t="s">
        <v>1528</v>
      </c>
    </row>
    <row r="854" spans="1:5" ht="14.6" x14ac:dyDescent="0.4">
      <c r="A854" s="7" t="s">
        <v>1192</v>
      </c>
      <c r="B854" s="4" t="s">
        <v>1151</v>
      </c>
      <c r="C854" s="4" t="s">
        <v>9</v>
      </c>
      <c r="D854" s="8" t="s">
        <v>1520</v>
      </c>
      <c r="E854" s="8" t="s">
        <v>1528</v>
      </c>
    </row>
    <row r="855" spans="1:5" ht="14.6" x14ac:dyDescent="0.4">
      <c r="A855" s="7" t="s">
        <v>1193</v>
      </c>
      <c r="B855" s="4" t="s">
        <v>1176</v>
      </c>
      <c r="C855" s="4" t="s">
        <v>6</v>
      </c>
      <c r="D855" s="8" t="s">
        <v>1520</v>
      </c>
      <c r="E855" s="8" t="s">
        <v>1528</v>
      </c>
    </row>
    <row r="856" spans="1:5" ht="14.6" x14ac:dyDescent="0.4">
      <c r="A856" s="7" t="s">
        <v>1194</v>
      </c>
      <c r="B856" s="4" t="s">
        <v>1158</v>
      </c>
      <c r="C856" s="4" t="s">
        <v>29</v>
      </c>
      <c r="D856" s="8" t="s">
        <v>1522</v>
      </c>
      <c r="E856" s="8" t="s">
        <v>1527</v>
      </c>
    </row>
    <row r="857" spans="1:5" ht="14.6" x14ac:dyDescent="0.4">
      <c r="A857" s="7" t="s">
        <v>1195</v>
      </c>
      <c r="B857" s="4" t="s">
        <v>1167</v>
      </c>
      <c r="C857" s="4" t="s">
        <v>29</v>
      </c>
      <c r="D857" s="8" t="s">
        <v>1522</v>
      </c>
      <c r="E857" s="8" t="s">
        <v>1527</v>
      </c>
    </row>
    <row r="858" spans="1:5" ht="14.6" x14ac:dyDescent="0.4">
      <c r="A858" s="7" t="s">
        <v>1196</v>
      </c>
      <c r="B858" s="4" t="s">
        <v>1167</v>
      </c>
      <c r="C858" s="4" t="s">
        <v>52</v>
      </c>
      <c r="D858" s="8" t="s">
        <v>1522</v>
      </c>
      <c r="E858" s="8" t="s">
        <v>1523</v>
      </c>
    </row>
    <row r="859" spans="1:5" ht="14.6" x14ac:dyDescent="0.4">
      <c r="A859" s="7" t="s">
        <v>1197</v>
      </c>
      <c r="B859" s="4" t="s">
        <v>1147</v>
      </c>
      <c r="C859" s="4" t="s">
        <v>6</v>
      </c>
      <c r="D859" s="8" t="s">
        <v>1520</v>
      </c>
      <c r="E859" s="8" t="s">
        <v>1528</v>
      </c>
    </row>
    <row r="860" spans="1:5" ht="14.6" x14ac:dyDescent="0.4">
      <c r="A860" s="7" t="s">
        <v>1198</v>
      </c>
      <c r="B860" s="4" t="s">
        <v>1167</v>
      </c>
      <c r="C860" s="4" t="s">
        <v>12</v>
      </c>
      <c r="D860" s="8" t="s">
        <v>1522</v>
      </c>
      <c r="E860" s="8" t="s">
        <v>1527</v>
      </c>
    </row>
    <row r="861" spans="1:5" ht="14.6" x14ac:dyDescent="0.4">
      <c r="A861" s="7" t="s">
        <v>1199</v>
      </c>
      <c r="B861" s="4" t="s">
        <v>1200</v>
      </c>
      <c r="C861" s="4" t="s">
        <v>18</v>
      </c>
      <c r="D861" s="8" t="s">
        <v>1522</v>
      </c>
      <c r="E861" s="8" t="s">
        <v>1523</v>
      </c>
    </row>
    <row r="862" spans="1:5" ht="14.6" x14ac:dyDescent="0.4">
      <c r="A862" s="7" t="s">
        <v>1201</v>
      </c>
      <c r="B862" s="4" t="s">
        <v>1156</v>
      </c>
      <c r="C862" s="4" t="s">
        <v>15</v>
      </c>
      <c r="D862" s="8" t="s">
        <v>1520</v>
      </c>
      <c r="E862" s="8" t="s">
        <v>1528</v>
      </c>
    </row>
    <row r="863" spans="1:5" ht="14.6" x14ac:dyDescent="0.4">
      <c r="A863" s="7" t="s">
        <v>1202</v>
      </c>
      <c r="B863" s="4" t="s">
        <v>1154</v>
      </c>
      <c r="C863" s="4" t="s">
        <v>68</v>
      </c>
      <c r="D863" s="8" t="s">
        <v>1520</v>
      </c>
      <c r="E863" s="8" t="s">
        <v>1528</v>
      </c>
    </row>
    <row r="864" spans="1:5" ht="14.6" x14ac:dyDescent="0.4">
      <c r="A864" s="7" t="s">
        <v>1203</v>
      </c>
      <c r="B864" s="4" t="s">
        <v>1178</v>
      </c>
      <c r="C864" s="4" t="s">
        <v>9</v>
      </c>
      <c r="D864" s="8" t="s">
        <v>1520</v>
      </c>
      <c r="E864" s="8" t="s">
        <v>1528</v>
      </c>
    </row>
    <row r="865" spans="1:5" ht="14.6" x14ac:dyDescent="0.4">
      <c r="A865" s="7" t="s">
        <v>1204</v>
      </c>
      <c r="B865" s="4" t="s">
        <v>1178</v>
      </c>
      <c r="C865" s="4" t="s">
        <v>24</v>
      </c>
      <c r="D865" s="8" t="s">
        <v>1520</v>
      </c>
      <c r="E865" s="8" t="s">
        <v>1528</v>
      </c>
    </row>
    <row r="866" spans="1:5" ht="14.6" x14ac:dyDescent="0.4">
      <c r="A866" s="7" t="s">
        <v>1205</v>
      </c>
      <c r="B866" s="4" t="s">
        <v>1154</v>
      </c>
      <c r="C866" s="4" t="s">
        <v>58</v>
      </c>
      <c r="D866" s="8" t="s">
        <v>1520</v>
      </c>
      <c r="E866" s="8" t="s">
        <v>1528</v>
      </c>
    </row>
    <row r="867" spans="1:5" ht="14.6" x14ac:dyDescent="0.4">
      <c r="A867" s="7" t="s">
        <v>1206</v>
      </c>
      <c r="B867" s="4" t="s">
        <v>1158</v>
      </c>
      <c r="C867" s="4" t="s">
        <v>15</v>
      </c>
      <c r="D867" s="8" t="s">
        <v>1520</v>
      </c>
      <c r="E867" s="8" t="s">
        <v>1528</v>
      </c>
    </row>
    <row r="868" spans="1:5" ht="14.6" x14ac:dyDescent="0.4">
      <c r="A868" s="7" t="s">
        <v>1207</v>
      </c>
      <c r="B868" s="4" t="s">
        <v>1156</v>
      </c>
      <c r="C868" s="4" t="s">
        <v>29</v>
      </c>
      <c r="D868" s="8" t="s">
        <v>1522</v>
      </c>
      <c r="E868" s="8" t="s">
        <v>1523</v>
      </c>
    </row>
    <row r="869" spans="1:5" ht="14.6" x14ac:dyDescent="0.4">
      <c r="A869" s="7" t="s">
        <v>1208</v>
      </c>
      <c r="B869" s="4" t="s">
        <v>1167</v>
      </c>
      <c r="C869" s="4" t="s">
        <v>65</v>
      </c>
      <c r="D869" s="8" t="s">
        <v>1520</v>
      </c>
      <c r="E869" s="8" t="s">
        <v>1528</v>
      </c>
    </row>
    <row r="870" spans="1:5" ht="14.6" x14ac:dyDescent="0.4">
      <c r="A870" s="7" t="s">
        <v>1209</v>
      </c>
      <c r="B870" s="4" t="s">
        <v>1162</v>
      </c>
      <c r="C870" s="4" t="s">
        <v>9</v>
      </c>
      <c r="D870" s="8" t="s">
        <v>1520</v>
      </c>
      <c r="E870" s="8" t="s">
        <v>1528</v>
      </c>
    </row>
    <row r="871" spans="1:5" ht="14.6" x14ac:dyDescent="0.4">
      <c r="A871" s="7" t="s">
        <v>1210</v>
      </c>
      <c r="B871" s="4" t="s">
        <v>1167</v>
      </c>
      <c r="C871" s="4" t="s">
        <v>65</v>
      </c>
      <c r="D871" s="8" t="s">
        <v>1522</v>
      </c>
      <c r="E871" s="8" t="s">
        <v>1523</v>
      </c>
    </row>
    <row r="872" spans="1:5" ht="14.6" x14ac:dyDescent="0.4">
      <c r="A872" s="7" t="s">
        <v>1211</v>
      </c>
      <c r="B872" s="4" t="s">
        <v>1160</v>
      </c>
      <c r="C872" s="4" t="s">
        <v>9</v>
      </c>
      <c r="D872" s="8" t="s">
        <v>1522</v>
      </c>
      <c r="E872" s="8" t="s">
        <v>1523</v>
      </c>
    </row>
    <row r="873" spans="1:5" ht="14.6" x14ac:dyDescent="0.4">
      <c r="A873" s="7" t="s">
        <v>1212</v>
      </c>
      <c r="B873" s="4" t="s">
        <v>1145</v>
      </c>
      <c r="C873" s="4" t="s">
        <v>21</v>
      </c>
      <c r="D873" s="8" t="s">
        <v>1520</v>
      </c>
      <c r="E873" s="8" t="s">
        <v>1528</v>
      </c>
    </row>
    <row r="874" spans="1:5" ht="14.6" x14ac:dyDescent="0.4">
      <c r="A874" s="7" t="s">
        <v>1213</v>
      </c>
      <c r="B874" s="4" t="s">
        <v>1156</v>
      </c>
      <c r="C874" s="4" t="s">
        <v>58</v>
      </c>
      <c r="D874" s="8" t="s">
        <v>1522</v>
      </c>
      <c r="E874" s="8" t="s">
        <v>1527</v>
      </c>
    </row>
    <row r="875" spans="1:5" ht="14.6" x14ac:dyDescent="0.4">
      <c r="A875" s="7" t="s">
        <v>1214</v>
      </c>
      <c r="B875" s="4" t="s">
        <v>1167</v>
      </c>
      <c r="C875" s="4" t="s">
        <v>6</v>
      </c>
      <c r="D875" s="8" t="s">
        <v>1520</v>
      </c>
      <c r="E875" s="8" t="s">
        <v>1528</v>
      </c>
    </row>
    <row r="876" spans="1:5" ht="14.6" x14ac:dyDescent="0.4">
      <c r="A876" s="7" t="s">
        <v>1215</v>
      </c>
      <c r="B876" s="4" t="s">
        <v>1188</v>
      </c>
      <c r="C876" s="4" t="s">
        <v>12</v>
      </c>
      <c r="D876" s="8" t="s">
        <v>1520</v>
      </c>
      <c r="E876" s="8" t="s">
        <v>1528</v>
      </c>
    </row>
    <row r="877" spans="1:5" ht="14.6" x14ac:dyDescent="0.4">
      <c r="A877" s="7" t="s">
        <v>1216</v>
      </c>
      <c r="B877" s="4" t="s">
        <v>1217</v>
      </c>
      <c r="C877" s="4" t="s">
        <v>18</v>
      </c>
      <c r="D877" s="8" t="s">
        <v>1520</v>
      </c>
      <c r="E877" s="8" t="s">
        <v>1528</v>
      </c>
    </row>
    <row r="878" spans="1:5" ht="14.6" x14ac:dyDescent="0.4">
      <c r="A878" s="7" t="s">
        <v>1218</v>
      </c>
      <c r="B878" s="4" t="s">
        <v>1162</v>
      </c>
      <c r="C878" s="4" t="s">
        <v>21</v>
      </c>
      <c r="D878" s="8" t="s">
        <v>1522</v>
      </c>
      <c r="E878" s="8" t="s">
        <v>1523</v>
      </c>
    </row>
    <row r="879" spans="1:5" ht="14.6" x14ac:dyDescent="0.4">
      <c r="A879" s="7" t="s">
        <v>1219</v>
      </c>
      <c r="B879" s="4" t="s">
        <v>1162</v>
      </c>
      <c r="C879" s="4" t="s">
        <v>34</v>
      </c>
      <c r="D879" s="8" t="s">
        <v>1520</v>
      </c>
      <c r="E879" s="8" t="s">
        <v>1528</v>
      </c>
    </row>
    <row r="880" spans="1:5" ht="14.6" x14ac:dyDescent="0.4">
      <c r="A880" s="7" t="s">
        <v>1220</v>
      </c>
      <c r="B880" s="4" t="s">
        <v>1217</v>
      </c>
      <c r="C880" s="4" t="s">
        <v>24</v>
      </c>
      <c r="D880" s="8" t="s">
        <v>1520</v>
      </c>
      <c r="E880" s="8" t="s">
        <v>1528</v>
      </c>
    </row>
    <row r="881" spans="1:5" ht="14.6" x14ac:dyDescent="0.4">
      <c r="A881" s="7" t="s">
        <v>1221</v>
      </c>
      <c r="B881" s="4" t="s">
        <v>1167</v>
      </c>
      <c r="C881" s="4" t="s">
        <v>18</v>
      </c>
      <c r="D881" s="8" t="s">
        <v>1522</v>
      </c>
      <c r="E881" s="8" t="s">
        <v>1527</v>
      </c>
    </row>
    <row r="882" spans="1:5" ht="14.6" x14ac:dyDescent="0.4">
      <c r="A882" s="7" t="s">
        <v>1222</v>
      </c>
      <c r="B882" s="4" t="s">
        <v>1167</v>
      </c>
      <c r="C882" s="4" t="s">
        <v>6</v>
      </c>
      <c r="D882" s="8" t="s">
        <v>1522</v>
      </c>
      <c r="E882" s="8" t="s">
        <v>1525</v>
      </c>
    </row>
    <row r="883" spans="1:5" ht="14.6" x14ac:dyDescent="0.4">
      <c r="A883" s="7" t="s">
        <v>1223</v>
      </c>
      <c r="B883" s="4" t="s">
        <v>1145</v>
      </c>
      <c r="C883" s="4" t="s">
        <v>15</v>
      </c>
      <c r="D883" s="8" t="s">
        <v>1520</v>
      </c>
      <c r="E883" s="8" t="s">
        <v>1528</v>
      </c>
    </row>
    <row r="884" spans="1:5" ht="14.6" x14ac:dyDescent="0.4">
      <c r="A884" s="7" t="s">
        <v>1224</v>
      </c>
      <c r="B884" s="4" t="s">
        <v>1225</v>
      </c>
      <c r="C884" s="4" t="s">
        <v>58</v>
      </c>
      <c r="D884" s="8" t="s">
        <v>1522</v>
      </c>
      <c r="E884" s="8" t="s">
        <v>1527</v>
      </c>
    </row>
    <row r="885" spans="1:5" ht="14.6" x14ac:dyDescent="0.4">
      <c r="A885" s="7" t="s">
        <v>1226</v>
      </c>
      <c r="B885" s="4" t="s">
        <v>1169</v>
      </c>
      <c r="C885" s="4" t="s">
        <v>15</v>
      </c>
      <c r="D885" s="8" t="s">
        <v>1520</v>
      </c>
      <c r="E885" s="8" t="s">
        <v>1528</v>
      </c>
    </row>
    <row r="886" spans="1:5" ht="14.6" x14ac:dyDescent="0.4">
      <c r="A886" s="7" t="s">
        <v>1227</v>
      </c>
      <c r="B886" s="4" t="s">
        <v>1217</v>
      </c>
      <c r="C886" s="4" t="s">
        <v>18</v>
      </c>
      <c r="D886" s="8" t="s">
        <v>1520</v>
      </c>
      <c r="E886" s="8" t="s">
        <v>1528</v>
      </c>
    </row>
    <row r="887" spans="1:5" ht="14.6" x14ac:dyDescent="0.4">
      <c r="A887" s="7" t="s">
        <v>1228</v>
      </c>
      <c r="B887" s="4" t="s">
        <v>1151</v>
      </c>
      <c r="C887" s="4" t="s">
        <v>55</v>
      </c>
      <c r="D887" s="8" t="s">
        <v>1522</v>
      </c>
      <c r="E887" s="8" t="s">
        <v>1523</v>
      </c>
    </row>
    <row r="888" spans="1:5" ht="14.6" x14ac:dyDescent="0.4">
      <c r="A888" s="7" t="s">
        <v>1229</v>
      </c>
      <c r="B888" s="4" t="s">
        <v>1225</v>
      </c>
      <c r="C888" s="4" t="s">
        <v>18</v>
      </c>
      <c r="D888" s="8" t="s">
        <v>1522</v>
      </c>
      <c r="E888" s="8" t="s">
        <v>1523</v>
      </c>
    </row>
    <row r="889" spans="1:5" ht="14.6" x14ac:dyDescent="0.4">
      <c r="A889" s="7" t="s">
        <v>1230</v>
      </c>
      <c r="B889" s="4" t="s">
        <v>1178</v>
      </c>
      <c r="C889" s="4" t="s">
        <v>55</v>
      </c>
      <c r="D889" s="8" t="s">
        <v>1520</v>
      </c>
      <c r="E889" s="8" t="s">
        <v>1528</v>
      </c>
    </row>
    <row r="890" spans="1:5" ht="14.6" x14ac:dyDescent="0.4">
      <c r="A890" s="7" t="s">
        <v>1231</v>
      </c>
      <c r="B890" s="4" t="s">
        <v>1183</v>
      </c>
      <c r="C890" s="4" t="s">
        <v>65</v>
      </c>
      <c r="D890" s="8" t="s">
        <v>1520</v>
      </c>
      <c r="E890" s="8" t="s">
        <v>1528</v>
      </c>
    </row>
    <row r="891" spans="1:5" ht="14.6" x14ac:dyDescent="0.4">
      <c r="A891" s="7" t="s">
        <v>1232</v>
      </c>
      <c r="B891" s="4" t="s">
        <v>1176</v>
      </c>
      <c r="C891" s="4" t="s">
        <v>47</v>
      </c>
      <c r="D891" s="8" t="s">
        <v>1520</v>
      </c>
      <c r="E891" s="8" t="s">
        <v>1528</v>
      </c>
    </row>
    <row r="892" spans="1:5" ht="14.6" x14ac:dyDescent="0.4">
      <c r="A892" s="7" t="s">
        <v>1233</v>
      </c>
      <c r="B892" s="4" t="s">
        <v>1225</v>
      </c>
      <c r="C892" s="4" t="s">
        <v>21</v>
      </c>
      <c r="D892" s="8" t="s">
        <v>1520</v>
      </c>
      <c r="E892" s="8" t="s">
        <v>1528</v>
      </c>
    </row>
    <row r="893" spans="1:5" ht="14.6" x14ac:dyDescent="0.4">
      <c r="A893" s="7" t="s">
        <v>1234</v>
      </c>
      <c r="B893" s="4" t="s">
        <v>1158</v>
      </c>
      <c r="C893" s="4" t="s">
        <v>65</v>
      </c>
      <c r="D893" s="8" t="s">
        <v>1520</v>
      </c>
      <c r="E893" s="8" t="s">
        <v>1528</v>
      </c>
    </row>
    <row r="894" spans="1:5" ht="14.6" x14ac:dyDescent="0.4">
      <c r="A894" s="7" t="s">
        <v>1235</v>
      </c>
      <c r="B894" s="4" t="s">
        <v>1178</v>
      </c>
      <c r="C894" s="4" t="s">
        <v>21</v>
      </c>
      <c r="D894" s="8" t="s">
        <v>1522</v>
      </c>
      <c r="E894" s="8" t="s">
        <v>1527</v>
      </c>
    </row>
    <row r="895" spans="1:5" ht="14.6" x14ac:dyDescent="0.4">
      <c r="A895" s="7" t="s">
        <v>1236</v>
      </c>
      <c r="B895" s="4" t="s">
        <v>1176</v>
      </c>
      <c r="C895" s="4" t="s">
        <v>18</v>
      </c>
      <c r="D895" s="8" t="s">
        <v>1520</v>
      </c>
      <c r="E895" s="8" t="s">
        <v>1528</v>
      </c>
    </row>
    <row r="896" spans="1:5" ht="14.6" x14ac:dyDescent="0.4">
      <c r="A896" s="7" t="s">
        <v>1237</v>
      </c>
      <c r="B896" s="4" t="s">
        <v>1158</v>
      </c>
      <c r="C896" s="4" t="s">
        <v>55</v>
      </c>
      <c r="D896" s="8" t="s">
        <v>1522</v>
      </c>
      <c r="E896" s="8" t="s">
        <v>1523</v>
      </c>
    </row>
    <row r="897" spans="1:5" ht="14.6" x14ac:dyDescent="0.4">
      <c r="A897" s="7" t="s">
        <v>1238</v>
      </c>
      <c r="B897" s="4" t="s">
        <v>1167</v>
      </c>
      <c r="C897" s="4" t="s">
        <v>18</v>
      </c>
      <c r="D897" s="8" t="s">
        <v>1522</v>
      </c>
      <c r="E897" s="8" t="s">
        <v>1525</v>
      </c>
    </row>
    <row r="898" spans="1:5" ht="14.6" x14ac:dyDescent="0.4">
      <c r="A898" s="7" t="s">
        <v>1239</v>
      </c>
      <c r="B898" s="4" t="s">
        <v>1176</v>
      </c>
      <c r="C898" s="4" t="s">
        <v>58</v>
      </c>
      <c r="D898" s="8" t="s">
        <v>1522</v>
      </c>
      <c r="E898" s="8" t="s">
        <v>1523</v>
      </c>
    </row>
    <row r="899" spans="1:5" ht="14.6" x14ac:dyDescent="0.4">
      <c r="A899" s="7" t="s">
        <v>1240</v>
      </c>
      <c r="B899" s="4" t="s">
        <v>1167</v>
      </c>
      <c r="C899" s="4" t="s">
        <v>68</v>
      </c>
      <c r="D899" s="8" t="s">
        <v>1520</v>
      </c>
      <c r="E899" s="8" t="s">
        <v>1528</v>
      </c>
    </row>
    <row r="900" spans="1:5" ht="14.6" x14ac:dyDescent="0.4">
      <c r="A900" s="7" t="s">
        <v>1241</v>
      </c>
      <c r="B900" s="4" t="s">
        <v>1217</v>
      </c>
      <c r="C900" s="4" t="s">
        <v>6</v>
      </c>
      <c r="D900" s="8" t="s">
        <v>1520</v>
      </c>
      <c r="E900" s="8" t="s">
        <v>1528</v>
      </c>
    </row>
    <row r="901" spans="1:5" ht="14.6" x14ac:dyDescent="0.4">
      <c r="A901" s="7" t="s">
        <v>1242</v>
      </c>
      <c r="B901" s="4" t="s">
        <v>1188</v>
      </c>
      <c r="C901" s="4" t="s">
        <v>68</v>
      </c>
      <c r="D901" s="8" t="s">
        <v>1520</v>
      </c>
      <c r="E901" s="8" t="s">
        <v>1528</v>
      </c>
    </row>
    <row r="902" spans="1:5" ht="14.6" x14ac:dyDescent="0.4">
      <c r="A902" s="7" t="s">
        <v>1243</v>
      </c>
      <c r="B902" s="4" t="s">
        <v>1191</v>
      </c>
      <c r="C902" s="4" t="s">
        <v>15</v>
      </c>
      <c r="D902" s="8" t="s">
        <v>1522</v>
      </c>
      <c r="E902" s="8" t="s">
        <v>1527</v>
      </c>
    </row>
    <row r="903" spans="1:5" ht="14.6" x14ac:dyDescent="0.4">
      <c r="A903" s="7" t="s">
        <v>1244</v>
      </c>
      <c r="B903" s="4" t="s">
        <v>1167</v>
      </c>
      <c r="C903" s="4" t="s">
        <v>68</v>
      </c>
      <c r="D903" s="8" t="s">
        <v>1520</v>
      </c>
      <c r="E903" s="8" t="s">
        <v>1528</v>
      </c>
    </row>
    <row r="904" spans="1:5" ht="14.6" x14ac:dyDescent="0.4">
      <c r="A904" s="7" t="s">
        <v>1245</v>
      </c>
      <c r="B904" s="4" t="s">
        <v>1167</v>
      </c>
      <c r="C904" s="4" t="s">
        <v>6</v>
      </c>
      <c r="D904" s="8" t="s">
        <v>1520</v>
      </c>
      <c r="E904" s="8" t="s">
        <v>1528</v>
      </c>
    </row>
    <row r="905" spans="1:5" ht="14.6" x14ac:dyDescent="0.4">
      <c r="A905" s="7" t="s">
        <v>1246</v>
      </c>
      <c r="B905" s="4" t="s">
        <v>1167</v>
      </c>
      <c r="C905" s="4" t="s">
        <v>24</v>
      </c>
      <c r="D905" s="8" t="s">
        <v>1520</v>
      </c>
      <c r="E905" s="8" t="s">
        <v>1528</v>
      </c>
    </row>
    <row r="906" spans="1:5" ht="14.6" x14ac:dyDescent="0.4">
      <c r="A906" s="7" t="s">
        <v>1247</v>
      </c>
      <c r="B906" s="4" t="s">
        <v>1145</v>
      </c>
      <c r="C906" s="4" t="s">
        <v>58</v>
      </c>
      <c r="D906" s="8" t="s">
        <v>1520</v>
      </c>
      <c r="E906" s="8" t="s">
        <v>1528</v>
      </c>
    </row>
    <row r="907" spans="1:5" ht="14.6" x14ac:dyDescent="0.4">
      <c r="A907" s="7" t="s">
        <v>1248</v>
      </c>
      <c r="B907" s="4" t="s">
        <v>1200</v>
      </c>
      <c r="C907" s="4" t="s">
        <v>65</v>
      </c>
      <c r="D907" s="8" t="s">
        <v>1522</v>
      </c>
      <c r="E907" s="8" t="s">
        <v>1529</v>
      </c>
    </row>
    <row r="908" spans="1:5" ht="14.6" x14ac:dyDescent="0.4">
      <c r="A908" s="7" t="s">
        <v>1249</v>
      </c>
      <c r="B908" s="4" t="s">
        <v>1188</v>
      </c>
      <c r="C908" s="4" t="s">
        <v>12</v>
      </c>
      <c r="D908" s="8" t="s">
        <v>1522</v>
      </c>
      <c r="E908" s="8" t="s">
        <v>1527</v>
      </c>
    </row>
    <row r="909" spans="1:5" ht="14.6" x14ac:dyDescent="0.4">
      <c r="A909" s="7" t="s">
        <v>1250</v>
      </c>
      <c r="B909" s="4" t="s">
        <v>1167</v>
      </c>
      <c r="C909" s="4" t="s">
        <v>9</v>
      </c>
      <c r="D909" s="8" t="s">
        <v>1520</v>
      </c>
      <c r="E909" s="8" t="s">
        <v>1528</v>
      </c>
    </row>
    <row r="910" spans="1:5" ht="14.6" x14ac:dyDescent="0.4">
      <c r="A910" s="7" t="s">
        <v>1251</v>
      </c>
      <c r="B910" s="4" t="s">
        <v>1167</v>
      </c>
      <c r="C910" s="4" t="s">
        <v>29</v>
      </c>
      <c r="D910" s="8" t="s">
        <v>1522</v>
      </c>
      <c r="E910" s="8" t="s">
        <v>1527</v>
      </c>
    </row>
    <row r="911" spans="1:5" ht="14.6" x14ac:dyDescent="0.4">
      <c r="A911" s="7" t="s">
        <v>1252</v>
      </c>
      <c r="B911" s="4" t="s">
        <v>1183</v>
      </c>
      <c r="C911" s="4" t="s">
        <v>58</v>
      </c>
      <c r="D911" s="8" t="s">
        <v>1522</v>
      </c>
      <c r="E911" s="8" t="s">
        <v>1529</v>
      </c>
    </row>
    <row r="912" spans="1:5" ht="14.6" x14ac:dyDescent="0.4">
      <c r="A912" s="7" t="s">
        <v>1253</v>
      </c>
      <c r="B912" s="4" t="s">
        <v>1169</v>
      </c>
      <c r="C912" s="4" t="s">
        <v>12</v>
      </c>
      <c r="D912" s="8" t="s">
        <v>1522</v>
      </c>
      <c r="E912" s="8" t="s">
        <v>1529</v>
      </c>
    </row>
    <row r="913" spans="1:5" ht="14.6" x14ac:dyDescent="0.4">
      <c r="A913" s="7" t="s">
        <v>1254</v>
      </c>
      <c r="B913" s="4" t="s">
        <v>1145</v>
      </c>
      <c r="C913" s="4" t="s">
        <v>29</v>
      </c>
      <c r="D913" s="8" t="s">
        <v>1520</v>
      </c>
      <c r="E913" s="8" t="s">
        <v>1528</v>
      </c>
    </row>
    <row r="914" spans="1:5" ht="14.6" x14ac:dyDescent="0.4">
      <c r="A914" s="7" t="s">
        <v>1255</v>
      </c>
      <c r="B914" s="4" t="s">
        <v>1256</v>
      </c>
      <c r="C914" s="4" t="s">
        <v>21</v>
      </c>
      <c r="D914" s="8" t="s">
        <v>1520</v>
      </c>
      <c r="E914" s="8" t="s">
        <v>1528</v>
      </c>
    </row>
    <row r="915" spans="1:5" ht="14.6" x14ac:dyDescent="0.4">
      <c r="A915" s="7" t="s">
        <v>1257</v>
      </c>
      <c r="B915" s="4" t="s">
        <v>1258</v>
      </c>
      <c r="C915" s="4" t="s">
        <v>65</v>
      </c>
      <c r="D915" s="8" t="s">
        <v>1522</v>
      </c>
      <c r="E915" s="8" t="s">
        <v>1530</v>
      </c>
    </row>
    <row r="916" spans="1:5" ht="14.6" x14ac:dyDescent="0.4">
      <c r="A916" s="7" t="s">
        <v>1259</v>
      </c>
      <c r="B916" s="4" t="s">
        <v>1256</v>
      </c>
      <c r="C916" s="4" t="s">
        <v>58</v>
      </c>
      <c r="D916" s="8" t="s">
        <v>1522</v>
      </c>
      <c r="E916" s="8" t="s">
        <v>1530</v>
      </c>
    </row>
    <row r="917" spans="1:5" ht="14.6" x14ac:dyDescent="0.4">
      <c r="A917" s="7" t="s">
        <v>1260</v>
      </c>
      <c r="B917" s="4" t="s">
        <v>1256</v>
      </c>
      <c r="C917" s="4" t="s">
        <v>15</v>
      </c>
      <c r="D917" s="8" t="s">
        <v>1522</v>
      </c>
      <c r="E917" s="8" t="s">
        <v>1530</v>
      </c>
    </row>
    <row r="918" spans="1:5" ht="14.6" x14ac:dyDescent="0.4">
      <c r="A918" s="7" t="s">
        <v>1261</v>
      </c>
      <c r="B918" s="4" t="s">
        <v>1262</v>
      </c>
      <c r="C918" s="4" t="s">
        <v>55</v>
      </c>
      <c r="D918" s="8" t="s">
        <v>1520</v>
      </c>
      <c r="E918" s="8" t="s">
        <v>1528</v>
      </c>
    </row>
    <row r="919" spans="1:5" ht="14.6" x14ac:dyDescent="0.4">
      <c r="A919" s="7" t="s">
        <v>1263</v>
      </c>
      <c r="B919" s="4" t="s">
        <v>1258</v>
      </c>
      <c r="C919" s="4" t="s">
        <v>24</v>
      </c>
      <c r="D919" s="8" t="s">
        <v>1522</v>
      </c>
      <c r="E919" s="8" t="s">
        <v>1531</v>
      </c>
    </row>
    <row r="920" spans="1:5" ht="14.6" x14ac:dyDescent="0.4">
      <c r="A920" s="7" t="s">
        <v>1264</v>
      </c>
      <c r="B920" s="4" t="s">
        <v>1256</v>
      </c>
      <c r="C920" s="4" t="s">
        <v>55</v>
      </c>
      <c r="D920" s="8" t="s">
        <v>1520</v>
      </c>
      <c r="E920" s="8" t="s">
        <v>1528</v>
      </c>
    </row>
    <row r="921" spans="1:5" ht="14.6" x14ac:dyDescent="0.4">
      <c r="A921" s="7" t="s">
        <v>1265</v>
      </c>
      <c r="B921" s="4" t="s">
        <v>1258</v>
      </c>
      <c r="C921" s="4" t="s">
        <v>68</v>
      </c>
      <c r="D921" s="8" t="s">
        <v>1520</v>
      </c>
      <c r="E921" s="8" t="s">
        <v>1528</v>
      </c>
    </row>
    <row r="922" spans="1:5" ht="14.6" x14ac:dyDescent="0.4">
      <c r="A922" s="7" t="s">
        <v>1266</v>
      </c>
      <c r="B922" s="4" t="s">
        <v>1256</v>
      </c>
      <c r="C922" s="4" t="s">
        <v>21</v>
      </c>
      <c r="D922" s="8" t="s">
        <v>1520</v>
      </c>
      <c r="E922" s="8" t="s">
        <v>1528</v>
      </c>
    </row>
    <row r="923" spans="1:5" ht="14.6" x14ac:dyDescent="0.4">
      <c r="A923" s="7" t="s">
        <v>1267</v>
      </c>
      <c r="B923" s="4" t="s">
        <v>1268</v>
      </c>
      <c r="C923" s="4" t="s">
        <v>21</v>
      </c>
      <c r="D923" s="8" t="s">
        <v>1520</v>
      </c>
      <c r="E923" s="8" t="s">
        <v>1528</v>
      </c>
    </row>
    <row r="924" spans="1:5" ht="14.6" x14ac:dyDescent="0.4">
      <c r="A924" s="7" t="s">
        <v>1269</v>
      </c>
      <c r="B924" s="4" t="s">
        <v>1258</v>
      </c>
      <c r="C924" s="4" t="s">
        <v>9</v>
      </c>
      <c r="D924" s="8" t="s">
        <v>1522</v>
      </c>
      <c r="E924" s="8" t="s">
        <v>1527</v>
      </c>
    </row>
    <row r="925" spans="1:5" ht="14.6" x14ac:dyDescent="0.4">
      <c r="A925" s="7" t="s">
        <v>1270</v>
      </c>
      <c r="B925" s="4" t="s">
        <v>1262</v>
      </c>
      <c r="C925" s="4" t="s">
        <v>12</v>
      </c>
      <c r="D925" s="8" t="s">
        <v>1522</v>
      </c>
      <c r="E925" s="8" t="s">
        <v>1523</v>
      </c>
    </row>
    <row r="926" spans="1:5" ht="14.6" x14ac:dyDescent="0.4">
      <c r="A926" s="7" t="s">
        <v>1271</v>
      </c>
      <c r="B926" s="4" t="s">
        <v>1258</v>
      </c>
      <c r="C926" s="4" t="s">
        <v>34</v>
      </c>
      <c r="D926" s="8" t="s">
        <v>1522</v>
      </c>
      <c r="E926" s="8" t="s">
        <v>1525</v>
      </c>
    </row>
    <row r="927" spans="1:5" ht="14.6" x14ac:dyDescent="0.4">
      <c r="A927" s="7" t="s">
        <v>1272</v>
      </c>
      <c r="B927" s="4" t="s">
        <v>1256</v>
      </c>
      <c r="C927" s="4" t="s">
        <v>29</v>
      </c>
      <c r="D927" s="8" t="s">
        <v>1520</v>
      </c>
      <c r="E927" s="8" t="s">
        <v>1528</v>
      </c>
    </row>
    <row r="928" spans="1:5" ht="14.6" x14ac:dyDescent="0.4">
      <c r="A928" s="7" t="s">
        <v>1273</v>
      </c>
      <c r="B928" s="4" t="s">
        <v>1256</v>
      </c>
      <c r="C928" s="4" t="s">
        <v>47</v>
      </c>
      <c r="D928" s="8" t="s">
        <v>1522</v>
      </c>
      <c r="E928" s="8" t="s">
        <v>1527</v>
      </c>
    </row>
    <row r="929" spans="1:5" ht="14.6" x14ac:dyDescent="0.4">
      <c r="A929" s="7" t="s">
        <v>1274</v>
      </c>
      <c r="B929" s="4" t="s">
        <v>1258</v>
      </c>
      <c r="C929" s="4" t="s">
        <v>65</v>
      </c>
      <c r="D929" s="8" t="s">
        <v>1520</v>
      </c>
      <c r="E929" s="8" t="s">
        <v>1528</v>
      </c>
    </row>
    <row r="930" spans="1:5" ht="14.6" x14ac:dyDescent="0.4">
      <c r="A930" s="7" t="s">
        <v>1275</v>
      </c>
      <c r="B930" s="4" t="s">
        <v>1258</v>
      </c>
      <c r="C930" s="4" t="s">
        <v>15</v>
      </c>
      <c r="D930" s="8" t="s">
        <v>1520</v>
      </c>
      <c r="E930" s="8" t="s">
        <v>1528</v>
      </c>
    </row>
    <row r="931" spans="1:5" ht="14.6" x14ac:dyDescent="0.4">
      <c r="A931" s="7" t="s">
        <v>1276</v>
      </c>
      <c r="B931" s="4" t="s">
        <v>1262</v>
      </c>
      <c r="C931" s="4" t="s">
        <v>47</v>
      </c>
      <c r="D931" s="8" t="s">
        <v>1520</v>
      </c>
      <c r="E931" s="8" t="s">
        <v>1528</v>
      </c>
    </row>
    <row r="932" spans="1:5" ht="14.6" x14ac:dyDescent="0.4">
      <c r="A932" s="7" t="s">
        <v>1277</v>
      </c>
      <c r="B932" s="4" t="s">
        <v>1256</v>
      </c>
      <c r="C932" s="4" t="s">
        <v>68</v>
      </c>
      <c r="D932" s="8" t="s">
        <v>1522</v>
      </c>
      <c r="E932" s="8" t="s">
        <v>1523</v>
      </c>
    </row>
    <row r="933" spans="1:5" ht="14.6" x14ac:dyDescent="0.4">
      <c r="A933" s="7" t="s">
        <v>1278</v>
      </c>
      <c r="B933" s="4" t="s">
        <v>1258</v>
      </c>
      <c r="C933" s="4" t="s">
        <v>52</v>
      </c>
      <c r="D933" s="8" t="s">
        <v>1520</v>
      </c>
      <c r="E933" s="8" t="s">
        <v>1528</v>
      </c>
    </row>
    <row r="934" spans="1:5" ht="14.6" x14ac:dyDescent="0.4">
      <c r="A934" s="7" t="s">
        <v>1279</v>
      </c>
      <c r="B934" s="4" t="s">
        <v>1262</v>
      </c>
      <c r="C934" s="4" t="s">
        <v>34</v>
      </c>
      <c r="D934" s="8" t="s">
        <v>1522</v>
      </c>
      <c r="E934" s="8" t="s">
        <v>1525</v>
      </c>
    </row>
    <row r="935" spans="1:5" ht="14.6" x14ac:dyDescent="0.4">
      <c r="A935" s="7" t="s">
        <v>1280</v>
      </c>
      <c r="B935" s="4" t="s">
        <v>1268</v>
      </c>
      <c r="C935" s="4" t="s">
        <v>18</v>
      </c>
      <c r="D935" s="8" t="s">
        <v>1522</v>
      </c>
      <c r="E935" s="8" t="s">
        <v>1527</v>
      </c>
    </row>
    <row r="936" spans="1:5" ht="14.6" x14ac:dyDescent="0.4">
      <c r="A936" s="7" t="s">
        <v>1281</v>
      </c>
      <c r="B936" s="4" t="s">
        <v>1268</v>
      </c>
      <c r="C936" s="4" t="s">
        <v>18</v>
      </c>
      <c r="D936" s="8" t="s">
        <v>1520</v>
      </c>
      <c r="E936" s="8" t="s">
        <v>1528</v>
      </c>
    </row>
    <row r="937" spans="1:5" ht="14.6" x14ac:dyDescent="0.4">
      <c r="A937" s="7" t="s">
        <v>1282</v>
      </c>
      <c r="B937" s="4" t="s">
        <v>1258</v>
      </c>
      <c r="C937" s="4" t="s">
        <v>52</v>
      </c>
      <c r="D937" s="8" t="s">
        <v>1522</v>
      </c>
      <c r="E937" s="8" t="s">
        <v>1523</v>
      </c>
    </row>
    <row r="938" spans="1:5" ht="14.6" x14ac:dyDescent="0.4">
      <c r="A938" s="7" t="s">
        <v>1283</v>
      </c>
      <c r="B938" s="4" t="s">
        <v>1268</v>
      </c>
      <c r="C938" s="4" t="s">
        <v>65</v>
      </c>
      <c r="D938" s="8" t="s">
        <v>1522</v>
      </c>
      <c r="E938" s="8" t="s">
        <v>1523</v>
      </c>
    </row>
    <row r="939" spans="1:5" ht="14.6" x14ac:dyDescent="0.4">
      <c r="A939" s="7" t="s">
        <v>1284</v>
      </c>
      <c r="B939" s="4" t="s">
        <v>1268</v>
      </c>
      <c r="C939" s="4" t="s">
        <v>52</v>
      </c>
      <c r="D939" s="8" t="s">
        <v>1522</v>
      </c>
      <c r="E939" s="8" t="s">
        <v>1527</v>
      </c>
    </row>
    <row r="940" spans="1:5" ht="14.6" x14ac:dyDescent="0.4">
      <c r="A940" s="7" t="s">
        <v>1285</v>
      </c>
      <c r="B940" s="4" t="s">
        <v>1268</v>
      </c>
      <c r="C940" s="4" t="s">
        <v>68</v>
      </c>
      <c r="D940" s="8" t="s">
        <v>1520</v>
      </c>
      <c r="E940" s="8" t="s">
        <v>1528</v>
      </c>
    </row>
    <row r="941" spans="1:5" ht="14.6" x14ac:dyDescent="0.4">
      <c r="A941" s="7" t="s">
        <v>1286</v>
      </c>
      <c r="B941" s="4" t="s">
        <v>1256</v>
      </c>
      <c r="C941" s="4" t="s">
        <v>47</v>
      </c>
      <c r="D941" s="8" t="s">
        <v>1522</v>
      </c>
      <c r="E941" s="8" t="s">
        <v>1525</v>
      </c>
    </row>
    <row r="942" spans="1:5" ht="14.6" x14ac:dyDescent="0.4">
      <c r="A942" s="7" t="s">
        <v>1287</v>
      </c>
      <c r="B942" s="4" t="s">
        <v>1262</v>
      </c>
      <c r="C942" s="4" t="s">
        <v>68</v>
      </c>
      <c r="D942" s="8" t="s">
        <v>1520</v>
      </c>
      <c r="E942" s="8" t="s">
        <v>1528</v>
      </c>
    </row>
    <row r="943" spans="1:5" ht="14.6" x14ac:dyDescent="0.4">
      <c r="A943" s="7" t="s">
        <v>1288</v>
      </c>
      <c r="B943" s="4" t="s">
        <v>1258</v>
      </c>
      <c r="C943" s="4" t="s">
        <v>9</v>
      </c>
      <c r="D943" s="8" t="s">
        <v>1520</v>
      </c>
      <c r="E943" s="8" t="s">
        <v>1528</v>
      </c>
    </row>
    <row r="944" spans="1:5" ht="14.6" x14ac:dyDescent="0.4">
      <c r="A944" s="7" t="s">
        <v>1289</v>
      </c>
      <c r="B944" s="4" t="s">
        <v>1258</v>
      </c>
      <c r="C944" s="4" t="s">
        <v>29</v>
      </c>
      <c r="D944" s="8" t="s">
        <v>1520</v>
      </c>
      <c r="E944" s="8" t="s">
        <v>1528</v>
      </c>
    </row>
    <row r="945" spans="1:5" ht="14.6" x14ac:dyDescent="0.4">
      <c r="A945" s="7" t="s">
        <v>1290</v>
      </c>
      <c r="B945" s="4" t="s">
        <v>1256</v>
      </c>
      <c r="C945" s="4" t="s">
        <v>29</v>
      </c>
      <c r="D945" s="8" t="s">
        <v>1522</v>
      </c>
      <c r="E945" s="8" t="s">
        <v>1523</v>
      </c>
    </row>
    <row r="946" spans="1:5" ht="14.6" x14ac:dyDescent="0.4">
      <c r="A946" s="7" t="s">
        <v>1291</v>
      </c>
      <c r="B946" s="4" t="s">
        <v>1262</v>
      </c>
      <c r="C946" s="4" t="s">
        <v>55</v>
      </c>
      <c r="D946" s="8" t="s">
        <v>1520</v>
      </c>
      <c r="E946" s="8" t="s">
        <v>1528</v>
      </c>
    </row>
    <row r="947" spans="1:5" ht="14.6" x14ac:dyDescent="0.4">
      <c r="A947" s="7" t="s">
        <v>1292</v>
      </c>
      <c r="B947" s="4" t="s">
        <v>1258</v>
      </c>
      <c r="C947" s="4" t="s">
        <v>47</v>
      </c>
      <c r="D947" s="8" t="s">
        <v>1522</v>
      </c>
      <c r="E947" s="8" t="s">
        <v>1527</v>
      </c>
    </row>
    <row r="948" spans="1:5" ht="14.6" x14ac:dyDescent="0.4">
      <c r="A948" s="7" t="s">
        <v>1293</v>
      </c>
      <c r="B948" s="4" t="s">
        <v>1256</v>
      </c>
      <c r="C948" s="4" t="s">
        <v>12</v>
      </c>
      <c r="D948" s="8" t="s">
        <v>1522</v>
      </c>
      <c r="E948" s="8" t="s">
        <v>1525</v>
      </c>
    </row>
    <row r="949" spans="1:5" ht="14.6" x14ac:dyDescent="0.4">
      <c r="A949" s="7" t="s">
        <v>1294</v>
      </c>
      <c r="B949" s="4" t="s">
        <v>1256</v>
      </c>
      <c r="C949" s="4" t="s">
        <v>18</v>
      </c>
      <c r="D949" s="8" t="s">
        <v>1520</v>
      </c>
      <c r="E949" s="8" t="s">
        <v>1528</v>
      </c>
    </row>
    <row r="950" spans="1:5" ht="14.6" x14ac:dyDescent="0.4">
      <c r="A950" s="7" t="s">
        <v>1295</v>
      </c>
      <c r="B950" s="4" t="s">
        <v>1256</v>
      </c>
      <c r="C950" s="4" t="s">
        <v>21</v>
      </c>
      <c r="D950" s="8" t="s">
        <v>1522</v>
      </c>
      <c r="E950" s="8" t="s">
        <v>1523</v>
      </c>
    </row>
    <row r="951" spans="1:5" ht="14.6" x14ac:dyDescent="0.4">
      <c r="A951" s="7" t="s">
        <v>1296</v>
      </c>
      <c r="B951" s="4" t="s">
        <v>1258</v>
      </c>
      <c r="C951" s="4" t="s">
        <v>12</v>
      </c>
      <c r="D951" s="8" t="s">
        <v>1520</v>
      </c>
      <c r="E951" s="8" t="s">
        <v>1528</v>
      </c>
    </row>
    <row r="952" spans="1:5" ht="14.6" x14ac:dyDescent="0.4">
      <c r="A952" s="7" t="s">
        <v>1297</v>
      </c>
      <c r="B952" s="4" t="s">
        <v>1262</v>
      </c>
      <c r="C952" s="4" t="s">
        <v>65</v>
      </c>
      <c r="D952" s="8" t="s">
        <v>1522</v>
      </c>
      <c r="E952" s="8" t="s">
        <v>1527</v>
      </c>
    </row>
    <row r="953" spans="1:5" ht="14.6" x14ac:dyDescent="0.4">
      <c r="A953" s="7" t="s">
        <v>1298</v>
      </c>
      <c r="B953" s="4" t="s">
        <v>1268</v>
      </c>
      <c r="C953" s="4" t="s">
        <v>68</v>
      </c>
      <c r="D953" s="8" t="s">
        <v>1520</v>
      </c>
      <c r="E953" s="8" t="s">
        <v>1528</v>
      </c>
    </row>
    <row r="954" spans="1:5" ht="14.6" x14ac:dyDescent="0.4">
      <c r="A954" s="7" t="s">
        <v>1299</v>
      </c>
      <c r="B954" s="4" t="s">
        <v>1268</v>
      </c>
      <c r="C954" s="4" t="s">
        <v>68</v>
      </c>
      <c r="D954" s="8" t="s">
        <v>1522</v>
      </c>
      <c r="E954" s="8" t="s">
        <v>1523</v>
      </c>
    </row>
    <row r="955" spans="1:5" ht="14.6" x14ac:dyDescent="0.4">
      <c r="A955" s="7" t="s">
        <v>1300</v>
      </c>
      <c r="B955" s="4" t="s">
        <v>1258</v>
      </c>
      <c r="C955" s="4" t="s">
        <v>6</v>
      </c>
      <c r="D955" s="8" t="s">
        <v>1522</v>
      </c>
      <c r="E955" s="8" t="s">
        <v>1523</v>
      </c>
    </row>
    <row r="956" spans="1:5" ht="14.6" x14ac:dyDescent="0.4">
      <c r="A956" s="7" t="s">
        <v>1301</v>
      </c>
      <c r="B956" s="4" t="s">
        <v>1268</v>
      </c>
      <c r="C956" s="4" t="s">
        <v>52</v>
      </c>
      <c r="D956" s="8" t="s">
        <v>1522</v>
      </c>
      <c r="E956" s="8" t="s">
        <v>1523</v>
      </c>
    </row>
    <row r="957" spans="1:5" ht="14.6" x14ac:dyDescent="0.4">
      <c r="A957" s="7" t="s">
        <v>1302</v>
      </c>
      <c r="B957" s="4" t="s">
        <v>1258</v>
      </c>
      <c r="C957" s="4" t="s">
        <v>15</v>
      </c>
      <c r="D957" s="8" t="s">
        <v>1522</v>
      </c>
      <c r="E957" s="8" t="s">
        <v>1527</v>
      </c>
    </row>
    <row r="958" spans="1:5" ht="14.6" x14ac:dyDescent="0.4">
      <c r="A958" s="7" t="s">
        <v>1303</v>
      </c>
      <c r="B958" s="4" t="s">
        <v>1256</v>
      </c>
      <c r="C958" s="4" t="s">
        <v>34</v>
      </c>
      <c r="D958" s="8" t="s">
        <v>1520</v>
      </c>
      <c r="E958" s="8" t="s">
        <v>1528</v>
      </c>
    </row>
    <row r="959" spans="1:5" ht="14.6" x14ac:dyDescent="0.4">
      <c r="A959" s="7" t="s">
        <v>1304</v>
      </c>
      <c r="B959" s="4" t="s">
        <v>1262</v>
      </c>
      <c r="C959" s="4" t="s">
        <v>34</v>
      </c>
      <c r="D959" s="8" t="s">
        <v>1522</v>
      </c>
      <c r="E959" s="8" t="s">
        <v>1523</v>
      </c>
    </row>
    <row r="960" spans="1:5" ht="14.6" x14ac:dyDescent="0.4">
      <c r="A960" s="7" t="s">
        <v>1305</v>
      </c>
      <c r="B960" s="4" t="s">
        <v>1262</v>
      </c>
      <c r="C960" s="4" t="s">
        <v>65</v>
      </c>
      <c r="D960" s="8" t="s">
        <v>1520</v>
      </c>
      <c r="E960" s="8" t="s">
        <v>1528</v>
      </c>
    </row>
    <row r="961" spans="1:5" ht="14.6" x14ac:dyDescent="0.4">
      <c r="A961" s="7" t="s">
        <v>1306</v>
      </c>
      <c r="B961" s="4" t="s">
        <v>1258</v>
      </c>
      <c r="C961" s="4" t="s">
        <v>6</v>
      </c>
      <c r="D961" s="8" t="s">
        <v>1520</v>
      </c>
      <c r="E961" s="8" t="s">
        <v>1528</v>
      </c>
    </row>
    <row r="962" spans="1:5" ht="14.6" x14ac:dyDescent="0.4">
      <c r="A962" s="7" t="s">
        <v>1307</v>
      </c>
      <c r="B962" s="4" t="s">
        <v>1258</v>
      </c>
      <c r="C962" s="4" t="s">
        <v>15</v>
      </c>
      <c r="D962" s="8" t="s">
        <v>1520</v>
      </c>
      <c r="E962" s="8" t="s">
        <v>1528</v>
      </c>
    </row>
    <row r="963" spans="1:5" ht="14.6" x14ac:dyDescent="0.4">
      <c r="A963" s="7" t="s">
        <v>1308</v>
      </c>
      <c r="B963" s="4" t="s">
        <v>1262</v>
      </c>
      <c r="C963" s="4" t="s">
        <v>9</v>
      </c>
      <c r="D963" s="8" t="s">
        <v>1520</v>
      </c>
      <c r="E963" s="8" t="s">
        <v>1528</v>
      </c>
    </row>
    <row r="964" spans="1:5" ht="14.6" x14ac:dyDescent="0.4">
      <c r="A964" s="7" t="s">
        <v>1309</v>
      </c>
      <c r="B964" s="4" t="s">
        <v>1258</v>
      </c>
      <c r="C964" s="4" t="s">
        <v>58</v>
      </c>
      <c r="D964" s="8" t="s">
        <v>1520</v>
      </c>
      <c r="E964" s="8" t="s">
        <v>1528</v>
      </c>
    </row>
    <row r="965" spans="1:5" ht="14.6" x14ac:dyDescent="0.4">
      <c r="A965" s="7" t="s">
        <v>1310</v>
      </c>
      <c r="B965" s="4" t="s">
        <v>1258</v>
      </c>
      <c r="C965" s="4" t="s">
        <v>24</v>
      </c>
      <c r="D965" s="8" t="s">
        <v>1520</v>
      </c>
      <c r="E965" s="8" t="s">
        <v>1528</v>
      </c>
    </row>
    <row r="966" spans="1:5" ht="14.6" x14ac:dyDescent="0.4">
      <c r="A966" s="7" t="s">
        <v>1311</v>
      </c>
      <c r="B966" s="4" t="s">
        <v>1258</v>
      </c>
      <c r="C966" s="4" t="s">
        <v>68</v>
      </c>
      <c r="D966" s="8" t="s">
        <v>1520</v>
      </c>
      <c r="E966" s="8" t="s">
        <v>1528</v>
      </c>
    </row>
    <row r="967" spans="1:5" ht="14.6" x14ac:dyDescent="0.4">
      <c r="A967" s="7" t="s">
        <v>1312</v>
      </c>
      <c r="B967" s="4" t="s">
        <v>1256</v>
      </c>
      <c r="C967" s="4" t="s">
        <v>47</v>
      </c>
      <c r="D967" s="8" t="s">
        <v>1520</v>
      </c>
      <c r="E967" s="8" t="s">
        <v>1528</v>
      </c>
    </row>
    <row r="968" spans="1:5" ht="14.6" x14ac:dyDescent="0.4">
      <c r="A968" s="7" t="s">
        <v>1313</v>
      </c>
      <c r="B968" s="4" t="s">
        <v>1256</v>
      </c>
      <c r="C968" s="4" t="s">
        <v>12</v>
      </c>
      <c r="D968" s="8" t="s">
        <v>1522</v>
      </c>
      <c r="E968" s="8" t="s">
        <v>1527</v>
      </c>
    </row>
    <row r="969" spans="1:5" ht="14.6" x14ac:dyDescent="0.4">
      <c r="A969" s="7"/>
      <c r="B969" s="4" t="s">
        <v>1258</v>
      </c>
      <c r="C969" s="4" t="s">
        <v>58</v>
      </c>
      <c r="D969" s="8" t="s">
        <v>1522</v>
      </c>
      <c r="E969" s="8" t="s">
        <v>1527</v>
      </c>
    </row>
    <row r="970" spans="1:5" ht="14.6" x14ac:dyDescent="0.4">
      <c r="A970" s="7" t="s">
        <v>1315</v>
      </c>
      <c r="B970" s="4" t="s">
        <v>1268</v>
      </c>
      <c r="C970" s="4" t="s">
        <v>24</v>
      </c>
      <c r="D970" s="8" t="s">
        <v>1520</v>
      </c>
      <c r="E970" s="8" t="s">
        <v>1528</v>
      </c>
    </row>
    <row r="971" spans="1:5" ht="14.6" x14ac:dyDescent="0.4">
      <c r="A971" s="7" t="s">
        <v>1316</v>
      </c>
      <c r="B971" s="4" t="s">
        <v>1262</v>
      </c>
      <c r="C971" s="4" t="s">
        <v>58</v>
      </c>
      <c r="D971" s="8" t="s">
        <v>1522</v>
      </c>
      <c r="E971" s="8" t="s">
        <v>1527</v>
      </c>
    </row>
    <row r="972" spans="1:5" ht="14.6" x14ac:dyDescent="0.4">
      <c r="A972" s="7" t="s">
        <v>1317</v>
      </c>
      <c r="B972" s="4" t="s">
        <v>1258</v>
      </c>
      <c r="C972" s="4" t="s">
        <v>21</v>
      </c>
      <c r="D972" s="8" t="s">
        <v>1522</v>
      </c>
      <c r="E972" s="8" t="s">
        <v>1527</v>
      </c>
    </row>
    <row r="973" spans="1:5" ht="14.6" x14ac:dyDescent="0.4">
      <c r="A973" s="7" t="s">
        <v>1318</v>
      </c>
      <c r="B973" s="4" t="s">
        <v>1256</v>
      </c>
      <c r="C973" s="4" t="s">
        <v>15</v>
      </c>
      <c r="D973" s="8" t="s">
        <v>1520</v>
      </c>
      <c r="E973" s="8" t="s">
        <v>1528</v>
      </c>
    </row>
    <row r="974" spans="1:5" ht="14.6" x14ac:dyDescent="0.4">
      <c r="A974" s="7" t="s">
        <v>1319</v>
      </c>
      <c r="B974" s="4" t="s">
        <v>1258</v>
      </c>
      <c r="C974" s="4" t="s">
        <v>58</v>
      </c>
      <c r="D974" s="8" t="s">
        <v>1520</v>
      </c>
      <c r="E974" s="8" t="s">
        <v>1528</v>
      </c>
    </row>
    <row r="975" spans="1:5" ht="14.6" x14ac:dyDescent="0.4">
      <c r="A975" s="7" t="s">
        <v>1320</v>
      </c>
      <c r="B975" s="4" t="s">
        <v>1256</v>
      </c>
      <c r="C975" s="4" t="s">
        <v>12</v>
      </c>
      <c r="D975" s="8" t="s">
        <v>1520</v>
      </c>
      <c r="E975" s="8" t="s">
        <v>1528</v>
      </c>
    </row>
    <row r="976" spans="1:5" ht="14.6" x14ac:dyDescent="0.4">
      <c r="A976" s="7" t="s">
        <v>1321</v>
      </c>
      <c r="B976" s="4" t="s">
        <v>1262</v>
      </c>
      <c r="C976" s="4" t="s">
        <v>65</v>
      </c>
      <c r="D976" s="8" t="s">
        <v>1522</v>
      </c>
      <c r="E976" s="8" t="s">
        <v>1527</v>
      </c>
    </row>
    <row r="977" spans="1:5" ht="14.6" x14ac:dyDescent="0.4">
      <c r="A977" s="7" t="s">
        <v>1322</v>
      </c>
      <c r="B977" s="4" t="s">
        <v>1268</v>
      </c>
      <c r="C977" s="4" t="s">
        <v>47</v>
      </c>
      <c r="D977" s="8" t="s">
        <v>1520</v>
      </c>
      <c r="E977" s="8" t="s">
        <v>1528</v>
      </c>
    </row>
    <row r="978" spans="1:5" ht="14.6" x14ac:dyDescent="0.4">
      <c r="A978" s="7" t="s">
        <v>1323</v>
      </c>
      <c r="B978" s="4" t="s">
        <v>1262</v>
      </c>
      <c r="C978" s="4" t="s">
        <v>6</v>
      </c>
      <c r="D978" s="8" t="s">
        <v>1520</v>
      </c>
      <c r="E978" s="8" t="s">
        <v>1528</v>
      </c>
    </row>
    <row r="979" spans="1:5" ht="14.6" x14ac:dyDescent="0.4">
      <c r="A979" s="7" t="s">
        <v>1324</v>
      </c>
      <c r="B979" s="4" t="s">
        <v>1262</v>
      </c>
      <c r="C979" s="4" t="s">
        <v>24</v>
      </c>
      <c r="D979" s="8" t="s">
        <v>1520</v>
      </c>
      <c r="E979" s="8" t="s">
        <v>1528</v>
      </c>
    </row>
    <row r="980" spans="1:5" ht="14.6" x14ac:dyDescent="0.4">
      <c r="A980" s="7" t="s">
        <v>1325</v>
      </c>
      <c r="B980" s="4" t="s">
        <v>1262</v>
      </c>
      <c r="C980" s="4" t="s">
        <v>52</v>
      </c>
      <c r="D980" s="8" t="s">
        <v>1520</v>
      </c>
      <c r="E980" s="8" t="s">
        <v>1528</v>
      </c>
    </row>
    <row r="981" spans="1:5" ht="14.6" x14ac:dyDescent="0.4">
      <c r="A981" s="7" t="s">
        <v>1326</v>
      </c>
      <c r="B981" s="4" t="s">
        <v>1258</v>
      </c>
      <c r="C981" s="4" t="s">
        <v>21</v>
      </c>
      <c r="D981" s="8" t="s">
        <v>1520</v>
      </c>
      <c r="E981" s="8" t="s">
        <v>1528</v>
      </c>
    </row>
    <row r="982" spans="1:5" ht="14.6" x14ac:dyDescent="0.4">
      <c r="A982" s="7" t="s">
        <v>1327</v>
      </c>
      <c r="B982" s="4" t="s">
        <v>1258</v>
      </c>
      <c r="C982" s="4" t="s">
        <v>34</v>
      </c>
      <c r="D982" s="8" t="s">
        <v>1522</v>
      </c>
      <c r="E982" s="8" t="s">
        <v>1529</v>
      </c>
    </row>
    <row r="983" spans="1:5" ht="14.6" x14ac:dyDescent="0.4">
      <c r="A983" s="7" t="s">
        <v>1328</v>
      </c>
      <c r="B983" s="4" t="s">
        <v>1268</v>
      </c>
      <c r="C983" s="4" t="s">
        <v>12</v>
      </c>
      <c r="D983" s="8" t="s">
        <v>1522</v>
      </c>
      <c r="E983" s="8" t="s">
        <v>1529</v>
      </c>
    </row>
    <row r="984" spans="1:5" ht="14.6" x14ac:dyDescent="0.4">
      <c r="A984" s="7" t="s">
        <v>1329</v>
      </c>
      <c r="B984" s="4" t="s">
        <v>1258</v>
      </c>
      <c r="C984" s="4" t="s">
        <v>24</v>
      </c>
      <c r="D984" s="8" t="s">
        <v>1522</v>
      </c>
      <c r="E984" s="8" t="s">
        <v>1527</v>
      </c>
    </row>
    <row r="985" spans="1:5" ht="14.6" x14ac:dyDescent="0.4">
      <c r="A985" s="7" t="s">
        <v>1330</v>
      </c>
      <c r="B985" s="4" t="s">
        <v>1262</v>
      </c>
      <c r="C985" s="4" t="s">
        <v>6</v>
      </c>
      <c r="D985" s="8" t="s">
        <v>1520</v>
      </c>
      <c r="E985" s="8" t="s">
        <v>1528</v>
      </c>
    </row>
    <row r="986" spans="1:5" ht="14.6" x14ac:dyDescent="0.4">
      <c r="A986" s="7" t="s">
        <v>1331</v>
      </c>
      <c r="B986" s="4" t="s">
        <v>1258</v>
      </c>
      <c r="C986" s="4" t="s">
        <v>58</v>
      </c>
      <c r="D986" s="8" t="s">
        <v>1520</v>
      </c>
      <c r="E986" s="8" t="s">
        <v>1528</v>
      </c>
    </row>
    <row r="987" spans="1:5" ht="14.6" x14ac:dyDescent="0.4">
      <c r="A987" s="7" t="s">
        <v>1332</v>
      </c>
      <c r="B987" s="4" t="s">
        <v>1258</v>
      </c>
      <c r="C987" s="4" t="s">
        <v>52</v>
      </c>
      <c r="D987" s="8" t="s">
        <v>1520</v>
      </c>
      <c r="E987" s="8" t="s">
        <v>1528</v>
      </c>
    </row>
    <row r="988" spans="1:5" ht="14.6" x14ac:dyDescent="0.4">
      <c r="A988" s="7" t="s">
        <v>1333</v>
      </c>
      <c r="B988" s="4" t="s">
        <v>1268</v>
      </c>
      <c r="C988" s="4" t="s">
        <v>9</v>
      </c>
      <c r="D988" s="8" t="s">
        <v>1520</v>
      </c>
      <c r="E988" s="8" t="s">
        <v>1528</v>
      </c>
    </row>
    <row r="989" spans="1:5" ht="14.6" x14ac:dyDescent="0.4">
      <c r="A989" s="7" t="s">
        <v>1334</v>
      </c>
      <c r="B989" s="4" t="s">
        <v>1262</v>
      </c>
      <c r="C989" s="4" t="s">
        <v>12</v>
      </c>
      <c r="D989" s="8" t="s">
        <v>1520</v>
      </c>
      <c r="E989" s="8" t="s">
        <v>1528</v>
      </c>
    </row>
    <row r="990" spans="1:5" ht="14.6" x14ac:dyDescent="0.4">
      <c r="A990" s="7" t="s">
        <v>1335</v>
      </c>
      <c r="B990" s="4" t="s">
        <v>1256</v>
      </c>
      <c r="C990" s="4" t="s">
        <v>52</v>
      </c>
      <c r="D990" s="8" t="s">
        <v>1520</v>
      </c>
      <c r="E990" s="8" t="s">
        <v>1528</v>
      </c>
    </row>
    <row r="991" spans="1:5" ht="14.6" x14ac:dyDescent="0.4">
      <c r="A991" s="7" t="s">
        <v>1336</v>
      </c>
      <c r="B991" s="4" t="s">
        <v>1262</v>
      </c>
      <c r="C991" s="4" t="s">
        <v>18</v>
      </c>
      <c r="D991" s="8" t="s">
        <v>1522</v>
      </c>
      <c r="E991" s="8" t="s">
        <v>1531</v>
      </c>
    </row>
    <row r="992" spans="1:5" ht="14.6" x14ac:dyDescent="0.4">
      <c r="A992" s="7" t="s">
        <v>1337</v>
      </c>
      <c r="B992" s="4" t="s">
        <v>1262</v>
      </c>
      <c r="C992" s="4" t="s">
        <v>12</v>
      </c>
      <c r="D992" s="8" t="s">
        <v>1522</v>
      </c>
      <c r="E992" s="8" t="s">
        <v>1527</v>
      </c>
    </row>
    <row r="993" spans="1:5" ht="14.6" x14ac:dyDescent="0.4">
      <c r="A993" s="7" t="s">
        <v>1338</v>
      </c>
      <c r="B993" s="4" t="s">
        <v>1262</v>
      </c>
      <c r="C993" s="4" t="s">
        <v>47</v>
      </c>
      <c r="D993" s="8" t="s">
        <v>1520</v>
      </c>
      <c r="E993" s="8" t="s">
        <v>1528</v>
      </c>
    </row>
    <row r="994" spans="1:5" ht="14.6" x14ac:dyDescent="0.4">
      <c r="A994" s="7" t="s">
        <v>1339</v>
      </c>
      <c r="B994" s="4" t="s">
        <v>1258</v>
      </c>
      <c r="C994" s="4" t="s">
        <v>34</v>
      </c>
      <c r="D994" s="8" t="s">
        <v>1520</v>
      </c>
      <c r="E994" s="8" t="s">
        <v>1528</v>
      </c>
    </row>
    <row r="995" spans="1:5" ht="14.6" x14ac:dyDescent="0.4">
      <c r="A995" s="7" t="s">
        <v>1340</v>
      </c>
      <c r="B995" s="4" t="s">
        <v>1262</v>
      </c>
      <c r="C995" s="4" t="s">
        <v>65</v>
      </c>
      <c r="D995" s="8" t="s">
        <v>1520</v>
      </c>
      <c r="E995" s="8" t="s">
        <v>1528</v>
      </c>
    </row>
    <row r="996" spans="1:5" ht="14.6" x14ac:dyDescent="0.4">
      <c r="A996" s="7" t="s">
        <v>1341</v>
      </c>
      <c r="B996" s="4" t="s">
        <v>1256</v>
      </c>
      <c r="C996" s="4" t="s">
        <v>24</v>
      </c>
      <c r="D996" s="8" t="s">
        <v>1520</v>
      </c>
      <c r="E996" s="8" t="s">
        <v>1528</v>
      </c>
    </row>
    <row r="997" spans="1:5" ht="14.6" x14ac:dyDescent="0.4">
      <c r="A997" s="7" t="s">
        <v>1342</v>
      </c>
      <c r="B997" s="4" t="s">
        <v>1258</v>
      </c>
      <c r="C997" s="4" t="s">
        <v>6</v>
      </c>
      <c r="D997" s="8" t="s">
        <v>1522</v>
      </c>
      <c r="E997" s="8" t="s">
        <v>1523</v>
      </c>
    </row>
    <row r="998" spans="1:5" ht="14.6" x14ac:dyDescent="0.4">
      <c r="A998" s="7" t="s">
        <v>1343</v>
      </c>
      <c r="B998" s="4" t="s">
        <v>1256</v>
      </c>
      <c r="C998" s="4" t="s">
        <v>21</v>
      </c>
      <c r="D998" s="8" t="s">
        <v>1522</v>
      </c>
      <c r="E998" s="8" t="s">
        <v>1527</v>
      </c>
    </row>
    <row r="999" spans="1:5" ht="14.6" x14ac:dyDescent="0.4">
      <c r="A999" s="7" t="s">
        <v>1344</v>
      </c>
      <c r="B999" s="4" t="s">
        <v>1345</v>
      </c>
      <c r="C999" s="4" t="s">
        <v>55</v>
      </c>
      <c r="D999" s="8" t="s">
        <v>1520</v>
      </c>
      <c r="E999" s="8" t="s">
        <v>1528</v>
      </c>
    </row>
    <row r="1000" spans="1:5" ht="14.6" x14ac:dyDescent="0.4">
      <c r="A1000" s="7" t="s">
        <v>1346</v>
      </c>
      <c r="B1000" s="4" t="s">
        <v>1347</v>
      </c>
      <c r="C1000" s="4" t="s">
        <v>55</v>
      </c>
      <c r="D1000" s="8" t="s">
        <v>1520</v>
      </c>
      <c r="E1000" s="8" t="s">
        <v>1528</v>
      </c>
    </row>
    <row r="1001" spans="1:5" ht="14.6" x14ac:dyDescent="0.4">
      <c r="A1001" s="7" t="s">
        <v>1348</v>
      </c>
      <c r="B1001" s="4" t="s">
        <v>1349</v>
      </c>
      <c r="C1001" s="4" t="s">
        <v>6</v>
      </c>
      <c r="D1001" s="8" t="s">
        <v>1520</v>
      </c>
      <c r="E1001" s="8" t="s">
        <v>1528</v>
      </c>
    </row>
    <row r="1002" spans="1:5" ht="14.6" x14ac:dyDescent="0.4">
      <c r="A1002" s="7" t="s">
        <v>1350</v>
      </c>
      <c r="B1002" s="4" t="s">
        <v>1351</v>
      </c>
      <c r="C1002" s="4" t="s">
        <v>34</v>
      </c>
      <c r="D1002" s="8" t="s">
        <v>1522</v>
      </c>
      <c r="E1002" s="8" t="s">
        <v>1525</v>
      </c>
    </row>
    <row r="1003" spans="1:5" ht="14.6" x14ac:dyDescent="0.4">
      <c r="A1003" s="7" t="s">
        <v>1352</v>
      </c>
      <c r="B1003" s="4" t="s">
        <v>1353</v>
      </c>
      <c r="C1003" s="4" t="s">
        <v>12</v>
      </c>
      <c r="D1003" s="8" t="s">
        <v>1522</v>
      </c>
      <c r="E1003" s="8" t="s">
        <v>1523</v>
      </c>
    </row>
    <row r="1004" spans="1:5" ht="14.6" x14ac:dyDescent="0.4">
      <c r="A1004" s="7" t="s">
        <v>1354</v>
      </c>
      <c r="B1004" s="4" t="s">
        <v>1355</v>
      </c>
      <c r="C1004" s="4" t="s">
        <v>65</v>
      </c>
      <c r="D1004" s="8" t="s">
        <v>1520</v>
      </c>
      <c r="E1004" s="8" t="s">
        <v>1528</v>
      </c>
    </row>
    <row r="1005" spans="1:5" ht="14.6" x14ac:dyDescent="0.4">
      <c r="A1005" s="7" t="s">
        <v>1356</v>
      </c>
      <c r="B1005" s="4" t="s">
        <v>1357</v>
      </c>
      <c r="C1005" s="4" t="s">
        <v>9</v>
      </c>
      <c r="D1005" s="8" t="s">
        <v>1520</v>
      </c>
      <c r="E1005" s="8" t="s">
        <v>1528</v>
      </c>
    </row>
    <row r="1006" spans="1:5" ht="14.6" x14ac:dyDescent="0.4">
      <c r="A1006" s="7" t="s">
        <v>1358</v>
      </c>
      <c r="B1006" s="4" t="s">
        <v>1359</v>
      </c>
      <c r="C1006" s="4" t="s">
        <v>24</v>
      </c>
      <c r="D1006" s="8" t="s">
        <v>1520</v>
      </c>
      <c r="E1006" s="8" t="s">
        <v>1528</v>
      </c>
    </row>
    <row r="1007" spans="1:5" ht="14.6" x14ac:dyDescent="0.4">
      <c r="A1007" s="7" t="s">
        <v>1360</v>
      </c>
      <c r="B1007" s="4" t="s">
        <v>1361</v>
      </c>
      <c r="C1007" s="4" t="s">
        <v>34</v>
      </c>
      <c r="D1007" s="8" t="s">
        <v>1520</v>
      </c>
      <c r="E1007" s="8" t="s">
        <v>1528</v>
      </c>
    </row>
    <row r="1008" spans="1:5" ht="14.6" x14ac:dyDescent="0.4">
      <c r="A1008" s="7" t="s">
        <v>1362</v>
      </c>
      <c r="B1008" s="4" t="s">
        <v>1357</v>
      </c>
      <c r="C1008" s="4" t="s">
        <v>65</v>
      </c>
      <c r="D1008" s="8" t="s">
        <v>1522</v>
      </c>
      <c r="E1008" s="8" t="s">
        <v>1532</v>
      </c>
    </row>
    <row r="1009" spans="1:5" ht="14.6" x14ac:dyDescent="0.4">
      <c r="A1009" s="7" t="s">
        <v>1363</v>
      </c>
      <c r="B1009" s="4" t="s">
        <v>1355</v>
      </c>
      <c r="C1009" s="4" t="s">
        <v>6</v>
      </c>
      <c r="D1009" s="8" t="s">
        <v>1520</v>
      </c>
      <c r="E1009" s="8" t="s">
        <v>1528</v>
      </c>
    </row>
    <row r="1010" spans="1:5" ht="14.6" x14ac:dyDescent="0.4">
      <c r="A1010" s="7" t="s">
        <v>1364</v>
      </c>
      <c r="B1010" s="4" t="s">
        <v>1347</v>
      </c>
      <c r="C1010" s="4" t="s">
        <v>18</v>
      </c>
      <c r="D1010" s="8" t="s">
        <v>1522</v>
      </c>
      <c r="E1010" s="8" t="s">
        <v>1523</v>
      </c>
    </row>
    <row r="1011" spans="1:5" ht="14.6" x14ac:dyDescent="0.4">
      <c r="A1011" s="7" t="s">
        <v>1365</v>
      </c>
      <c r="B1011" s="4" t="s">
        <v>1357</v>
      </c>
      <c r="C1011" s="4" t="s">
        <v>65</v>
      </c>
      <c r="D1011" s="8" t="s">
        <v>1522</v>
      </c>
      <c r="E1011" s="8" t="s">
        <v>1532</v>
      </c>
    </row>
    <row r="1012" spans="1:5" ht="14.6" x14ac:dyDescent="0.4">
      <c r="A1012" s="7" t="s">
        <v>1366</v>
      </c>
      <c r="B1012" s="4" t="s">
        <v>1349</v>
      </c>
      <c r="C1012" s="4" t="s">
        <v>15</v>
      </c>
      <c r="D1012" s="8" t="s">
        <v>1520</v>
      </c>
      <c r="E1012" s="8" t="s">
        <v>1528</v>
      </c>
    </row>
    <row r="1013" spans="1:5" ht="14.6" x14ac:dyDescent="0.4">
      <c r="A1013" s="7" t="s">
        <v>1367</v>
      </c>
      <c r="B1013" s="4" t="s">
        <v>1355</v>
      </c>
      <c r="C1013" s="4" t="s">
        <v>52</v>
      </c>
      <c r="D1013" s="8" t="s">
        <v>1520</v>
      </c>
      <c r="E1013" s="8" t="s">
        <v>1528</v>
      </c>
    </row>
    <row r="1014" spans="1:5" ht="14.6" x14ac:dyDescent="0.4">
      <c r="A1014" s="7" t="s">
        <v>1368</v>
      </c>
      <c r="B1014" s="4" t="s">
        <v>1355</v>
      </c>
      <c r="C1014" s="4" t="s">
        <v>24</v>
      </c>
      <c r="D1014" s="8" t="s">
        <v>1520</v>
      </c>
      <c r="E1014" s="8" t="s">
        <v>1528</v>
      </c>
    </row>
    <row r="1015" spans="1:5" ht="14.6" x14ac:dyDescent="0.4">
      <c r="A1015" s="7" t="s">
        <v>1369</v>
      </c>
      <c r="B1015" s="4" t="s">
        <v>1355</v>
      </c>
      <c r="C1015" s="4" t="s">
        <v>34</v>
      </c>
      <c r="D1015" s="8" t="s">
        <v>1522</v>
      </c>
      <c r="E1015" s="8" t="s">
        <v>1526</v>
      </c>
    </row>
    <row r="1016" spans="1:5" ht="14.6" x14ac:dyDescent="0.4">
      <c r="A1016" s="7" t="s">
        <v>1370</v>
      </c>
      <c r="B1016" s="4" t="s">
        <v>1359</v>
      </c>
      <c r="C1016" s="4" t="s">
        <v>52</v>
      </c>
      <c r="D1016" s="8" t="s">
        <v>1522</v>
      </c>
      <c r="E1016" s="8" t="s">
        <v>1523</v>
      </c>
    </row>
    <row r="1017" spans="1:5" ht="14.6" x14ac:dyDescent="0.4">
      <c r="A1017" s="7" t="s">
        <v>1371</v>
      </c>
      <c r="B1017" s="4" t="s">
        <v>1355</v>
      </c>
      <c r="C1017" s="4" t="s">
        <v>18</v>
      </c>
      <c r="D1017" s="8" t="s">
        <v>1520</v>
      </c>
      <c r="E1017" s="8" t="s">
        <v>1528</v>
      </c>
    </row>
    <row r="1018" spans="1:5" ht="14.6" x14ac:dyDescent="0.4">
      <c r="A1018" s="7" t="s">
        <v>1372</v>
      </c>
      <c r="B1018" s="4" t="s">
        <v>1355</v>
      </c>
      <c r="C1018" s="4" t="s">
        <v>29</v>
      </c>
      <c r="D1018" s="8" t="s">
        <v>1520</v>
      </c>
      <c r="E1018" s="8" t="s">
        <v>1528</v>
      </c>
    </row>
    <row r="1019" spans="1:5" ht="14.6" x14ac:dyDescent="0.4">
      <c r="A1019" s="7" t="s">
        <v>1373</v>
      </c>
      <c r="B1019" s="4" t="s">
        <v>1361</v>
      </c>
      <c r="C1019" s="4" t="s">
        <v>12</v>
      </c>
      <c r="D1019" s="8" t="s">
        <v>1520</v>
      </c>
      <c r="E1019" s="8" t="s">
        <v>1528</v>
      </c>
    </row>
    <row r="1020" spans="1:5" ht="14.6" x14ac:dyDescent="0.4">
      <c r="A1020" s="7" t="s">
        <v>1374</v>
      </c>
      <c r="B1020" s="4" t="s">
        <v>1361</v>
      </c>
      <c r="C1020" s="4" t="s">
        <v>9</v>
      </c>
      <c r="D1020" s="8" t="s">
        <v>1520</v>
      </c>
      <c r="E1020" s="8" t="s">
        <v>1528</v>
      </c>
    </row>
    <row r="1021" spans="1:5" ht="14.6" x14ac:dyDescent="0.4">
      <c r="A1021" s="7" t="s">
        <v>1375</v>
      </c>
      <c r="B1021" s="4" t="s">
        <v>1376</v>
      </c>
      <c r="C1021" s="4" t="s">
        <v>68</v>
      </c>
      <c r="D1021" s="8" t="s">
        <v>1520</v>
      </c>
      <c r="E1021" s="8" t="s">
        <v>1528</v>
      </c>
    </row>
    <row r="1022" spans="1:5" ht="14.6" x14ac:dyDescent="0.4">
      <c r="A1022" s="7" t="s">
        <v>1377</v>
      </c>
      <c r="B1022" s="4" t="s">
        <v>1347</v>
      </c>
      <c r="C1022" s="4" t="s">
        <v>9</v>
      </c>
      <c r="D1022" s="8" t="s">
        <v>1522</v>
      </c>
      <c r="E1022" s="8" t="s">
        <v>1527</v>
      </c>
    </row>
    <row r="1023" spans="1:5" ht="14.6" x14ac:dyDescent="0.4">
      <c r="A1023" s="7" t="s">
        <v>1378</v>
      </c>
      <c r="B1023" s="4" t="s">
        <v>1349</v>
      </c>
      <c r="C1023" s="4" t="s">
        <v>68</v>
      </c>
      <c r="D1023" s="8" t="s">
        <v>1522</v>
      </c>
      <c r="E1023" s="8" t="s">
        <v>1527</v>
      </c>
    </row>
    <row r="1024" spans="1:5" ht="14.6" x14ac:dyDescent="0.4">
      <c r="A1024" s="7" t="s">
        <v>1379</v>
      </c>
      <c r="B1024" s="4" t="s">
        <v>1355</v>
      </c>
      <c r="C1024" s="4" t="s">
        <v>12</v>
      </c>
      <c r="D1024" s="8" t="s">
        <v>1520</v>
      </c>
      <c r="E1024" s="8" t="s">
        <v>1528</v>
      </c>
    </row>
    <row r="1025" spans="1:5" ht="14.6" x14ac:dyDescent="0.4">
      <c r="A1025" s="7" t="s">
        <v>1380</v>
      </c>
      <c r="B1025" s="4" t="s">
        <v>1353</v>
      </c>
      <c r="C1025" s="4" t="s">
        <v>52</v>
      </c>
      <c r="D1025" s="8" t="s">
        <v>1522</v>
      </c>
      <c r="E1025" s="8" t="s">
        <v>1527</v>
      </c>
    </row>
    <row r="1026" spans="1:5" ht="14.6" x14ac:dyDescent="0.4">
      <c r="A1026" s="7" t="s">
        <v>1381</v>
      </c>
      <c r="B1026" s="4" t="s">
        <v>1355</v>
      </c>
      <c r="C1026" s="4" t="s">
        <v>47</v>
      </c>
      <c r="D1026" s="8" t="s">
        <v>1520</v>
      </c>
      <c r="E1026" s="8" t="s">
        <v>1528</v>
      </c>
    </row>
    <row r="1027" spans="1:5" ht="14.6" x14ac:dyDescent="0.4">
      <c r="A1027" s="7" t="s">
        <v>1382</v>
      </c>
      <c r="B1027" s="4" t="s">
        <v>1357</v>
      </c>
      <c r="C1027" s="4" t="s">
        <v>6</v>
      </c>
      <c r="D1027" s="8" t="s">
        <v>1522</v>
      </c>
      <c r="E1027" s="8" t="s">
        <v>1523</v>
      </c>
    </row>
    <row r="1028" spans="1:5" ht="14.6" x14ac:dyDescent="0.4">
      <c r="A1028" s="7" t="s">
        <v>1383</v>
      </c>
      <c r="B1028" s="4" t="s">
        <v>1384</v>
      </c>
      <c r="C1028" s="4" t="s">
        <v>68</v>
      </c>
      <c r="D1028" s="8" t="s">
        <v>1520</v>
      </c>
      <c r="E1028" s="8" t="s">
        <v>1528</v>
      </c>
    </row>
    <row r="1029" spans="1:5" ht="14.6" x14ac:dyDescent="0.4">
      <c r="A1029" s="7" t="s">
        <v>1385</v>
      </c>
      <c r="B1029" s="4" t="s">
        <v>1386</v>
      </c>
      <c r="C1029" s="4" t="s">
        <v>52</v>
      </c>
      <c r="D1029" s="8" t="s">
        <v>1520</v>
      </c>
      <c r="E1029" s="8" t="s">
        <v>1528</v>
      </c>
    </row>
    <row r="1030" spans="1:5" ht="14.6" x14ac:dyDescent="0.4">
      <c r="A1030" s="7" t="s">
        <v>1387</v>
      </c>
      <c r="B1030" s="4" t="s">
        <v>1361</v>
      </c>
      <c r="C1030" s="4" t="s">
        <v>55</v>
      </c>
      <c r="D1030" s="8" t="s">
        <v>1522</v>
      </c>
      <c r="E1030" s="8" t="s">
        <v>1527</v>
      </c>
    </row>
    <row r="1031" spans="1:5" ht="14.6" x14ac:dyDescent="0.4">
      <c r="A1031" s="7" t="s">
        <v>1388</v>
      </c>
      <c r="B1031" s="4" t="s">
        <v>1355</v>
      </c>
      <c r="C1031" s="4" t="s">
        <v>12</v>
      </c>
      <c r="D1031" s="8" t="s">
        <v>1522</v>
      </c>
      <c r="E1031" s="8" t="s">
        <v>1523</v>
      </c>
    </row>
    <row r="1032" spans="1:5" ht="14.6" x14ac:dyDescent="0.4">
      <c r="A1032" s="7" t="s">
        <v>1389</v>
      </c>
      <c r="B1032" s="4" t="s">
        <v>1357</v>
      </c>
      <c r="C1032" s="4" t="s">
        <v>15</v>
      </c>
      <c r="D1032" s="8" t="s">
        <v>1522</v>
      </c>
      <c r="E1032" s="8" t="s">
        <v>1523</v>
      </c>
    </row>
    <row r="1033" spans="1:5" ht="14.6" x14ac:dyDescent="0.4">
      <c r="A1033" s="7" t="s">
        <v>1390</v>
      </c>
      <c r="B1033" s="4" t="s">
        <v>1353</v>
      </c>
      <c r="C1033" s="4" t="s">
        <v>55</v>
      </c>
      <c r="D1033" s="8" t="s">
        <v>1520</v>
      </c>
      <c r="E1033" s="8" t="s">
        <v>1528</v>
      </c>
    </row>
    <row r="1034" spans="1:5" ht="14.6" x14ac:dyDescent="0.4">
      <c r="A1034" s="7" t="s">
        <v>1391</v>
      </c>
      <c r="B1034" s="4" t="s">
        <v>1376</v>
      </c>
      <c r="C1034" s="4" t="s">
        <v>58</v>
      </c>
      <c r="D1034" s="8" t="s">
        <v>1520</v>
      </c>
      <c r="E1034" s="8" t="s">
        <v>1528</v>
      </c>
    </row>
    <row r="1035" spans="1:5" ht="14.6" x14ac:dyDescent="0.4">
      <c r="A1035" s="7" t="s">
        <v>1392</v>
      </c>
      <c r="B1035" s="4" t="s">
        <v>1376</v>
      </c>
      <c r="C1035" s="4" t="s">
        <v>58</v>
      </c>
      <c r="D1035" s="8" t="s">
        <v>1520</v>
      </c>
      <c r="E1035" s="8" t="s">
        <v>1528</v>
      </c>
    </row>
    <row r="1036" spans="1:5" ht="14.6" x14ac:dyDescent="0.4">
      <c r="A1036" s="7" t="s">
        <v>1393</v>
      </c>
      <c r="B1036" s="4" t="s">
        <v>1355</v>
      </c>
      <c r="C1036" s="4" t="s">
        <v>68</v>
      </c>
      <c r="D1036" s="8" t="s">
        <v>1522</v>
      </c>
      <c r="E1036" s="8" t="s">
        <v>1526</v>
      </c>
    </row>
    <row r="1037" spans="1:5" ht="14.6" x14ac:dyDescent="0.4">
      <c r="A1037" s="7" t="s">
        <v>1394</v>
      </c>
      <c r="B1037" s="4" t="s">
        <v>1355</v>
      </c>
      <c r="C1037" s="4" t="s">
        <v>52</v>
      </c>
      <c r="D1037" s="8" t="s">
        <v>1522</v>
      </c>
      <c r="E1037" s="8" t="s">
        <v>1527</v>
      </c>
    </row>
    <row r="1038" spans="1:5" ht="14.6" x14ac:dyDescent="0.4">
      <c r="A1038" s="7" t="s">
        <v>1395</v>
      </c>
      <c r="B1038" s="4" t="s">
        <v>1355</v>
      </c>
      <c r="C1038" s="4" t="s">
        <v>18</v>
      </c>
      <c r="D1038" s="8" t="s">
        <v>1522</v>
      </c>
      <c r="E1038" s="8" t="s">
        <v>1527</v>
      </c>
    </row>
    <row r="1039" spans="1:5" ht="14.6" x14ac:dyDescent="0.4">
      <c r="A1039" s="7" t="s">
        <v>1396</v>
      </c>
      <c r="B1039" s="4" t="s">
        <v>1384</v>
      </c>
      <c r="C1039" s="4" t="s">
        <v>58</v>
      </c>
      <c r="D1039" s="8" t="s">
        <v>1520</v>
      </c>
      <c r="E1039" s="8" t="s">
        <v>1528</v>
      </c>
    </row>
    <row r="1040" spans="1:5" ht="14.6" x14ac:dyDescent="0.4">
      <c r="A1040" s="7" t="s">
        <v>1397</v>
      </c>
      <c r="B1040" s="4" t="s">
        <v>1357</v>
      </c>
      <c r="C1040" s="4" t="s">
        <v>55</v>
      </c>
      <c r="D1040" s="8" t="s">
        <v>1522</v>
      </c>
      <c r="E1040" s="8" t="s">
        <v>1527</v>
      </c>
    </row>
    <row r="1041" spans="1:5" ht="14.6" x14ac:dyDescent="0.4">
      <c r="A1041" s="7" t="s">
        <v>1398</v>
      </c>
      <c r="B1041" s="4" t="s">
        <v>1359</v>
      </c>
      <c r="C1041" s="4" t="s">
        <v>24</v>
      </c>
      <c r="D1041" s="8" t="s">
        <v>1520</v>
      </c>
      <c r="E1041" s="8" t="s">
        <v>1528</v>
      </c>
    </row>
    <row r="1042" spans="1:5" ht="14.6" x14ac:dyDescent="0.4">
      <c r="A1042" s="7" t="s">
        <v>1399</v>
      </c>
      <c r="B1042" s="4" t="s">
        <v>1351</v>
      </c>
      <c r="C1042" s="4" t="s">
        <v>52</v>
      </c>
      <c r="D1042" s="8" t="s">
        <v>1520</v>
      </c>
      <c r="E1042" s="8" t="s">
        <v>1528</v>
      </c>
    </row>
    <row r="1043" spans="1:5" ht="14.6" x14ac:dyDescent="0.4">
      <c r="A1043" s="7" t="s">
        <v>1400</v>
      </c>
      <c r="B1043" s="4" t="s">
        <v>1345</v>
      </c>
      <c r="C1043" s="4" t="s">
        <v>9</v>
      </c>
      <c r="D1043" s="8" t="s">
        <v>1522</v>
      </c>
      <c r="E1043" s="8" t="s">
        <v>1525</v>
      </c>
    </row>
    <row r="1044" spans="1:5" ht="14.6" x14ac:dyDescent="0.4">
      <c r="A1044" s="7" t="s">
        <v>1401</v>
      </c>
      <c r="B1044" s="4" t="s">
        <v>1355</v>
      </c>
      <c r="C1044" s="4" t="s">
        <v>58</v>
      </c>
      <c r="D1044" s="8" t="s">
        <v>1520</v>
      </c>
      <c r="E1044" s="8" t="s">
        <v>1528</v>
      </c>
    </row>
    <row r="1045" spans="1:5" ht="14.6" x14ac:dyDescent="0.4">
      <c r="A1045" s="7" t="s">
        <v>1402</v>
      </c>
      <c r="B1045" s="4" t="s">
        <v>1355</v>
      </c>
      <c r="C1045" s="4" t="s">
        <v>18</v>
      </c>
      <c r="D1045" s="8" t="s">
        <v>1522</v>
      </c>
      <c r="E1045" s="8" t="s">
        <v>1523</v>
      </c>
    </row>
    <row r="1046" spans="1:5" ht="14.6" x14ac:dyDescent="0.4">
      <c r="A1046" s="7" t="s">
        <v>1403</v>
      </c>
      <c r="B1046" s="4" t="s">
        <v>1345</v>
      </c>
      <c r="C1046" s="4" t="s">
        <v>24</v>
      </c>
      <c r="D1046" s="8" t="s">
        <v>1522</v>
      </c>
      <c r="E1046" s="8" t="s">
        <v>1527</v>
      </c>
    </row>
    <row r="1047" spans="1:5" ht="14.6" x14ac:dyDescent="0.4">
      <c r="A1047" s="7" t="s">
        <v>1404</v>
      </c>
      <c r="B1047" s="4" t="s">
        <v>1359</v>
      </c>
      <c r="C1047" s="4" t="s">
        <v>58</v>
      </c>
      <c r="D1047" s="8" t="s">
        <v>1520</v>
      </c>
      <c r="E1047" s="8" t="s">
        <v>1528</v>
      </c>
    </row>
    <row r="1048" spans="1:5" ht="14.6" x14ac:dyDescent="0.4">
      <c r="A1048" s="7" t="s">
        <v>1405</v>
      </c>
      <c r="B1048" s="4" t="s">
        <v>1406</v>
      </c>
      <c r="C1048" s="4" t="s">
        <v>52</v>
      </c>
      <c r="D1048" s="8" t="s">
        <v>1520</v>
      </c>
      <c r="E1048" s="8" t="s">
        <v>1528</v>
      </c>
    </row>
    <row r="1049" spans="1:5" ht="14.6" x14ac:dyDescent="0.4">
      <c r="A1049" s="7" t="s">
        <v>1407</v>
      </c>
      <c r="B1049" s="4" t="s">
        <v>1355</v>
      </c>
      <c r="C1049" s="4" t="s">
        <v>24</v>
      </c>
      <c r="D1049" s="8" t="s">
        <v>1520</v>
      </c>
      <c r="E1049" s="8" t="s">
        <v>1528</v>
      </c>
    </row>
    <row r="1050" spans="1:5" ht="14.6" x14ac:dyDescent="0.4">
      <c r="A1050" s="7" t="s">
        <v>1408</v>
      </c>
      <c r="B1050" s="4" t="s">
        <v>1361</v>
      </c>
      <c r="C1050" s="4" t="s">
        <v>47</v>
      </c>
      <c r="D1050" s="8" t="s">
        <v>1520</v>
      </c>
      <c r="E1050" s="8" t="s">
        <v>1528</v>
      </c>
    </row>
    <row r="1051" spans="1:5" ht="14.6" x14ac:dyDescent="0.4">
      <c r="A1051" s="7" t="s">
        <v>1409</v>
      </c>
      <c r="B1051" s="4" t="s">
        <v>1359</v>
      </c>
      <c r="C1051" s="4" t="s">
        <v>18</v>
      </c>
      <c r="D1051" s="8" t="s">
        <v>1520</v>
      </c>
      <c r="E1051" s="8" t="s">
        <v>1528</v>
      </c>
    </row>
    <row r="1052" spans="1:5" ht="14.6" x14ac:dyDescent="0.4">
      <c r="A1052" s="7" t="s">
        <v>1410</v>
      </c>
      <c r="B1052" s="4" t="s">
        <v>1355</v>
      </c>
      <c r="C1052" s="4" t="s">
        <v>29</v>
      </c>
      <c r="D1052" s="8" t="s">
        <v>1520</v>
      </c>
      <c r="E1052" s="8" t="s">
        <v>1528</v>
      </c>
    </row>
    <row r="1053" spans="1:5" ht="14.6" x14ac:dyDescent="0.4">
      <c r="A1053" s="7" t="s">
        <v>1411</v>
      </c>
      <c r="B1053" s="4" t="s">
        <v>1347</v>
      </c>
      <c r="C1053" s="4" t="s">
        <v>15</v>
      </c>
      <c r="D1053" s="8" t="s">
        <v>1520</v>
      </c>
      <c r="E1053" s="8" t="s">
        <v>1528</v>
      </c>
    </row>
    <row r="1054" spans="1:5" ht="14.6" x14ac:dyDescent="0.4">
      <c r="A1054" s="7" t="s">
        <v>1412</v>
      </c>
      <c r="B1054" s="4" t="s">
        <v>1357</v>
      </c>
      <c r="C1054" s="4" t="s">
        <v>6</v>
      </c>
      <c r="D1054" s="8" t="s">
        <v>1520</v>
      </c>
      <c r="E1054" s="8" t="s">
        <v>1528</v>
      </c>
    </row>
    <row r="1055" spans="1:5" ht="14.6" x14ac:dyDescent="0.4">
      <c r="A1055" s="7" t="s">
        <v>1413</v>
      </c>
      <c r="B1055" s="4" t="s">
        <v>1355</v>
      </c>
      <c r="C1055" s="4" t="s">
        <v>68</v>
      </c>
      <c r="D1055" s="8" t="s">
        <v>1520</v>
      </c>
      <c r="E1055" s="8" t="s">
        <v>1528</v>
      </c>
    </row>
    <row r="1056" spans="1:5" ht="14.6" x14ac:dyDescent="0.4">
      <c r="A1056" s="7" t="s">
        <v>1414</v>
      </c>
      <c r="B1056" s="4" t="s">
        <v>1386</v>
      </c>
      <c r="C1056" s="4" t="s">
        <v>15</v>
      </c>
      <c r="D1056" s="8" t="s">
        <v>1520</v>
      </c>
      <c r="E1056" s="8" t="s">
        <v>1528</v>
      </c>
    </row>
    <row r="1057" spans="1:5" ht="14.6" x14ac:dyDescent="0.4">
      <c r="A1057" s="7" t="s">
        <v>1415</v>
      </c>
      <c r="B1057" s="4" t="s">
        <v>1376</v>
      </c>
      <c r="C1057" s="4" t="s">
        <v>24</v>
      </c>
      <c r="D1057" s="8" t="s">
        <v>1520</v>
      </c>
      <c r="E1057" s="8" t="s">
        <v>1528</v>
      </c>
    </row>
    <row r="1058" spans="1:5" ht="14.6" x14ac:dyDescent="0.4">
      <c r="A1058" s="7" t="s">
        <v>1416</v>
      </c>
      <c r="B1058" s="4" t="s">
        <v>1359</v>
      </c>
      <c r="C1058" s="4" t="s">
        <v>47</v>
      </c>
      <c r="D1058" s="8" t="s">
        <v>1522</v>
      </c>
      <c r="E1058" s="8" t="s">
        <v>1529</v>
      </c>
    </row>
    <row r="1059" spans="1:5" ht="14.6" x14ac:dyDescent="0.4">
      <c r="A1059" s="7" t="s">
        <v>1417</v>
      </c>
      <c r="B1059" s="4" t="s">
        <v>1355</v>
      </c>
      <c r="C1059" s="4" t="s">
        <v>21</v>
      </c>
      <c r="D1059" s="8" t="s">
        <v>1522</v>
      </c>
      <c r="E1059" s="8" t="s">
        <v>1529</v>
      </c>
    </row>
    <row r="1060" spans="1:5" ht="14.6" x14ac:dyDescent="0.4">
      <c r="A1060" s="7" t="s">
        <v>1418</v>
      </c>
      <c r="B1060" s="4" t="s">
        <v>1355</v>
      </c>
      <c r="C1060" s="4" t="s">
        <v>34</v>
      </c>
      <c r="D1060" s="8" t="s">
        <v>1522</v>
      </c>
      <c r="E1060" s="8" t="s">
        <v>1527</v>
      </c>
    </row>
    <row r="1061" spans="1:5" ht="14.6" x14ac:dyDescent="0.4">
      <c r="A1061" s="7" t="s">
        <v>1419</v>
      </c>
      <c r="B1061" s="4" t="s">
        <v>1376</v>
      </c>
      <c r="C1061" s="4" t="s">
        <v>21</v>
      </c>
      <c r="D1061" s="8" t="s">
        <v>1522</v>
      </c>
      <c r="E1061" s="8" t="s">
        <v>1529</v>
      </c>
    </row>
    <row r="1062" spans="1:5" ht="14.6" x14ac:dyDescent="0.4">
      <c r="A1062" s="7" t="s">
        <v>1420</v>
      </c>
      <c r="B1062" s="4" t="s">
        <v>1421</v>
      </c>
      <c r="C1062" s="4" t="s">
        <v>6</v>
      </c>
      <c r="D1062" s="8" t="s">
        <v>1522</v>
      </c>
      <c r="E1062" s="8" t="s">
        <v>1529</v>
      </c>
    </row>
    <row r="1063" spans="1:5" ht="14.6" x14ac:dyDescent="0.4">
      <c r="A1063" s="7" t="s">
        <v>1422</v>
      </c>
      <c r="B1063" s="4" t="s">
        <v>1355</v>
      </c>
      <c r="C1063" s="4" t="s">
        <v>34</v>
      </c>
      <c r="D1063" s="8" t="s">
        <v>1520</v>
      </c>
      <c r="E1063" s="8" t="s">
        <v>1528</v>
      </c>
    </row>
    <row r="1064" spans="1:5" ht="14.6" x14ac:dyDescent="0.4">
      <c r="A1064" s="7" t="s">
        <v>1423</v>
      </c>
      <c r="B1064" s="4" t="s">
        <v>1355</v>
      </c>
      <c r="C1064" s="4" t="s">
        <v>6</v>
      </c>
      <c r="D1064" s="8" t="s">
        <v>1520</v>
      </c>
      <c r="E1064" s="8" t="s">
        <v>1528</v>
      </c>
    </row>
    <row r="1065" spans="1:5" ht="14.6" x14ac:dyDescent="0.4">
      <c r="A1065" s="7" t="s">
        <v>1424</v>
      </c>
      <c r="B1065" s="4" t="s">
        <v>1359</v>
      </c>
      <c r="C1065" s="4" t="s">
        <v>12</v>
      </c>
      <c r="D1065" s="8" t="s">
        <v>1520</v>
      </c>
      <c r="E1065" s="8" t="s">
        <v>1528</v>
      </c>
    </row>
    <row r="1066" spans="1:5" ht="14.6" x14ac:dyDescent="0.4">
      <c r="A1066" s="7" t="s">
        <v>1425</v>
      </c>
      <c r="B1066" s="4" t="s">
        <v>1349</v>
      </c>
      <c r="C1066" s="4" t="s">
        <v>9</v>
      </c>
      <c r="D1066" s="8" t="s">
        <v>1522</v>
      </c>
      <c r="E1066" s="8" t="s">
        <v>1530</v>
      </c>
    </row>
    <row r="1067" spans="1:5" ht="14.6" x14ac:dyDescent="0.4">
      <c r="A1067" s="7" t="s">
        <v>1426</v>
      </c>
      <c r="B1067" s="4" t="s">
        <v>1427</v>
      </c>
      <c r="C1067" s="4" t="s">
        <v>15</v>
      </c>
      <c r="D1067" s="8" t="s">
        <v>1520</v>
      </c>
      <c r="E1067" s="8" t="s">
        <v>1528</v>
      </c>
    </row>
    <row r="1068" spans="1:5" ht="14.6" x14ac:dyDescent="0.4">
      <c r="A1068" s="7" t="s">
        <v>1428</v>
      </c>
      <c r="B1068" s="4" t="s">
        <v>1429</v>
      </c>
      <c r="C1068" s="4" t="s">
        <v>24</v>
      </c>
      <c r="D1068" s="8" t="s">
        <v>1520</v>
      </c>
      <c r="E1068" s="8" t="s">
        <v>1528</v>
      </c>
    </row>
    <row r="1069" spans="1:5" ht="14.6" x14ac:dyDescent="0.4">
      <c r="A1069" s="7" t="s">
        <v>1430</v>
      </c>
      <c r="B1069" s="4" t="s">
        <v>1429</v>
      </c>
      <c r="C1069" s="4" t="s">
        <v>21</v>
      </c>
      <c r="D1069" s="8" t="s">
        <v>1520</v>
      </c>
      <c r="E1069" s="8" t="s">
        <v>1528</v>
      </c>
    </row>
    <row r="1070" spans="1:5" ht="14.6" x14ac:dyDescent="0.4">
      <c r="A1070" s="7" t="s">
        <v>1431</v>
      </c>
      <c r="B1070" s="4" t="s">
        <v>1427</v>
      </c>
      <c r="C1070" s="4" t="s">
        <v>68</v>
      </c>
      <c r="D1070" s="8" t="s">
        <v>1520</v>
      </c>
      <c r="E1070" s="8" t="s">
        <v>1528</v>
      </c>
    </row>
    <row r="1071" spans="1:5" ht="14.6" x14ac:dyDescent="0.4">
      <c r="A1071" s="7" t="s">
        <v>1432</v>
      </c>
      <c r="B1071" s="4" t="s">
        <v>1429</v>
      </c>
      <c r="C1071" s="4" t="s">
        <v>68</v>
      </c>
      <c r="D1071" s="8" t="s">
        <v>1520</v>
      </c>
      <c r="E1071" s="8" t="s">
        <v>1528</v>
      </c>
    </row>
    <row r="1072" spans="1:5" ht="14.6" x14ac:dyDescent="0.4">
      <c r="A1072" s="7" t="s">
        <v>1433</v>
      </c>
      <c r="B1072" s="4" t="s">
        <v>1429</v>
      </c>
      <c r="C1072" s="4" t="s">
        <v>9</v>
      </c>
      <c r="D1072" s="8" t="s">
        <v>1520</v>
      </c>
      <c r="E1072" s="8" t="s">
        <v>1528</v>
      </c>
    </row>
    <row r="1073" spans="1:5" ht="14.6" x14ac:dyDescent="0.4">
      <c r="A1073" s="7" t="s">
        <v>1434</v>
      </c>
      <c r="B1073" s="4" t="s">
        <v>1429</v>
      </c>
      <c r="C1073" s="4" t="s">
        <v>52</v>
      </c>
      <c r="D1073" s="8" t="s">
        <v>1520</v>
      </c>
      <c r="E1073" s="8" t="s">
        <v>1528</v>
      </c>
    </row>
    <row r="1074" spans="1:5" ht="14.6" x14ac:dyDescent="0.4">
      <c r="A1074" s="7" t="s">
        <v>1435</v>
      </c>
      <c r="B1074" s="4" t="s">
        <v>1427</v>
      </c>
      <c r="C1074" s="4" t="s">
        <v>6</v>
      </c>
      <c r="D1074" s="8" t="s">
        <v>1520</v>
      </c>
      <c r="E1074" s="8" t="s">
        <v>1528</v>
      </c>
    </row>
    <row r="1075" spans="1:5" ht="14.6" x14ac:dyDescent="0.4">
      <c r="A1075" s="7" t="s">
        <v>1436</v>
      </c>
      <c r="B1075" s="4" t="s">
        <v>1437</v>
      </c>
      <c r="C1075" s="4" t="s">
        <v>29</v>
      </c>
      <c r="D1075" s="8" t="s">
        <v>1520</v>
      </c>
      <c r="E1075" s="8" t="s">
        <v>1528</v>
      </c>
    </row>
    <row r="1076" spans="1:5" ht="14.6" x14ac:dyDescent="0.4">
      <c r="A1076" s="7" t="s">
        <v>1438</v>
      </c>
      <c r="B1076" s="4" t="s">
        <v>1437</v>
      </c>
      <c r="C1076" s="4" t="s">
        <v>34</v>
      </c>
      <c r="D1076" s="8" t="s">
        <v>1520</v>
      </c>
      <c r="E1076" s="8" t="s">
        <v>1528</v>
      </c>
    </row>
    <row r="1077" spans="1:5" ht="14.6" x14ac:dyDescent="0.4">
      <c r="A1077" s="7" t="s">
        <v>1439</v>
      </c>
      <c r="B1077" s="4" t="s">
        <v>1427</v>
      </c>
      <c r="C1077" s="4" t="s">
        <v>65</v>
      </c>
      <c r="D1077" s="8" t="s">
        <v>1522</v>
      </c>
      <c r="E1077" s="8" t="s">
        <v>1523</v>
      </c>
    </row>
    <row r="1078" spans="1:5" ht="14.6" x14ac:dyDescent="0.4">
      <c r="A1078" s="7" t="s">
        <v>1440</v>
      </c>
      <c r="B1078" s="4" t="s">
        <v>1427</v>
      </c>
      <c r="C1078" s="4" t="s">
        <v>68</v>
      </c>
      <c r="D1078" s="8" t="s">
        <v>1520</v>
      </c>
      <c r="E1078" s="8" t="s">
        <v>1528</v>
      </c>
    </row>
    <row r="1079" spans="1:5" ht="14.6" x14ac:dyDescent="0.4">
      <c r="A1079" s="7" t="s">
        <v>1441</v>
      </c>
      <c r="B1079" s="4" t="s">
        <v>1427</v>
      </c>
      <c r="C1079" s="4" t="s">
        <v>65</v>
      </c>
      <c r="D1079" s="8" t="s">
        <v>1520</v>
      </c>
      <c r="E1079" s="8" t="s">
        <v>1528</v>
      </c>
    </row>
    <row r="1080" spans="1:5" ht="14.6" x14ac:dyDescent="0.4">
      <c r="A1080" s="7" t="s">
        <v>1442</v>
      </c>
      <c r="B1080" s="4" t="s">
        <v>1429</v>
      </c>
      <c r="C1080" s="4" t="s">
        <v>12</v>
      </c>
      <c r="D1080" s="8" t="s">
        <v>1520</v>
      </c>
      <c r="E1080" s="8" t="s">
        <v>1528</v>
      </c>
    </row>
    <row r="1081" spans="1:5" ht="14.6" x14ac:dyDescent="0.4">
      <c r="A1081" s="7" t="s">
        <v>1443</v>
      </c>
      <c r="B1081" s="4" t="s">
        <v>1429</v>
      </c>
      <c r="C1081" s="4" t="s">
        <v>15</v>
      </c>
      <c r="D1081" s="8" t="s">
        <v>1520</v>
      </c>
      <c r="E1081" s="8" t="s">
        <v>1528</v>
      </c>
    </row>
    <row r="1082" spans="1:5" ht="14.6" x14ac:dyDescent="0.4">
      <c r="A1082" s="7" t="s">
        <v>1444</v>
      </c>
      <c r="B1082" s="4" t="s">
        <v>1427</v>
      </c>
      <c r="C1082" s="4" t="s">
        <v>29</v>
      </c>
      <c r="D1082" s="8" t="s">
        <v>1522</v>
      </c>
      <c r="E1082" s="8" t="s">
        <v>1523</v>
      </c>
    </row>
    <row r="1083" spans="1:5" ht="14.6" x14ac:dyDescent="0.4">
      <c r="A1083" s="7" t="s">
        <v>1445</v>
      </c>
      <c r="B1083" s="4" t="s">
        <v>1437</v>
      </c>
      <c r="C1083" s="4" t="s">
        <v>65</v>
      </c>
      <c r="D1083" s="8" t="s">
        <v>1522</v>
      </c>
      <c r="E1083" s="8" t="s">
        <v>1523</v>
      </c>
    </row>
    <row r="1084" spans="1:5" ht="14.6" x14ac:dyDescent="0.4">
      <c r="A1084" s="7" t="s">
        <v>1446</v>
      </c>
      <c r="B1084" s="4" t="s">
        <v>1429</v>
      </c>
      <c r="C1084" s="4" t="s">
        <v>29</v>
      </c>
      <c r="D1084" s="8" t="s">
        <v>1522</v>
      </c>
      <c r="E1084" s="8" t="s">
        <v>1523</v>
      </c>
    </row>
    <row r="1085" spans="1:5" ht="14.6" x14ac:dyDescent="0.4">
      <c r="A1085" s="7" t="s">
        <v>1447</v>
      </c>
      <c r="B1085" s="4" t="s">
        <v>1429</v>
      </c>
      <c r="C1085" s="4" t="s">
        <v>29</v>
      </c>
      <c r="D1085" s="8" t="s">
        <v>1522</v>
      </c>
      <c r="E1085" s="8" t="s">
        <v>1523</v>
      </c>
    </row>
    <row r="1086" spans="1:5" ht="14.6" x14ac:dyDescent="0.4">
      <c r="A1086" s="7" t="s">
        <v>1448</v>
      </c>
      <c r="B1086" s="4" t="s">
        <v>1449</v>
      </c>
      <c r="C1086" s="4" t="s">
        <v>24</v>
      </c>
      <c r="D1086" s="8" t="s">
        <v>1520</v>
      </c>
      <c r="E1086" s="8" t="s">
        <v>1528</v>
      </c>
    </row>
    <row r="1087" spans="1:5" ht="14.6" x14ac:dyDescent="0.4">
      <c r="A1087" s="7" t="s">
        <v>1450</v>
      </c>
      <c r="B1087" s="4" t="s">
        <v>1427</v>
      </c>
      <c r="C1087" s="4" t="s">
        <v>6</v>
      </c>
      <c r="D1087" s="8" t="s">
        <v>1522</v>
      </c>
      <c r="E1087" s="8" t="s">
        <v>1523</v>
      </c>
    </row>
    <row r="1088" spans="1:5" ht="14.6" x14ac:dyDescent="0.4">
      <c r="A1088" s="7" t="s">
        <v>1451</v>
      </c>
      <c r="B1088" s="4" t="s">
        <v>1429</v>
      </c>
      <c r="C1088" s="4" t="s">
        <v>21</v>
      </c>
      <c r="D1088" s="8" t="s">
        <v>1520</v>
      </c>
      <c r="E1088" s="8" t="s">
        <v>1528</v>
      </c>
    </row>
    <row r="1089" spans="1:5" ht="14.6" x14ac:dyDescent="0.4">
      <c r="A1089" s="7" t="s">
        <v>1452</v>
      </c>
      <c r="B1089" s="4" t="s">
        <v>1427</v>
      </c>
      <c r="C1089" s="4" t="s">
        <v>65</v>
      </c>
      <c r="D1089" s="8" t="s">
        <v>1522</v>
      </c>
      <c r="E1089" s="8" t="s">
        <v>1527</v>
      </c>
    </row>
    <row r="1090" spans="1:5" ht="14.6" x14ac:dyDescent="0.4">
      <c r="A1090" s="7" t="s">
        <v>1453</v>
      </c>
      <c r="B1090" s="4" t="s">
        <v>1449</v>
      </c>
      <c r="C1090" s="4" t="s">
        <v>47</v>
      </c>
      <c r="D1090" s="8" t="s">
        <v>1522</v>
      </c>
      <c r="E1090" s="8" t="s">
        <v>1523</v>
      </c>
    </row>
    <row r="1091" spans="1:5" ht="14.6" x14ac:dyDescent="0.4">
      <c r="A1091" s="7" t="s">
        <v>1454</v>
      </c>
      <c r="B1091" s="4" t="s">
        <v>1437</v>
      </c>
      <c r="C1091" s="4" t="s">
        <v>65</v>
      </c>
      <c r="D1091" s="8" t="s">
        <v>1522</v>
      </c>
      <c r="E1091" s="8" t="s">
        <v>1527</v>
      </c>
    </row>
    <row r="1092" spans="1:5" ht="14.6" x14ac:dyDescent="0.4">
      <c r="A1092" s="7" t="s">
        <v>1455</v>
      </c>
      <c r="B1092" s="4" t="s">
        <v>1449</v>
      </c>
      <c r="C1092" s="4" t="s">
        <v>47</v>
      </c>
      <c r="D1092" s="8" t="s">
        <v>1520</v>
      </c>
      <c r="E1092" s="8" t="s">
        <v>1528</v>
      </c>
    </row>
    <row r="1093" spans="1:5" ht="14.6" x14ac:dyDescent="0.4">
      <c r="A1093" s="7" t="s">
        <v>1456</v>
      </c>
      <c r="B1093" s="4" t="s">
        <v>1427</v>
      </c>
      <c r="C1093" s="4" t="s">
        <v>47</v>
      </c>
      <c r="D1093" s="8" t="s">
        <v>1522</v>
      </c>
      <c r="E1093" s="8" t="s">
        <v>1523</v>
      </c>
    </row>
    <row r="1094" spans="1:5" ht="14.6" x14ac:dyDescent="0.4">
      <c r="A1094" s="7" t="s">
        <v>1457</v>
      </c>
      <c r="B1094" s="4" t="s">
        <v>1449</v>
      </c>
      <c r="C1094" s="4" t="s">
        <v>24</v>
      </c>
      <c r="D1094" s="8" t="s">
        <v>1522</v>
      </c>
      <c r="E1094" s="8" t="s">
        <v>1523</v>
      </c>
    </row>
    <row r="1095" spans="1:5" ht="14.6" x14ac:dyDescent="0.4">
      <c r="A1095" s="7" t="s">
        <v>1458</v>
      </c>
      <c r="B1095" s="4" t="s">
        <v>1429</v>
      </c>
      <c r="C1095" s="4" t="s">
        <v>34</v>
      </c>
      <c r="D1095" s="8" t="s">
        <v>1520</v>
      </c>
      <c r="E1095" s="8" t="s">
        <v>1528</v>
      </c>
    </row>
    <row r="1096" spans="1:5" ht="14.6" x14ac:dyDescent="0.4">
      <c r="A1096" s="7" t="s">
        <v>1459</v>
      </c>
      <c r="B1096" s="4" t="s">
        <v>1429</v>
      </c>
      <c r="C1096" s="4" t="s">
        <v>47</v>
      </c>
      <c r="D1096" s="8" t="s">
        <v>1520</v>
      </c>
      <c r="E1096" s="8" t="s">
        <v>1528</v>
      </c>
    </row>
    <row r="1097" spans="1:5" ht="14.6" x14ac:dyDescent="0.4">
      <c r="A1097" s="7" t="s">
        <v>1460</v>
      </c>
      <c r="B1097" s="4" t="s">
        <v>1429</v>
      </c>
      <c r="C1097" s="4" t="s">
        <v>47</v>
      </c>
      <c r="D1097" s="8" t="s">
        <v>1520</v>
      </c>
      <c r="E1097" s="8" t="s">
        <v>1528</v>
      </c>
    </row>
    <row r="1098" spans="1:5" ht="14.6" x14ac:dyDescent="0.4">
      <c r="A1098" s="7" t="s">
        <v>1461</v>
      </c>
      <c r="B1098" s="4" t="s">
        <v>1427</v>
      </c>
      <c r="C1098" s="4" t="s">
        <v>47</v>
      </c>
      <c r="D1098" s="8" t="s">
        <v>1522</v>
      </c>
      <c r="E1098" s="8" t="s">
        <v>1526</v>
      </c>
    </row>
    <row r="1099" spans="1:5" ht="14.6" x14ac:dyDescent="0.4">
      <c r="A1099" s="7" t="s">
        <v>1462</v>
      </c>
      <c r="B1099" s="4" t="s">
        <v>1427</v>
      </c>
      <c r="C1099" s="4" t="s">
        <v>34</v>
      </c>
      <c r="D1099" s="8" t="s">
        <v>1520</v>
      </c>
      <c r="E1099" s="8" t="s">
        <v>1528</v>
      </c>
    </row>
    <row r="1100" spans="1:5" ht="14.6" x14ac:dyDescent="0.4">
      <c r="A1100" s="7" t="s">
        <v>1463</v>
      </c>
      <c r="B1100" s="4" t="s">
        <v>1437</v>
      </c>
      <c r="C1100" s="4" t="s">
        <v>55</v>
      </c>
      <c r="D1100" s="8" t="s">
        <v>1520</v>
      </c>
      <c r="E1100" s="8" t="s">
        <v>1528</v>
      </c>
    </row>
    <row r="1101" spans="1:5" ht="14.6" x14ac:dyDescent="0.4">
      <c r="A1101" s="7" t="s">
        <v>1464</v>
      </c>
      <c r="B1101" s="4" t="s">
        <v>1429</v>
      </c>
      <c r="C1101" s="4" t="s">
        <v>15</v>
      </c>
      <c r="D1101" s="8" t="s">
        <v>1522</v>
      </c>
      <c r="E1101" s="8" t="s">
        <v>1523</v>
      </c>
    </row>
    <row r="1102" spans="1:5" ht="14.6" x14ac:dyDescent="0.4">
      <c r="A1102" s="7" t="s">
        <v>1465</v>
      </c>
      <c r="B1102" s="4" t="s">
        <v>1427</v>
      </c>
      <c r="C1102" s="4" t="s">
        <v>47</v>
      </c>
      <c r="D1102" s="8" t="s">
        <v>1520</v>
      </c>
      <c r="E1102" s="8" t="s">
        <v>1528</v>
      </c>
    </row>
    <row r="1103" spans="1:5" ht="14.6" x14ac:dyDescent="0.4">
      <c r="A1103" s="7" t="s">
        <v>1466</v>
      </c>
      <c r="B1103" s="4" t="s">
        <v>1437</v>
      </c>
      <c r="C1103" s="4" t="s">
        <v>18</v>
      </c>
      <c r="D1103" s="8" t="s">
        <v>1522</v>
      </c>
      <c r="E1103" s="8" t="s">
        <v>1525</v>
      </c>
    </row>
    <row r="1104" spans="1:5" ht="14.6" x14ac:dyDescent="0.4">
      <c r="A1104" s="7" t="s">
        <v>1467</v>
      </c>
      <c r="B1104" s="4" t="s">
        <v>1427</v>
      </c>
      <c r="C1104" s="4" t="s">
        <v>52</v>
      </c>
      <c r="D1104" s="8" t="s">
        <v>1520</v>
      </c>
      <c r="E1104" s="8" t="s">
        <v>1528</v>
      </c>
    </row>
    <row r="1105" spans="1:5" ht="14.6" x14ac:dyDescent="0.4">
      <c r="A1105" s="7" t="s">
        <v>1468</v>
      </c>
      <c r="B1105" s="4" t="s">
        <v>1449</v>
      </c>
      <c r="C1105" s="4" t="s">
        <v>68</v>
      </c>
      <c r="D1105" s="8" t="s">
        <v>1520</v>
      </c>
      <c r="E1105" s="8" t="s">
        <v>1528</v>
      </c>
    </row>
    <row r="1106" spans="1:5" ht="14.6" x14ac:dyDescent="0.4">
      <c r="A1106" s="7" t="s">
        <v>1469</v>
      </c>
      <c r="B1106" s="4" t="s">
        <v>1449</v>
      </c>
      <c r="C1106" s="4" t="s">
        <v>6</v>
      </c>
      <c r="D1106" s="8" t="s">
        <v>1520</v>
      </c>
      <c r="E1106" s="8" t="s">
        <v>1528</v>
      </c>
    </row>
    <row r="1107" spans="1:5" ht="14.6" x14ac:dyDescent="0.4">
      <c r="A1107" s="7" t="s">
        <v>1470</v>
      </c>
      <c r="B1107" s="4" t="s">
        <v>1429</v>
      </c>
      <c r="C1107" s="4" t="s">
        <v>12</v>
      </c>
      <c r="D1107" s="8" t="s">
        <v>1522</v>
      </c>
      <c r="E1107" s="8" t="s">
        <v>1527</v>
      </c>
    </row>
    <row r="1108" spans="1:5" ht="14.6" x14ac:dyDescent="0.4">
      <c r="A1108" s="7" t="s">
        <v>1471</v>
      </c>
      <c r="B1108" s="4" t="s">
        <v>1427</v>
      </c>
      <c r="C1108" s="4" t="s">
        <v>58</v>
      </c>
      <c r="D1108" s="8" t="s">
        <v>1520</v>
      </c>
      <c r="E1108" s="8" t="s">
        <v>1528</v>
      </c>
    </row>
    <row r="1109" spans="1:5" ht="14.6" x14ac:dyDescent="0.4">
      <c r="A1109" s="7" t="s">
        <v>1472</v>
      </c>
      <c r="B1109" s="4" t="s">
        <v>1473</v>
      </c>
      <c r="C1109" s="4" t="s">
        <v>47</v>
      </c>
      <c r="D1109" s="8" t="s">
        <v>1522</v>
      </c>
      <c r="E1109" s="8" t="s">
        <v>1523</v>
      </c>
    </row>
    <row r="1110" spans="1:5" ht="14.6" x14ac:dyDescent="0.4">
      <c r="A1110" s="7" t="s">
        <v>1474</v>
      </c>
      <c r="B1110" s="4" t="s">
        <v>1475</v>
      </c>
      <c r="C1110" s="4" t="s">
        <v>15</v>
      </c>
      <c r="D1110" s="8" t="s">
        <v>1522</v>
      </c>
      <c r="E1110" s="8" t="s">
        <v>1527</v>
      </c>
    </row>
    <row r="1111" spans="1:5" ht="14.6" x14ac:dyDescent="0.4">
      <c r="A1111" s="7" t="s">
        <v>1476</v>
      </c>
      <c r="B1111" s="4" t="s">
        <v>1473</v>
      </c>
      <c r="C1111" s="4" t="s">
        <v>21</v>
      </c>
      <c r="D1111" s="8" t="s">
        <v>1522</v>
      </c>
      <c r="E1111" s="8" t="s">
        <v>1525</v>
      </c>
    </row>
    <row r="1112" spans="1:5" ht="14.6" x14ac:dyDescent="0.4">
      <c r="A1112" s="7" t="s">
        <v>1477</v>
      </c>
      <c r="B1112" s="4" t="s">
        <v>1478</v>
      </c>
      <c r="C1112" s="4" t="s">
        <v>9</v>
      </c>
      <c r="D1112" s="8" t="s">
        <v>1520</v>
      </c>
      <c r="E1112" s="8" t="s">
        <v>1528</v>
      </c>
    </row>
    <row r="1113" spans="1:5" ht="14.6" x14ac:dyDescent="0.4">
      <c r="A1113" s="7" t="s">
        <v>1479</v>
      </c>
      <c r="B1113" s="4" t="s">
        <v>1480</v>
      </c>
      <c r="C1113" s="4" t="s">
        <v>68</v>
      </c>
      <c r="D1113" s="8" t="s">
        <v>1520</v>
      </c>
      <c r="E1113" s="8" t="s">
        <v>1528</v>
      </c>
    </row>
    <row r="1114" spans="1:5" ht="14.6" x14ac:dyDescent="0.4">
      <c r="A1114" s="7" t="s">
        <v>1481</v>
      </c>
      <c r="B1114" s="4" t="s">
        <v>1480</v>
      </c>
      <c r="C1114" s="4" t="s">
        <v>68</v>
      </c>
      <c r="D1114" s="8" t="s">
        <v>1520</v>
      </c>
      <c r="E1114" s="8" t="s">
        <v>1528</v>
      </c>
    </row>
    <row r="1115" spans="1:5" ht="14.6" x14ac:dyDescent="0.4">
      <c r="A1115" s="7" t="s">
        <v>1482</v>
      </c>
      <c r="B1115" s="4" t="s">
        <v>1475</v>
      </c>
      <c r="C1115" s="4" t="s">
        <v>18</v>
      </c>
      <c r="D1115" s="8" t="s">
        <v>1522</v>
      </c>
      <c r="E1115" s="8" t="s">
        <v>1527</v>
      </c>
    </row>
    <row r="1116" spans="1:5" ht="14.6" x14ac:dyDescent="0.4">
      <c r="A1116" s="7" t="s">
        <v>1483</v>
      </c>
      <c r="B1116" s="4" t="s">
        <v>1478</v>
      </c>
      <c r="C1116" s="4" t="s">
        <v>12</v>
      </c>
      <c r="D1116" s="8" t="s">
        <v>1520</v>
      </c>
      <c r="E1116" s="8" t="s">
        <v>1528</v>
      </c>
    </row>
    <row r="1117" spans="1:5" ht="14.6" x14ac:dyDescent="0.4">
      <c r="A1117" s="7" t="s">
        <v>1484</v>
      </c>
      <c r="B1117" s="4" t="s">
        <v>1475</v>
      </c>
      <c r="C1117" s="4" t="s">
        <v>47</v>
      </c>
      <c r="D1117" s="8" t="s">
        <v>1522</v>
      </c>
      <c r="E1117" s="8" t="s">
        <v>1532</v>
      </c>
    </row>
    <row r="1118" spans="1:5" ht="14.6" x14ac:dyDescent="0.4">
      <c r="A1118" s="7" t="s">
        <v>1485</v>
      </c>
      <c r="B1118" s="4" t="s">
        <v>1480</v>
      </c>
      <c r="C1118" s="4" t="s">
        <v>34</v>
      </c>
      <c r="D1118" s="8" t="s">
        <v>1520</v>
      </c>
      <c r="E1118" s="8" t="s">
        <v>1528</v>
      </c>
    </row>
    <row r="1119" spans="1:5" ht="14.6" x14ac:dyDescent="0.4">
      <c r="A1119" s="7" t="s">
        <v>1486</v>
      </c>
      <c r="B1119" s="4" t="s">
        <v>1478</v>
      </c>
      <c r="C1119" s="4" t="s">
        <v>65</v>
      </c>
      <c r="D1119" s="8" t="s">
        <v>1520</v>
      </c>
      <c r="E1119" s="8" t="s">
        <v>1528</v>
      </c>
    </row>
    <row r="1120" spans="1:5" ht="14.6" x14ac:dyDescent="0.4">
      <c r="A1120" s="7" t="s">
        <v>1487</v>
      </c>
      <c r="B1120" s="4" t="s">
        <v>1473</v>
      </c>
      <c r="C1120" s="4" t="s">
        <v>47</v>
      </c>
      <c r="D1120" s="8" t="s">
        <v>1520</v>
      </c>
      <c r="E1120" s="8" t="s">
        <v>1528</v>
      </c>
    </row>
    <row r="1121" spans="1:5" ht="14.6" x14ac:dyDescent="0.4">
      <c r="A1121" s="7" t="s">
        <v>1488</v>
      </c>
      <c r="B1121" s="4" t="s">
        <v>1475</v>
      </c>
      <c r="C1121" s="4" t="s">
        <v>58</v>
      </c>
      <c r="D1121" s="8" t="s">
        <v>1522</v>
      </c>
      <c r="E1121" s="8" t="s">
        <v>1527</v>
      </c>
    </row>
    <row r="1122" spans="1:5" ht="14.6" x14ac:dyDescent="0.4">
      <c r="A1122" s="7" t="s">
        <v>1489</v>
      </c>
      <c r="B1122" s="4" t="s">
        <v>1478</v>
      </c>
      <c r="C1122" s="4" t="s">
        <v>15</v>
      </c>
      <c r="D1122" s="8" t="s">
        <v>1522</v>
      </c>
      <c r="E1122" s="8" t="s">
        <v>1527</v>
      </c>
    </row>
    <row r="1123" spans="1:5" ht="14.6" x14ac:dyDescent="0.4">
      <c r="A1123" s="7" t="s">
        <v>1490</v>
      </c>
      <c r="B1123" s="4" t="s">
        <v>1473</v>
      </c>
      <c r="C1123" s="4" t="s">
        <v>55</v>
      </c>
      <c r="D1123" s="8" t="s">
        <v>1520</v>
      </c>
      <c r="E1123" s="8" t="s">
        <v>1528</v>
      </c>
    </row>
    <row r="1124" spans="1:5" ht="14.6" x14ac:dyDescent="0.4">
      <c r="A1124" s="7" t="s">
        <v>1491</v>
      </c>
      <c r="B1124" s="4" t="s">
        <v>1478</v>
      </c>
      <c r="C1124" s="4" t="s">
        <v>12</v>
      </c>
      <c r="D1124" s="8" t="s">
        <v>1520</v>
      </c>
      <c r="E1124" s="8" t="s">
        <v>1528</v>
      </c>
    </row>
    <row r="1125" spans="1:5" ht="14.6" x14ac:dyDescent="0.4">
      <c r="A1125" s="7" t="s">
        <v>1492</v>
      </c>
      <c r="B1125" s="4" t="s">
        <v>1475</v>
      </c>
      <c r="C1125" s="4" t="s">
        <v>15</v>
      </c>
      <c r="D1125" s="8" t="s">
        <v>1520</v>
      </c>
      <c r="E1125" s="8" t="s">
        <v>1528</v>
      </c>
    </row>
    <row r="1126" spans="1:5" ht="14.6" x14ac:dyDescent="0.4">
      <c r="A1126" s="7" t="s">
        <v>1493</v>
      </c>
      <c r="B1126" s="4" t="s">
        <v>1473</v>
      </c>
      <c r="C1126" s="4" t="s">
        <v>52</v>
      </c>
      <c r="D1126" s="8" t="s">
        <v>1520</v>
      </c>
      <c r="E1126" s="8" t="s">
        <v>1528</v>
      </c>
    </row>
    <row r="1127" spans="1:5" ht="14.6" x14ac:dyDescent="0.4">
      <c r="A1127" s="7" t="s">
        <v>1494</v>
      </c>
      <c r="B1127" s="4" t="s">
        <v>1475</v>
      </c>
      <c r="C1127" s="4" t="s">
        <v>9</v>
      </c>
      <c r="D1127" s="8" t="s">
        <v>1520</v>
      </c>
      <c r="E1127" s="8" t="s">
        <v>1528</v>
      </c>
    </row>
    <row r="1128" spans="1:5" ht="14.6" x14ac:dyDescent="0.4">
      <c r="A1128" s="7" t="s">
        <v>1495</v>
      </c>
      <c r="B1128" s="4" t="s">
        <v>1473</v>
      </c>
      <c r="C1128" s="4" t="s">
        <v>34</v>
      </c>
      <c r="D1128" s="8" t="s">
        <v>1520</v>
      </c>
      <c r="E1128" s="8" t="s">
        <v>1528</v>
      </c>
    </row>
    <row r="1129" spans="1:5" ht="14.6" x14ac:dyDescent="0.4">
      <c r="A1129" s="7" t="s">
        <v>1496</v>
      </c>
      <c r="B1129" s="4" t="s">
        <v>1475</v>
      </c>
      <c r="C1129" s="4" t="s">
        <v>65</v>
      </c>
      <c r="D1129" s="8" t="s">
        <v>1520</v>
      </c>
      <c r="E1129" s="8" t="s">
        <v>1528</v>
      </c>
    </row>
    <row r="1130" spans="1:5" ht="14.6" x14ac:dyDescent="0.4">
      <c r="A1130" s="7" t="s">
        <v>1497</v>
      </c>
      <c r="B1130" s="4" t="s">
        <v>1498</v>
      </c>
      <c r="C1130" s="4" t="s">
        <v>47</v>
      </c>
      <c r="D1130" s="8" t="s">
        <v>1522</v>
      </c>
      <c r="E1130" s="8" t="s">
        <v>1527</v>
      </c>
    </row>
    <row r="1131" spans="1:5" ht="14.6" x14ac:dyDescent="0.4">
      <c r="A1131" s="7" t="s">
        <v>1499</v>
      </c>
      <c r="B1131" s="4" t="s">
        <v>1500</v>
      </c>
      <c r="C1131" s="4" t="s">
        <v>55</v>
      </c>
      <c r="D1131" s="8" t="s">
        <v>1520</v>
      </c>
      <c r="E1131" s="8" t="s">
        <v>1528</v>
      </c>
    </row>
    <row r="1132" spans="1:5" ht="14.6" x14ac:dyDescent="0.4">
      <c r="A1132" s="7" t="s">
        <v>1501</v>
      </c>
      <c r="B1132" s="4" t="s">
        <v>1500</v>
      </c>
      <c r="C1132" s="4" t="s">
        <v>9</v>
      </c>
      <c r="D1132" s="8" t="s">
        <v>1522</v>
      </c>
      <c r="E1132" s="8" t="s">
        <v>1529</v>
      </c>
    </row>
    <row r="1133" spans="1:5" ht="14.6" x14ac:dyDescent="0.4">
      <c r="A1133" s="7" t="s">
        <v>1502</v>
      </c>
      <c r="B1133" s="4" t="s">
        <v>1500</v>
      </c>
      <c r="C1133" s="4" t="s">
        <v>24</v>
      </c>
      <c r="D1133" s="8" t="s">
        <v>1520</v>
      </c>
      <c r="E1133" s="8" t="s">
        <v>1528</v>
      </c>
    </row>
    <row r="1134" spans="1:5" ht="14.6" x14ac:dyDescent="0.4">
      <c r="A1134" s="7" t="s">
        <v>1503</v>
      </c>
      <c r="B1134" s="4" t="s">
        <v>1500</v>
      </c>
      <c r="C1134" s="4" t="s">
        <v>68</v>
      </c>
      <c r="D1134" s="8" t="s">
        <v>1520</v>
      </c>
      <c r="E1134" s="8" t="s">
        <v>1528</v>
      </c>
    </row>
    <row r="1135" spans="1:5" ht="14.6" x14ac:dyDescent="0.4">
      <c r="A1135" s="7" t="s">
        <v>1504</v>
      </c>
      <c r="B1135" s="4" t="s">
        <v>1505</v>
      </c>
      <c r="C1135" s="4" t="s">
        <v>47</v>
      </c>
      <c r="D1135" s="8" t="s">
        <v>1520</v>
      </c>
      <c r="E1135" s="8" t="s">
        <v>1528</v>
      </c>
    </row>
    <row r="1136" spans="1:5" ht="14.6" x14ac:dyDescent="0.4">
      <c r="A1136" s="7" t="s">
        <v>1506</v>
      </c>
      <c r="B1136" s="4" t="s">
        <v>1498</v>
      </c>
      <c r="C1136" s="4" t="s">
        <v>47</v>
      </c>
      <c r="D1136" s="8" t="s">
        <v>1522</v>
      </c>
      <c r="E1136" s="8" t="s">
        <v>1527</v>
      </c>
    </row>
    <row r="1137" spans="1:5" ht="14.6" x14ac:dyDescent="0.4">
      <c r="A1137" s="7" t="s">
        <v>1507</v>
      </c>
      <c r="B1137" s="4" t="s">
        <v>1500</v>
      </c>
      <c r="C1137" s="4" t="s">
        <v>55</v>
      </c>
      <c r="D1137" s="8" t="s">
        <v>1522</v>
      </c>
      <c r="E1137" s="8" t="s">
        <v>1527</v>
      </c>
    </row>
    <row r="1138" spans="1:5" ht="14.6" x14ac:dyDescent="0.4">
      <c r="A1138" s="7" t="s">
        <v>1508</v>
      </c>
      <c r="B1138" s="4" t="s">
        <v>1505</v>
      </c>
      <c r="C1138" s="4" t="s">
        <v>65</v>
      </c>
      <c r="D1138" s="8" t="s">
        <v>1520</v>
      </c>
      <c r="E1138" s="8" t="s">
        <v>1528</v>
      </c>
    </row>
    <row r="1139" spans="1:5" ht="14.6" x14ac:dyDescent="0.4">
      <c r="A1139" s="7" t="s">
        <v>1509</v>
      </c>
      <c r="B1139" s="4" t="s">
        <v>1510</v>
      </c>
      <c r="C1139" s="4" t="s">
        <v>9</v>
      </c>
      <c r="D1139" s="8" t="s">
        <v>1520</v>
      </c>
      <c r="E1139" s="8" t="s">
        <v>1528</v>
      </c>
    </row>
    <row r="1140" spans="1:5" ht="14.6" x14ac:dyDescent="0.4">
      <c r="A1140" s="7" t="s">
        <v>1511</v>
      </c>
      <c r="B1140" s="4" t="s">
        <v>1498</v>
      </c>
      <c r="C1140" s="4" t="s">
        <v>9</v>
      </c>
      <c r="D1140" s="8" t="s">
        <v>1522</v>
      </c>
      <c r="E1140" s="8" t="s">
        <v>1530</v>
      </c>
    </row>
    <row r="1141" spans="1:5" ht="14.6" x14ac:dyDescent="0.4">
      <c r="A1141" s="7" t="s">
        <v>1512</v>
      </c>
      <c r="B1141" s="4" t="s">
        <v>1505</v>
      </c>
      <c r="C1141" s="4" t="s">
        <v>65</v>
      </c>
      <c r="D1141" s="8" t="s">
        <v>1522</v>
      </c>
      <c r="E1141" s="8" t="s">
        <v>1530</v>
      </c>
    </row>
    <row r="1142" spans="1:5" ht="14.6" x14ac:dyDescent="0.4">
      <c r="A1142" s="7" t="s">
        <v>1513</v>
      </c>
      <c r="B1142" s="4" t="s">
        <v>1498</v>
      </c>
      <c r="C1142" s="4" t="s">
        <v>29</v>
      </c>
      <c r="D1142" s="8" t="s">
        <v>1520</v>
      </c>
      <c r="E1142" s="8" t="s">
        <v>1528</v>
      </c>
    </row>
    <row r="1143" spans="1:5" ht="14.6" x14ac:dyDescent="0.4">
      <c r="A1143" s="7" t="s">
        <v>1514</v>
      </c>
      <c r="B1143" s="4" t="s">
        <v>1498</v>
      </c>
      <c r="C1143" s="4" t="s">
        <v>58</v>
      </c>
      <c r="D1143" s="8" t="s">
        <v>1522</v>
      </c>
      <c r="E1143" s="8" t="s">
        <v>1531</v>
      </c>
    </row>
    <row r="1144" spans="1:5" ht="14.6" x14ac:dyDescent="0.4">
      <c r="A1144" s="7" t="s">
        <v>1515</v>
      </c>
      <c r="B1144" s="4" t="s">
        <v>1498</v>
      </c>
      <c r="C1144" s="4" t="s">
        <v>47</v>
      </c>
      <c r="D1144" s="8" t="s">
        <v>1522</v>
      </c>
      <c r="E1144" s="8" t="s">
        <v>1531</v>
      </c>
    </row>
    <row r="1145" spans="1:5" ht="14.6" x14ac:dyDescent="0.4">
      <c r="A1145" s="7" t="s">
        <v>1516</v>
      </c>
      <c r="B1145" s="4" t="s">
        <v>1505</v>
      </c>
      <c r="C1145" s="4" t="s">
        <v>6</v>
      </c>
      <c r="D1145" s="8" t="s">
        <v>1522</v>
      </c>
      <c r="E1145" s="8" t="s">
        <v>1527</v>
      </c>
    </row>
    <row r="1146" spans="1:5" ht="14.6" x14ac:dyDescent="0.4">
      <c r="A1146" s="7" t="s">
        <v>1517</v>
      </c>
      <c r="B1146" s="4" t="s">
        <v>1505</v>
      </c>
      <c r="C1146" s="4" t="s">
        <v>29</v>
      </c>
      <c r="D1146" s="8" t="s">
        <v>1522</v>
      </c>
      <c r="E1146" s="8" t="s">
        <v>1527</v>
      </c>
    </row>
    <row r="1147" spans="1:5" ht="12.45" x14ac:dyDescent="0.3">
      <c r="A1147" s="7"/>
      <c r="B1147" s="7"/>
      <c r="C1147" s="7"/>
    </row>
    <row r="1148" spans="1:5" ht="12.45" x14ac:dyDescent="0.3">
      <c r="A1148" s="7"/>
      <c r="B1148" s="7"/>
      <c r="C1148" s="7"/>
    </row>
    <row r="1149" spans="1:5" ht="12.45" x14ac:dyDescent="0.3">
      <c r="A1149" s="7"/>
      <c r="B1149" s="7"/>
      <c r="C1149" s="7"/>
    </row>
    <row r="1150" spans="1:5" ht="12.45" x14ac:dyDescent="0.3">
      <c r="A1150" s="7"/>
      <c r="B1150" s="7"/>
      <c r="C1150" s="7"/>
    </row>
    <row r="1151" spans="1:5" ht="12.45" x14ac:dyDescent="0.3">
      <c r="A1151" s="7"/>
      <c r="B1151" s="7"/>
      <c r="C1151" s="7"/>
    </row>
    <row r="1152" spans="1:5" ht="12.45" x14ac:dyDescent="0.3">
      <c r="A1152" s="7"/>
      <c r="B1152" s="7"/>
      <c r="C1152" s="7"/>
    </row>
    <row r="1153" spans="1:3" ht="12.45" x14ac:dyDescent="0.3">
      <c r="A1153" s="7"/>
      <c r="B1153" s="7"/>
      <c r="C1153" s="7"/>
    </row>
    <row r="1154" spans="1:3" ht="12.45" x14ac:dyDescent="0.3">
      <c r="A1154" s="7"/>
      <c r="B1154" s="7"/>
      <c r="C1154" s="7"/>
    </row>
    <row r="1155" spans="1:3" ht="12.45" x14ac:dyDescent="0.3">
      <c r="A1155" s="7"/>
      <c r="B1155" s="7"/>
      <c r="C1155" s="7"/>
    </row>
    <row r="1156" spans="1:3" ht="12.45" x14ac:dyDescent="0.3">
      <c r="A1156" s="7"/>
      <c r="B1156" s="7"/>
      <c r="C1156" s="7"/>
    </row>
    <row r="1157" spans="1:3" ht="12.45" x14ac:dyDescent="0.3">
      <c r="A1157" s="7"/>
      <c r="B1157" s="7"/>
      <c r="C1157" s="7"/>
    </row>
    <row r="1158" spans="1:3" ht="12.45" x14ac:dyDescent="0.3">
      <c r="A1158" s="7"/>
      <c r="B1158" s="7"/>
      <c r="C1158" s="7"/>
    </row>
    <row r="1159" spans="1:3" ht="12.45" x14ac:dyDescent="0.3">
      <c r="A1159" s="7"/>
      <c r="B1159" s="7"/>
      <c r="C1159" s="7"/>
    </row>
    <row r="1160" spans="1:3" ht="12.45" x14ac:dyDescent="0.3">
      <c r="A1160" s="7"/>
      <c r="B1160" s="7"/>
      <c r="C1160" s="7"/>
    </row>
    <row r="1161" spans="1:3" ht="12.45" x14ac:dyDescent="0.3">
      <c r="A1161" s="7"/>
      <c r="B1161" s="7"/>
      <c r="C1161" s="7"/>
    </row>
    <row r="1162" spans="1:3" ht="12.45" x14ac:dyDescent="0.3">
      <c r="A1162" s="7"/>
      <c r="B1162" s="7"/>
      <c r="C1162" s="7"/>
    </row>
    <row r="1163" spans="1:3" ht="12.45" x14ac:dyDescent="0.3">
      <c r="A1163" s="7"/>
      <c r="B1163" s="7"/>
      <c r="C1163" s="7"/>
    </row>
    <row r="1164" spans="1:3" ht="12.45" x14ac:dyDescent="0.3">
      <c r="A1164" s="7"/>
      <c r="B1164" s="7"/>
      <c r="C1164" s="7"/>
    </row>
    <row r="1165" spans="1:3" ht="12.45" x14ac:dyDescent="0.3">
      <c r="A1165" s="7"/>
      <c r="B1165" s="7"/>
      <c r="C1165" s="7"/>
    </row>
    <row r="1166" spans="1:3" ht="12.45" x14ac:dyDescent="0.3">
      <c r="A1166" s="7"/>
      <c r="B1166" s="7"/>
      <c r="C1166" s="7"/>
    </row>
    <row r="1167" spans="1:3" ht="12.45" x14ac:dyDescent="0.3">
      <c r="A1167" s="7"/>
      <c r="B1167" s="7"/>
      <c r="C1167" s="7"/>
    </row>
    <row r="1168" spans="1:3" ht="12.45" x14ac:dyDescent="0.3">
      <c r="A1168" s="7"/>
      <c r="B1168" s="7"/>
      <c r="C1168" s="7"/>
    </row>
    <row r="1169" spans="1:3" ht="12.45" x14ac:dyDescent="0.3">
      <c r="A1169" s="7"/>
      <c r="B1169" s="7"/>
      <c r="C1169" s="7"/>
    </row>
    <row r="1170" spans="1:3" ht="12.45" x14ac:dyDescent="0.3">
      <c r="A1170" s="7"/>
      <c r="B1170" s="7"/>
      <c r="C1170" s="7"/>
    </row>
    <row r="1171" spans="1:3" ht="12.45" x14ac:dyDescent="0.3">
      <c r="A1171" s="7"/>
      <c r="B1171" s="7"/>
      <c r="C1171" s="7"/>
    </row>
    <row r="1172" spans="1:3" ht="12.45" x14ac:dyDescent="0.3">
      <c r="A1172" s="7"/>
      <c r="B1172" s="7"/>
      <c r="C1172" s="7"/>
    </row>
    <row r="1173" spans="1:3" ht="12.45" x14ac:dyDescent="0.3">
      <c r="A1173" s="7"/>
      <c r="B1173" s="7"/>
      <c r="C1173" s="7"/>
    </row>
    <row r="1174" spans="1:3" ht="12.45" x14ac:dyDescent="0.3">
      <c r="A1174" s="7"/>
      <c r="B1174" s="7"/>
      <c r="C1174" s="7"/>
    </row>
    <row r="1175" spans="1:3" ht="12.45" x14ac:dyDescent="0.3">
      <c r="A1175" s="7"/>
      <c r="B1175" s="7"/>
      <c r="C1175" s="7"/>
    </row>
    <row r="1176" spans="1:3" ht="12.45" x14ac:dyDescent="0.3">
      <c r="A1176" s="7"/>
      <c r="B1176" s="7"/>
      <c r="C1176" s="7"/>
    </row>
    <row r="1177" spans="1:3" ht="12.45" x14ac:dyDescent="0.3">
      <c r="A1177" s="7"/>
      <c r="B1177" s="7"/>
      <c r="C1177" s="7"/>
    </row>
    <row r="1178" spans="1:3" ht="12.45" x14ac:dyDescent="0.3">
      <c r="A1178" s="7"/>
      <c r="B1178" s="7"/>
      <c r="C1178" s="7"/>
    </row>
    <row r="1179" spans="1:3" ht="12.45" x14ac:dyDescent="0.3">
      <c r="A1179" s="7"/>
      <c r="B1179" s="7"/>
      <c r="C1179" s="7"/>
    </row>
    <row r="1180" spans="1:3" ht="12.45" x14ac:dyDescent="0.3">
      <c r="A1180" s="7"/>
      <c r="B1180" s="7"/>
      <c r="C1180" s="7"/>
    </row>
    <row r="1181" spans="1:3" ht="12.45" x14ac:dyDescent="0.3">
      <c r="A1181" s="7"/>
      <c r="B1181" s="7"/>
      <c r="C1181" s="7"/>
    </row>
    <row r="1182" spans="1:3" ht="12.45" x14ac:dyDescent="0.3">
      <c r="A1182" s="7"/>
      <c r="B1182" s="7"/>
      <c r="C1182" s="7"/>
    </row>
    <row r="1183" spans="1:3" ht="12.45" x14ac:dyDescent="0.3">
      <c r="A1183" s="7"/>
      <c r="B1183" s="7"/>
      <c r="C1183" s="7"/>
    </row>
    <row r="1184" spans="1:3" ht="12.45" x14ac:dyDescent="0.3">
      <c r="A1184" s="7"/>
      <c r="B1184" s="7"/>
      <c r="C1184" s="7"/>
    </row>
    <row r="1185" spans="1:3" ht="12.45" x14ac:dyDescent="0.3">
      <c r="A1185" s="7"/>
      <c r="B1185" s="7"/>
      <c r="C1185" s="7"/>
    </row>
    <row r="1186" spans="1:3" ht="12.45" x14ac:dyDescent="0.3">
      <c r="A1186" s="7"/>
      <c r="B1186" s="7"/>
      <c r="C1186" s="7"/>
    </row>
    <row r="1187" spans="1:3" ht="12.45" x14ac:dyDescent="0.3">
      <c r="A1187" s="7"/>
      <c r="B1187" s="7"/>
      <c r="C1187" s="7"/>
    </row>
    <row r="1188" spans="1:3" ht="12.45" x14ac:dyDescent="0.3">
      <c r="A1188" s="7"/>
      <c r="B1188" s="7"/>
      <c r="C1188" s="7"/>
    </row>
    <row r="1189" spans="1:3" ht="12.45" x14ac:dyDescent="0.3">
      <c r="A1189" s="7"/>
      <c r="B1189" s="7"/>
      <c r="C1189" s="7"/>
    </row>
    <row r="1190" spans="1:3" ht="12.45" x14ac:dyDescent="0.3">
      <c r="A1190" s="7"/>
      <c r="B1190" s="7"/>
      <c r="C1190" s="7"/>
    </row>
    <row r="1191" spans="1:3" ht="12.45" x14ac:dyDescent="0.3">
      <c r="A1191" s="7"/>
      <c r="B1191" s="7"/>
      <c r="C1191" s="7"/>
    </row>
    <row r="1192" spans="1:3" ht="12.45" x14ac:dyDescent="0.3">
      <c r="A1192" s="7"/>
      <c r="B1192" s="7"/>
      <c r="C1192" s="7"/>
    </row>
    <row r="1193" spans="1:3" ht="12.45" x14ac:dyDescent="0.3">
      <c r="A1193" s="7"/>
      <c r="B1193" s="7"/>
      <c r="C1193" s="7"/>
    </row>
    <row r="1194" spans="1:3" ht="12.45" x14ac:dyDescent="0.3">
      <c r="A1194" s="7"/>
      <c r="B1194" s="7"/>
      <c r="C1194" s="7"/>
    </row>
    <row r="1195" spans="1:3" ht="12.45" x14ac:dyDescent="0.3">
      <c r="A1195" s="7"/>
      <c r="B1195" s="7"/>
      <c r="C1195" s="7"/>
    </row>
    <row r="1196" spans="1:3" ht="12.45" x14ac:dyDescent="0.3">
      <c r="A1196" s="7"/>
      <c r="B1196" s="7"/>
      <c r="C1196" s="7"/>
    </row>
    <row r="1197" spans="1:3" ht="12.45" x14ac:dyDescent="0.3">
      <c r="A1197" s="7"/>
      <c r="B1197" s="7"/>
      <c r="C1197" s="7"/>
    </row>
    <row r="1198" spans="1:3" ht="12.45" x14ac:dyDescent="0.3">
      <c r="A1198" s="7"/>
      <c r="B1198" s="7"/>
      <c r="C1198" s="7"/>
    </row>
    <row r="1199" spans="1:3" ht="12.45" x14ac:dyDescent="0.3">
      <c r="A1199" s="7"/>
      <c r="B1199" s="7"/>
      <c r="C1199" s="7"/>
    </row>
    <row r="1200" spans="1:3" ht="12.45" x14ac:dyDescent="0.3">
      <c r="A1200" s="7"/>
      <c r="B1200" s="7"/>
      <c r="C1200" s="7"/>
    </row>
    <row r="1201" spans="1:3" ht="12.45" x14ac:dyDescent="0.3">
      <c r="A1201" s="7"/>
      <c r="B1201" s="7"/>
      <c r="C1201" s="7"/>
    </row>
    <row r="1202" spans="1:3" ht="12.45" x14ac:dyDescent="0.3">
      <c r="A1202" s="7"/>
      <c r="B1202" s="7"/>
      <c r="C1202" s="7"/>
    </row>
    <row r="1203" spans="1:3" ht="12.45" x14ac:dyDescent="0.3">
      <c r="A1203" s="7"/>
      <c r="B1203" s="7"/>
      <c r="C1203" s="7"/>
    </row>
    <row r="1204" spans="1:3" ht="12.45" x14ac:dyDescent="0.3">
      <c r="A1204" s="7"/>
      <c r="B1204" s="7"/>
      <c r="C1204" s="7"/>
    </row>
    <row r="1205" spans="1:3" ht="12.45" x14ac:dyDescent="0.3">
      <c r="A1205" s="7"/>
      <c r="B1205" s="7"/>
      <c r="C1205" s="7"/>
    </row>
    <row r="1206" spans="1:3" ht="12.45" x14ac:dyDescent="0.3">
      <c r="A1206" s="7"/>
      <c r="B1206" s="7"/>
      <c r="C1206" s="7"/>
    </row>
    <row r="1207" spans="1:3" ht="12.45" x14ac:dyDescent="0.3">
      <c r="A1207" s="7"/>
      <c r="B1207" s="7"/>
      <c r="C1207" s="7"/>
    </row>
    <row r="1208" spans="1:3" ht="12.45" x14ac:dyDescent="0.3">
      <c r="A1208" s="7"/>
      <c r="B1208" s="7"/>
      <c r="C1208" s="7"/>
    </row>
    <row r="1209" spans="1:3" ht="12.45" x14ac:dyDescent="0.3">
      <c r="A1209" s="7"/>
      <c r="B1209" s="7"/>
      <c r="C1209" s="7"/>
    </row>
    <row r="1210" spans="1:3" ht="12.45" x14ac:dyDescent="0.3">
      <c r="A1210" s="7"/>
      <c r="B1210" s="7"/>
      <c r="C1210" s="7"/>
    </row>
    <row r="1211" spans="1:3" ht="12.45" x14ac:dyDescent="0.3">
      <c r="A1211" s="7"/>
      <c r="B1211" s="7"/>
      <c r="C1211" s="7"/>
    </row>
    <row r="1212" spans="1:3" ht="12.45" x14ac:dyDescent="0.3">
      <c r="A1212" s="7"/>
      <c r="B1212" s="7"/>
      <c r="C1212" s="7"/>
    </row>
    <row r="1213" spans="1:3" ht="12.45" x14ac:dyDescent="0.3">
      <c r="A1213" s="7"/>
      <c r="B1213" s="7"/>
      <c r="C1213" s="7"/>
    </row>
    <row r="1214" spans="1:3" ht="12.45" x14ac:dyDescent="0.3">
      <c r="A1214" s="7"/>
      <c r="B1214" s="7"/>
      <c r="C1214" s="7"/>
    </row>
    <row r="1215" spans="1:3" ht="12.45" x14ac:dyDescent="0.3">
      <c r="A1215" s="7"/>
      <c r="B1215" s="7"/>
      <c r="C1215" s="7"/>
    </row>
    <row r="1216" spans="1:3" ht="12.45" x14ac:dyDescent="0.3">
      <c r="A1216" s="7"/>
      <c r="B1216" s="7"/>
      <c r="C1216" s="7"/>
    </row>
    <row r="1217" spans="1:3" ht="12.45" x14ac:dyDescent="0.3">
      <c r="A1217" s="7"/>
      <c r="B1217" s="7"/>
      <c r="C1217" s="7"/>
    </row>
    <row r="1218" spans="1:3" ht="12.45" x14ac:dyDescent="0.3">
      <c r="A1218" s="7"/>
      <c r="B1218" s="7"/>
      <c r="C1218" s="7"/>
    </row>
    <row r="1219" spans="1:3" ht="12.45" x14ac:dyDescent="0.3">
      <c r="A1219" s="7"/>
      <c r="B1219" s="7"/>
      <c r="C1219" s="7"/>
    </row>
    <row r="1220" spans="1:3" ht="12.45" x14ac:dyDescent="0.3">
      <c r="A1220" s="7"/>
      <c r="B1220" s="7"/>
      <c r="C1220" s="7"/>
    </row>
    <row r="1221" spans="1:3" ht="12.45" x14ac:dyDescent="0.3">
      <c r="A1221" s="7"/>
      <c r="B1221" s="7"/>
      <c r="C1221" s="7"/>
    </row>
    <row r="1222" spans="1:3" ht="12.45" x14ac:dyDescent="0.3">
      <c r="A1222" s="7"/>
      <c r="B1222" s="7"/>
      <c r="C1222" s="7"/>
    </row>
    <row r="1223" spans="1:3" ht="12.45" x14ac:dyDescent="0.3">
      <c r="A1223" s="7"/>
      <c r="B1223" s="7"/>
      <c r="C1223" s="7"/>
    </row>
    <row r="1224" spans="1:3" ht="12.45" x14ac:dyDescent="0.3">
      <c r="A1224" s="7"/>
      <c r="B1224" s="7"/>
      <c r="C1224" s="7"/>
    </row>
    <row r="1225" spans="1:3" ht="12.45" x14ac:dyDescent="0.3">
      <c r="A1225" s="7"/>
      <c r="B1225" s="7"/>
      <c r="C1225" s="7"/>
    </row>
    <row r="1226" spans="1:3" ht="12.45" x14ac:dyDescent="0.3">
      <c r="A1226" s="7"/>
      <c r="B1226" s="7"/>
      <c r="C1226" s="7"/>
    </row>
    <row r="1227" spans="1:3" ht="12.45" x14ac:dyDescent="0.3">
      <c r="A1227" s="7"/>
      <c r="B1227" s="7"/>
      <c r="C1227" s="7"/>
    </row>
    <row r="1228" spans="1:3" ht="12.45" x14ac:dyDescent="0.3">
      <c r="A1228" s="7"/>
      <c r="B1228" s="7"/>
      <c r="C1228" s="7"/>
    </row>
    <row r="1229" spans="1:3" ht="12.45" x14ac:dyDescent="0.3">
      <c r="A1229" s="7"/>
      <c r="B1229" s="7"/>
      <c r="C1229" s="7"/>
    </row>
    <row r="1230" spans="1:3" ht="12.45" x14ac:dyDescent="0.3">
      <c r="A1230" s="7"/>
      <c r="B1230" s="7"/>
      <c r="C1230" s="7"/>
    </row>
    <row r="1231" spans="1:3" ht="12.45" x14ac:dyDescent="0.3">
      <c r="A1231" s="7"/>
      <c r="B1231" s="7"/>
      <c r="C1231" s="7"/>
    </row>
    <row r="1232" spans="1:3" ht="12.45" x14ac:dyDescent="0.3">
      <c r="A1232" s="7"/>
      <c r="B1232" s="7"/>
      <c r="C1232" s="7"/>
    </row>
    <row r="1233" spans="1:3" ht="12.45" x14ac:dyDescent="0.3">
      <c r="A1233" s="7"/>
      <c r="B1233" s="7"/>
      <c r="C1233" s="7"/>
    </row>
    <row r="1234" spans="1:3" ht="12.45" x14ac:dyDescent="0.3">
      <c r="A1234" s="7"/>
      <c r="B1234" s="7"/>
      <c r="C1234" s="7"/>
    </row>
    <row r="1235" spans="1:3" ht="12.45" x14ac:dyDescent="0.3">
      <c r="A1235" s="7"/>
      <c r="B1235" s="7"/>
      <c r="C1235" s="7"/>
    </row>
    <row r="1236" spans="1:3" ht="12.45" x14ac:dyDescent="0.3">
      <c r="A1236" s="7"/>
      <c r="B1236" s="7"/>
      <c r="C1236" s="7"/>
    </row>
    <row r="1237" spans="1:3" ht="12.45" x14ac:dyDescent="0.3">
      <c r="A1237" s="7"/>
      <c r="B1237" s="7"/>
      <c r="C1237" s="7"/>
    </row>
    <row r="1238" spans="1:3" ht="12.45" x14ac:dyDescent="0.3">
      <c r="A1238" s="7"/>
      <c r="B1238" s="7"/>
      <c r="C1238" s="7"/>
    </row>
    <row r="1239" spans="1:3" ht="12.45" x14ac:dyDescent="0.3">
      <c r="A1239" s="7"/>
      <c r="B1239" s="7"/>
      <c r="C1239" s="7"/>
    </row>
    <row r="1240" spans="1:3" ht="12.45" x14ac:dyDescent="0.3">
      <c r="A1240" s="7"/>
      <c r="B1240" s="7"/>
      <c r="C1240" s="7"/>
    </row>
    <row r="1241" spans="1:3" ht="12.45" x14ac:dyDescent="0.3">
      <c r="A1241" s="7"/>
      <c r="B1241" s="7"/>
      <c r="C1241" s="7"/>
    </row>
    <row r="1242" spans="1:3" ht="12.45" x14ac:dyDescent="0.3">
      <c r="A1242" s="7"/>
      <c r="B1242" s="7"/>
      <c r="C1242" s="7"/>
    </row>
    <row r="1243" spans="1:3" ht="12.45" x14ac:dyDescent="0.3">
      <c r="A1243" s="7"/>
      <c r="B1243" s="7"/>
      <c r="C1243" s="7"/>
    </row>
    <row r="1244" spans="1:3" ht="12.45" x14ac:dyDescent="0.3">
      <c r="A1244" s="7"/>
      <c r="B1244" s="7"/>
      <c r="C1244" s="7"/>
    </row>
    <row r="1245" spans="1:3" ht="12.45" x14ac:dyDescent="0.3">
      <c r="A1245" s="7"/>
      <c r="B1245" s="7"/>
      <c r="C1245" s="7"/>
    </row>
    <row r="1246" spans="1:3" ht="12.45" x14ac:dyDescent="0.3">
      <c r="A1246" s="7"/>
      <c r="B1246" s="7"/>
      <c r="C1246" s="7"/>
    </row>
    <row r="1247" spans="1:3" ht="12.45" x14ac:dyDescent="0.3">
      <c r="A1247" s="7"/>
      <c r="B1247" s="7"/>
      <c r="C1247" s="7"/>
    </row>
    <row r="1248" spans="1:3" ht="12.45" x14ac:dyDescent="0.3">
      <c r="A1248" s="7"/>
      <c r="B1248" s="7"/>
      <c r="C1248" s="7"/>
    </row>
    <row r="1249" spans="1:3" ht="12.45" x14ac:dyDescent="0.3">
      <c r="A1249" s="7"/>
      <c r="B1249" s="7"/>
      <c r="C1249" s="7"/>
    </row>
    <row r="1250" spans="1:3" ht="12.45" x14ac:dyDescent="0.3">
      <c r="A1250" s="7"/>
      <c r="B1250" s="7"/>
      <c r="C1250" s="7"/>
    </row>
    <row r="1251" spans="1:3" ht="12.45" x14ac:dyDescent="0.3">
      <c r="A1251" s="7"/>
      <c r="B1251" s="7"/>
      <c r="C1251" s="7"/>
    </row>
    <row r="1252" spans="1:3" ht="12.45" x14ac:dyDescent="0.3">
      <c r="A1252" s="7"/>
      <c r="B1252" s="7"/>
      <c r="C1252" s="7"/>
    </row>
    <row r="1253" spans="1:3" ht="12.45" x14ac:dyDescent="0.3">
      <c r="A1253" s="7"/>
      <c r="B1253" s="7"/>
      <c r="C1253" s="7"/>
    </row>
    <row r="1254" spans="1:3" ht="12.45" x14ac:dyDescent="0.3">
      <c r="A1254" s="7"/>
      <c r="B1254" s="7"/>
      <c r="C1254" s="7"/>
    </row>
    <row r="1255" spans="1:3" ht="12.45" x14ac:dyDescent="0.3">
      <c r="A1255" s="7"/>
      <c r="B1255" s="7"/>
      <c r="C1255" s="7"/>
    </row>
    <row r="1256" spans="1:3" ht="12.45" x14ac:dyDescent="0.3">
      <c r="A1256" s="7"/>
      <c r="B1256" s="7"/>
      <c r="C1256" s="7"/>
    </row>
    <row r="1257" spans="1:3" ht="12.45" x14ac:dyDescent="0.3">
      <c r="A1257" s="7"/>
      <c r="B1257" s="7"/>
      <c r="C1257" s="7"/>
    </row>
    <row r="1258" spans="1:3" ht="12.45" x14ac:dyDescent="0.3">
      <c r="A1258" s="7"/>
      <c r="B1258" s="7"/>
      <c r="C1258" s="7"/>
    </row>
    <row r="1259" spans="1:3" ht="12.45" x14ac:dyDescent="0.3">
      <c r="A1259" s="7"/>
      <c r="B1259" s="7"/>
      <c r="C1259" s="7"/>
    </row>
    <row r="1260" spans="1:3" ht="12.45" x14ac:dyDescent="0.3">
      <c r="A1260" s="7"/>
      <c r="B1260" s="7"/>
      <c r="C1260" s="7"/>
    </row>
    <row r="1261" spans="1:3" ht="12.45" x14ac:dyDescent="0.3">
      <c r="A1261" s="7"/>
      <c r="B1261" s="7"/>
      <c r="C1261" s="7"/>
    </row>
    <row r="1262" spans="1:3" ht="12.45" x14ac:dyDescent="0.3">
      <c r="A1262" s="7"/>
      <c r="B1262" s="7"/>
      <c r="C1262" s="7"/>
    </row>
    <row r="1263" spans="1:3" ht="12.45" x14ac:dyDescent="0.3">
      <c r="A1263" s="7"/>
      <c r="B1263" s="7"/>
      <c r="C1263" s="7"/>
    </row>
    <row r="1264" spans="1:3" ht="12.45" x14ac:dyDescent="0.3">
      <c r="A1264" s="7"/>
      <c r="B1264" s="7"/>
      <c r="C1264" s="7"/>
    </row>
    <row r="1265" spans="1:3" ht="12.45" x14ac:dyDescent="0.3">
      <c r="A1265" s="7"/>
      <c r="B1265" s="7"/>
      <c r="C1265" s="7"/>
    </row>
    <row r="1266" spans="1:3" ht="12.45" x14ac:dyDescent="0.3">
      <c r="A1266" s="7"/>
      <c r="B1266" s="7"/>
      <c r="C1266" s="7"/>
    </row>
    <row r="1267" spans="1:3" ht="12.45" x14ac:dyDescent="0.3">
      <c r="A1267" s="7"/>
      <c r="B1267" s="7"/>
      <c r="C1267" s="7"/>
    </row>
    <row r="1268" spans="1:3" ht="12.45" x14ac:dyDescent="0.3">
      <c r="A1268" s="7"/>
      <c r="B1268" s="7"/>
      <c r="C1268" s="7"/>
    </row>
    <row r="1269" spans="1:3" ht="12.45" x14ac:dyDescent="0.3">
      <c r="A1269" s="7"/>
      <c r="B1269" s="7"/>
      <c r="C1269" s="7"/>
    </row>
    <row r="1270" spans="1:3" ht="12.45" x14ac:dyDescent="0.3">
      <c r="A1270" s="7"/>
      <c r="B1270" s="7"/>
      <c r="C1270" s="7"/>
    </row>
    <row r="1271" spans="1:3" ht="12.45" x14ac:dyDescent="0.3">
      <c r="A1271" s="7"/>
      <c r="B1271" s="7"/>
      <c r="C1271" s="7"/>
    </row>
    <row r="1272" spans="1:3" ht="12.45" x14ac:dyDescent="0.3">
      <c r="A1272" s="7"/>
      <c r="B1272" s="7"/>
      <c r="C1272" s="7"/>
    </row>
    <row r="1273" spans="1:3" ht="12.45" x14ac:dyDescent="0.3">
      <c r="A1273" s="7"/>
      <c r="B1273" s="7"/>
      <c r="C1273" s="7"/>
    </row>
    <row r="1274" spans="1:3" ht="12.45" x14ac:dyDescent="0.3">
      <c r="A1274" s="7"/>
      <c r="B1274" s="7"/>
      <c r="C1274" s="7"/>
    </row>
    <row r="1275" spans="1:3" ht="12.45" x14ac:dyDescent="0.3">
      <c r="A1275" s="7"/>
      <c r="B1275" s="7"/>
      <c r="C1275" s="7"/>
    </row>
    <row r="1276" spans="1:3" ht="12.45" x14ac:dyDescent="0.3">
      <c r="A1276" s="7"/>
      <c r="B1276" s="7"/>
      <c r="C1276" s="7"/>
    </row>
    <row r="1277" spans="1:3" ht="12.45" x14ac:dyDescent="0.3">
      <c r="A1277" s="7"/>
      <c r="B1277" s="7"/>
      <c r="C1277" s="7"/>
    </row>
    <row r="1278" spans="1:3" ht="12.45" x14ac:dyDescent="0.3">
      <c r="A1278" s="7"/>
      <c r="B1278" s="7"/>
      <c r="C1278" s="7"/>
    </row>
    <row r="1279" spans="1:3" ht="12.45" x14ac:dyDescent="0.3">
      <c r="A1279" s="7"/>
      <c r="B1279" s="7"/>
      <c r="C1279" s="7"/>
    </row>
    <row r="1280" spans="1:3" ht="12.45" x14ac:dyDescent="0.3">
      <c r="A1280" s="7"/>
      <c r="B1280" s="7"/>
      <c r="C1280" s="7"/>
    </row>
    <row r="1281" spans="1:3" ht="12.45" x14ac:dyDescent="0.3">
      <c r="A1281" s="7"/>
      <c r="B1281" s="7"/>
      <c r="C1281" s="7"/>
    </row>
    <row r="1282" spans="1:3" ht="12.45" x14ac:dyDescent="0.3">
      <c r="A1282" s="7"/>
      <c r="B1282" s="7"/>
      <c r="C1282" s="7"/>
    </row>
    <row r="1283" spans="1:3" ht="12.45" x14ac:dyDescent="0.3">
      <c r="A1283" s="7"/>
      <c r="B1283" s="7"/>
      <c r="C1283" s="7"/>
    </row>
    <row r="1284" spans="1:3" ht="12.45" x14ac:dyDescent="0.3">
      <c r="A1284" s="7"/>
      <c r="B1284" s="7"/>
      <c r="C1284" s="7"/>
    </row>
    <row r="1285" spans="1:3" ht="12.45" x14ac:dyDescent="0.3">
      <c r="A1285" s="7"/>
      <c r="B1285" s="7"/>
      <c r="C1285" s="7"/>
    </row>
    <row r="1286" spans="1:3" ht="12.45" x14ac:dyDescent="0.3">
      <c r="A1286" s="7"/>
      <c r="B1286" s="7"/>
      <c r="C1286" s="7"/>
    </row>
    <row r="1287" spans="1:3" ht="12.45" x14ac:dyDescent="0.3">
      <c r="A1287" s="7"/>
      <c r="B1287" s="7"/>
      <c r="C1287" s="7"/>
    </row>
    <row r="1288" spans="1:3" ht="12.45" x14ac:dyDescent="0.3">
      <c r="A1288" s="7"/>
      <c r="B1288" s="7"/>
      <c r="C1288" s="7"/>
    </row>
    <row r="1289" spans="1:3" ht="12.45" x14ac:dyDescent="0.3">
      <c r="A1289" s="7"/>
      <c r="B1289" s="7"/>
      <c r="C1289" s="7"/>
    </row>
    <row r="1290" spans="1:3" ht="12.45" x14ac:dyDescent="0.3">
      <c r="A1290" s="7"/>
      <c r="B1290" s="7"/>
      <c r="C1290" s="7"/>
    </row>
    <row r="1291" spans="1:3" ht="12.45" x14ac:dyDescent="0.3">
      <c r="A1291" s="7"/>
      <c r="B1291" s="7"/>
      <c r="C1291" s="7"/>
    </row>
    <row r="1292" spans="1:3" ht="12.45" x14ac:dyDescent="0.3">
      <c r="A1292" s="7"/>
      <c r="B1292" s="7"/>
      <c r="C1292" s="7"/>
    </row>
    <row r="1293" spans="1:3" ht="12.45" x14ac:dyDescent="0.3">
      <c r="A1293" s="7"/>
      <c r="B1293" s="7"/>
      <c r="C1293" s="7"/>
    </row>
    <row r="1294" spans="1:3" ht="12.45" x14ac:dyDescent="0.3">
      <c r="A1294" s="7"/>
      <c r="B1294" s="7"/>
      <c r="C1294" s="7"/>
    </row>
    <row r="1295" spans="1:3" ht="12.45" x14ac:dyDescent="0.3">
      <c r="A1295" s="7"/>
      <c r="B1295" s="7"/>
      <c r="C1295" s="7"/>
    </row>
    <row r="1296" spans="1:3" ht="12.45" x14ac:dyDescent="0.3">
      <c r="A1296" s="7"/>
      <c r="B1296" s="7"/>
      <c r="C1296" s="7"/>
    </row>
    <row r="1297" spans="1:3" ht="12.45" x14ac:dyDescent="0.3">
      <c r="A1297" s="7"/>
      <c r="B1297" s="7"/>
      <c r="C1297" s="7"/>
    </row>
    <row r="1298" spans="1:3" ht="12.45" x14ac:dyDescent="0.3">
      <c r="A1298" s="7"/>
      <c r="B1298" s="7"/>
      <c r="C1298" s="7"/>
    </row>
    <row r="1299" spans="1:3" ht="12.45" x14ac:dyDescent="0.3">
      <c r="A1299" s="7"/>
      <c r="B1299" s="7"/>
      <c r="C1299" s="7"/>
    </row>
    <row r="1300" spans="1:3" ht="12.45" x14ac:dyDescent="0.3">
      <c r="A1300" s="7"/>
      <c r="B1300" s="7"/>
      <c r="C1300" s="7"/>
    </row>
    <row r="1301" spans="1:3" ht="12.45" x14ac:dyDescent="0.3">
      <c r="A1301" s="7"/>
      <c r="B1301" s="7"/>
      <c r="C1301" s="7"/>
    </row>
    <row r="1302" spans="1:3" ht="12.45" x14ac:dyDescent="0.3">
      <c r="A1302" s="7"/>
      <c r="B1302" s="7"/>
      <c r="C1302" s="7"/>
    </row>
    <row r="1303" spans="1:3" ht="12.45" x14ac:dyDescent="0.3">
      <c r="A1303" s="7"/>
      <c r="B1303" s="7"/>
      <c r="C1303" s="7"/>
    </row>
    <row r="1304" spans="1:3" ht="12.45" x14ac:dyDescent="0.3">
      <c r="A1304" s="7"/>
      <c r="B1304" s="7"/>
      <c r="C1304" s="7"/>
    </row>
    <row r="1305" spans="1:3" ht="12.45" x14ac:dyDescent="0.3">
      <c r="A1305" s="7"/>
      <c r="B1305" s="7"/>
      <c r="C1305" s="7"/>
    </row>
    <row r="1306" spans="1:3" ht="12.45" x14ac:dyDescent="0.3">
      <c r="A1306" s="7"/>
      <c r="B1306" s="7"/>
      <c r="C1306" s="7"/>
    </row>
    <row r="1307" spans="1:3" ht="12.45" x14ac:dyDescent="0.3">
      <c r="A1307" s="7"/>
      <c r="B1307" s="7"/>
      <c r="C1307" s="7"/>
    </row>
    <row r="1308" spans="1:3" ht="12.45" x14ac:dyDescent="0.3">
      <c r="A1308" s="7"/>
      <c r="B1308" s="7"/>
      <c r="C1308" s="7"/>
    </row>
    <row r="1309" spans="1:3" ht="12.45" x14ac:dyDescent="0.3">
      <c r="A1309" s="7"/>
      <c r="B1309" s="7"/>
      <c r="C1309" s="7"/>
    </row>
    <row r="1310" spans="1:3" ht="12.45" x14ac:dyDescent="0.3">
      <c r="A1310" s="7"/>
      <c r="B1310" s="7"/>
      <c r="C1310" s="7"/>
    </row>
    <row r="1311" spans="1:3" ht="12.45" x14ac:dyDescent="0.3">
      <c r="A1311" s="7"/>
      <c r="B1311" s="7"/>
      <c r="C1311" s="7"/>
    </row>
    <row r="1312" spans="1:3" ht="12.45" x14ac:dyDescent="0.3">
      <c r="A1312" s="7"/>
      <c r="B1312" s="7"/>
      <c r="C1312" s="7"/>
    </row>
    <row r="1313" spans="1:3" ht="12.45" x14ac:dyDescent="0.3">
      <c r="A1313" s="7"/>
      <c r="B1313" s="7"/>
      <c r="C1313" s="7"/>
    </row>
    <row r="1314" spans="1:3" ht="12.45" x14ac:dyDescent="0.3">
      <c r="A1314" s="7"/>
      <c r="B1314" s="7"/>
      <c r="C1314" s="7"/>
    </row>
    <row r="1315" spans="1:3" ht="12.45" x14ac:dyDescent="0.3">
      <c r="A1315" s="7"/>
      <c r="B1315" s="7"/>
      <c r="C1315" s="7"/>
    </row>
    <row r="1316" spans="1:3" ht="12.45" x14ac:dyDescent="0.3">
      <c r="A1316" s="7"/>
      <c r="B1316" s="7"/>
      <c r="C1316" s="7"/>
    </row>
    <row r="1317" spans="1:3" ht="12.45" x14ac:dyDescent="0.3">
      <c r="A1317" s="7"/>
      <c r="B1317" s="7"/>
      <c r="C1317" s="7"/>
    </row>
    <row r="1318" spans="1:3" ht="12.45" x14ac:dyDescent="0.3">
      <c r="A1318" s="7"/>
      <c r="B1318" s="7"/>
      <c r="C1318" s="7"/>
    </row>
    <row r="1319" spans="1:3" ht="12.45" x14ac:dyDescent="0.3">
      <c r="A1319" s="7"/>
      <c r="B1319" s="7"/>
      <c r="C1319" s="7"/>
    </row>
    <row r="1320" spans="1:3" ht="12.45" x14ac:dyDescent="0.3">
      <c r="A1320" s="7"/>
      <c r="B1320" s="7"/>
      <c r="C1320" s="7"/>
    </row>
    <row r="1321" spans="1:3" ht="12.45" x14ac:dyDescent="0.3">
      <c r="A1321" s="7"/>
      <c r="B1321" s="7"/>
      <c r="C1321" s="7"/>
    </row>
    <row r="1322" spans="1:3" ht="12.45" x14ac:dyDescent="0.3">
      <c r="A1322" s="7"/>
      <c r="B1322" s="7"/>
      <c r="C1322" s="7"/>
    </row>
    <row r="1323" spans="1:3" ht="12.45" x14ac:dyDescent="0.3">
      <c r="A1323" s="7"/>
      <c r="B1323" s="7"/>
      <c r="C1323" s="7"/>
    </row>
    <row r="1324" spans="1:3" ht="12.45" x14ac:dyDescent="0.3">
      <c r="A1324" s="7"/>
      <c r="B1324" s="7"/>
      <c r="C1324" s="7"/>
    </row>
    <row r="1325" spans="1:3" ht="12.45" x14ac:dyDescent="0.3">
      <c r="A1325" s="7"/>
      <c r="B1325" s="7"/>
      <c r="C1325" s="7"/>
    </row>
    <row r="1326" spans="1:3" ht="12.45" x14ac:dyDescent="0.3">
      <c r="A1326" s="7"/>
      <c r="B1326" s="7"/>
      <c r="C1326" s="7"/>
    </row>
    <row r="1327" spans="1:3" ht="12.45" x14ac:dyDescent="0.3">
      <c r="A1327" s="7"/>
      <c r="B1327" s="7"/>
      <c r="C1327" s="7"/>
    </row>
    <row r="1328" spans="1:3" ht="12.45" x14ac:dyDescent="0.3">
      <c r="A1328" s="7"/>
      <c r="B1328" s="7"/>
      <c r="C1328" s="7"/>
    </row>
    <row r="1329" spans="1:3" ht="12.45" x14ac:dyDescent="0.3">
      <c r="A1329" s="7"/>
      <c r="B1329" s="7"/>
      <c r="C1329" s="7"/>
    </row>
    <row r="1330" spans="1:3" ht="12.45" x14ac:dyDescent="0.3">
      <c r="A1330" s="7"/>
      <c r="B1330" s="7"/>
      <c r="C1330" s="7"/>
    </row>
    <row r="1331" spans="1:3" ht="12.45" x14ac:dyDescent="0.3">
      <c r="A1331" s="7"/>
      <c r="B1331" s="7"/>
      <c r="C1331" s="7"/>
    </row>
    <row r="1332" spans="1:3" ht="12.45" x14ac:dyDescent="0.3">
      <c r="A1332" s="7"/>
      <c r="B1332" s="7"/>
      <c r="C1332" s="7"/>
    </row>
    <row r="1333" spans="1:3" ht="12.45" x14ac:dyDescent="0.3">
      <c r="A1333" s="7"/>
      <c r="B1333" s="7"/>
      <c r="C1333" s="7"/>
    </row>
    <row r="1334" spans="1:3" ht="12.45" x14ac:dyDescent="0.3">
      <c r="A1334" s="7"/>
      <c r="B1334" s="7"/>
      <c r="C1334" s="7"/>
    </row>
    <row r="1335" spans="1:3" ht="12.45" x14ac:dyDescent="0.3">
      <c r="A1335" s="7"/>
      <c r="B1335" s="7"/>
      <c r="C1335" s="7"/>
    </row>
    <row r="1336" spans="1:3" ht="12.45" x14ac:dyDescent="0.3">
      <c r="A1336" s="7"/>
      <c r="B1336" s="7"/>
      <c r="C1336" s="7"/>
    </row>
    <row r="1337" spans="1:3" ht="12.45" x14ac:dyDescent="0.3">
      <c r="A1337" s="7"/>
      <c r="B1337" s="7"/>
      <c r="C1337" s="7"/>
    </row>
    <row r="1338" spans="1:3" ht="12.45" x14ac:dyDescent="0.3">
      <c r="A1338" s="7"/>
      <c r="B1338" s="7"/>
      <c r="C1338" s="7"/>
    </row>
    <row r="1339" spans="1:3" ht="12.45" x14ac:dyDescent="0.3">
      <c r="A1339" s="7"/>
      <c r="B1339" s="7"/>
      <c r="C1339" s="7"/>
    </row>
    <row r="1340" spans="1:3" ht="12.45" x14ac:dyDescent="0.3">
      <c r="A1340" s="7"/>
      <c r="B1340" s="7"/>
      <c r="C1340" s="7"/>
    </row>
    <row r="1341" spans="1:3" ht="12.45" x14ac:dyDescent="0.3">
      <c r="A1341" s="7"/>
      <c r="B1341" s="7"/>
      <c r="C1341" s="7"/>
    </row>
    <row r="1342" spans="1:3" ht="12.45" x14ac:dyDescent="0.3">
      <c r="A1342" s="7"/>
      <c r="B1342" s="7"/>
      <c r="C1342" s="7"/>
    </row>
    <row r="1343" spans="1:3" ht="12.45" x14ac:dyDescent="0.3">
      <c r="A1343" s="7"/>
      <c r="B1343" s="7"/>
      <c r="C1343" s="7"/>
    </row>
    <row r="1344" spans="1:3" ht="12.45" x14ac:dyDescent="0.3">
      <c r="A1344" s="7"/>
      <c r="B1344" s="7"/>
      <c r="C1344" s="7"/>
    </row>
    <row r="1345" spans="1:3" ht="12.45" x14ac:dyDescent="0.3">
      <c r="A1345" s="7"/>
      <c r="B1345" s="7"/>
      <c r="C1345" s="7"/>
    </row>
    <row r="1346" spans="1:3" ht="12.45" x14ac:dyDescent="0.3">
      <c r="A1346" s="7"/>
      <c r="B1346" s="7"/>
      <c r="C1346" s="7"/>
    </row>
    <row r="1347" spans="1:3" ht="12.45" x14ac:dyDescent="0.3">
      <c r="A1347" s="7"/>
      <c r="B1347" s="7"/>
      <c r="C1347" s="7"/>
    </row>
    <row r="1348" spans="1:3" ht="12.45" x14ac:dyDescent="0.3">
      <c r="A1348" s="7"/>
      <c r="B1348" s="7"/>
      <c r="C1348" s="7"/>
    </row>
    <row r="1349" spans="1:3" ht="12.45" x14ac:dyDescent="0.3">
      <c r="A1349" s="7"/>
      <c r="B1349" s="7"/>
      <c r="C1349" s="7"/>
    </row>
    <row r="1350" spans="1:3" ht="12.45" x14ac:dyDescent="0.3">
      <c r="A1350" s="7"/>
      <c r="B1350" s="7"/>
      <c r="C1350" s="7"/>
    </row>
    <row r="1351" spans="1:3" ht="12.45" x14ac:dyDescent="0.3">
      <c r="A1351" s="7"/>
      <c r="B1351" s="7"/>
      <c r="C1351" s="7"/>
    </row>
    <row r="1352" spans="1:3" ht="12.45" x14ac:dyDescent="0.3">
      <c r="A1352" s="7"/>
      <c r="B1352" s="7"/>
      <c r="C1352" s="7"/>
    </row>
    <row r="1353" spans="1:3" ht="12.45" x14ac:dyDescent="0.3">
      <c r="A1353" s="7"/>
      <c r="B1353" s="7"/>
      <c r="C1353" s="7"/>
    </row>
    <row r="1354" spans="1:3" ht="12.45" x14ac:dyDescent="0.3">
      <c r="A1354" s="7"/>
      <c r="B1354" s="7"/>
      <c r="C1354" s="7"/>
    </row>
    <row r="1355" spans="1:3" ht="12.45" x14ac:dyDescent="0.3">
      <c r="A1355" s="7"/>
      <c r="B1355" s="7"/>
      <c r="C1355" s="7"/>
    </row>
    <row r="1356" spans="1:3" ht="12.45" x14ac:dyDescent="0.3">
      <c r="A1356" s="7"/>
      <c r="B1356" s="7"/>
      <c r="C1356" s="7"/>
    </row>
    <row r="1357" spans="1:3" ht="12.45" x14ac:dyDescent="0.3">
      <c r="A1357" s="7"/>
      <c r="B1357" s="7"/>
      <c r="C1357" s="7"/>
    </row>
    <row r="1358" spans="1:3" ht="12.45" x14ac:dyDescent="0.3">
      <c r="A1358" s="7"/>
      <c r="B1358" s="7"/>
      <c r="C1358" s="7"/>
    </row>
    <row r="1359" spans="1:3" ht="12.45" x14ac:dyDescent="0.3">
      <c r="A1359" s="7"/>
      <c r="B1359" s="7"/>
      <c r="C1359" s="7"/>
    </row>
    <row r="1360" spans="1:3" ht="12.45" x14ac:dyDescent="0.3">
      <c r="A1360" s="7"/>
      <c r="B1360" s="7"/>
      <c r="C1360" s="7"/>
    </row>
    <row r="1361" spans="1:3" ht="12.45" x14ac:dyDescent="0.3">
      <c r="A1361" s="7"/>
      <c r="B1361" s="7"/>
      <c r="C1361" s="7"/>
    </row>
    <row r="1362" spans="1:3" ht="12.45" x14ac:dyDescent="0.3">
      <c r="A1362" s="7"/>
      <c r="B1362" s="7"/>
      <c r="C1362" s="7"/>
    </row>
    <row r="1363" spans="1:3" ht="12.45" x14ac:dyDescent="0.3">
      <c r="A1363" s="7"/>
      <c r="B1363" s="7"/>
      <c r="C1363" s="7"/>
    </row>
    <row r="1364" spans="1:3" ht="12.45" x14ac:dyDescent="0.3">
      <c r="A1364" s="7"/>
      <c r="B1364" s="7"/>
      <c r="C1364" s="7"/>
    </row>
    <row r="1365" spans="1:3" ht="12.45" x14ac:dyDescent="0.3">
      <c r="A1365" s="7"/>
      <c r="B1365" s="7"/>
      <c r="C1365" s="7"/>
    </row>
    <row r="1366" spans="1:3" ht="12.45" x14ac:dyDescent="0.3">
      <c r="A1366" s="7"/>
      <c r="B1366" s="7"/>
      <c r="C1366" s="7"/>
    </row>
    <row r="1367" spans="1:3" ht="12.45" x14ac:dyDescent="0.3">
      <c r="A1367" s="7"/>
      <c r="B1367" s="7"/>
      <c r="C1367" s="7"/>
    </row>
    <row r="1368" spans="1:3" ht="12.45" x14ac:dyDescent="0.3">
      <c r="A1368" s="7"/>
      <c r="B1368" s="7"/>
      <c r="C1368" s="7"/>
    </row>
    <row r="1369" spans="1:3" ht="12.45" x14ac:dyDescent="0.3">
      <c r="A1369" s="7"/>
      <c r="B1369" s="7"/>
      <c r="C1369" s="7"/>
    </row>
    <row r="1370" spans="1:3" ht="12.45" x14ac:dyDescent="0.3">
      <c r="A1370" s="7"/>
      <c r="B1370" s="7"/>
      <c r="C1370" s="7"/>
    </row>
    <row r="1371" spans="1:3" ht="12.45" x14ac:dyDescent="0.3">
      <c r="A1371" s="7"/>
      <c r="B1371" s="7"/>
      <c r="C1371" s="7"/>
    </row>
    <row r="1372" spans="1:3" ht="12.45" x14ac:dyDescent="0.3">
      <c r="A1372" s="7"/>
      <c r="B1372" s="7"/>
      <c r="C1372" s="7"/>
    </row>
    <row r="1373" spans="1:3" ht="12.45" x14ac:dyDescent="0.3">
      <c r="A1373" s="7"/>
      <c r="B1373" s="7"/>
      <c r="C1373" s="7"/>
    </row>
    <row r="1374" spans="1:3" ht="12.45" x14ac:dyDescent="0.3">
      <c r="A1374" s="7"/>
      <c r="B1374" s="7"/>
      <c r="C1374" s="7"/>
    </row>
    <row r="1375" spans="1:3" ht="12.45" x14ac:dyDescent="0.3">
      <c r="A1375" s="7"/>
      <c r="B1375" s="7"/>
      <c r="C1375" s="7"/>
    </row>
    <row r="1376" spans="1:3" ht="12.45" x14ac:dyDescent="0.3">
      <c r="A1376" s="7"/>
      <c r="B1376" s="7"/>
      <c r="C1376" s="7"/>
    </row>
    <row r="1377" spans="1:3" ht="12.45" x14ac:dyDescent="0.3">
      <c r="A1377" s="7"/>
      <c r="B1377" s="7"/>
      <c r="C1377" s="7"/>
    </row>
    <row r="1378" spans="1:3" ht="12.45" x14ac:dyDescent="0.3">
      <c r="A1378" s="7"/>
      <c r="B1378" s="7"/>
      <c r="C1378" s="7"/>
    </row>
    <row r="1379" spans="1:3" ht="12.45" x14ac:dyDescent="0.3">
      <c r="A1379" s="7"/>
      <c r="B1379" s="7"/>
      <c r="C1379" s="7"/>
    </row>
    <row r="1380" spans="1:3" ht="12.45" x14ac:dyDescent="0.3">
      <c r="A1380" s="7"/>
      <c r="B1380" s="7"/>
      <c r="C1380" s="7"/>
    </row>
    <row r="1381" spans="1:3" ht="12.45" x14ac:dyDescent="0.3">
      <c r="A1381" s="7"/>
      <c r="B1381" s="7"/>
      <c r="C1381" s="7"/>
    </row>
    <row r="1382" spans="1:3" ht="12.45" x14ac:dyDescent="0.3">
      <c r="A1382" s="7"/>
      <c r="B1382" s="7"/>
      <c r="C1382" s="7"/>
    </row>
    <row r="1383" spans="1:3" ht="12.45" x14ac:dyDescent="0.3">
      <c r="A1383" s="7"/>
      <c r="B1383" s="7"/>
      <c r="C1383" s="7"/>
    </row>
    <row r="1384" spans="1:3" ht="12.45" x14ac:dyDescent="0.3">
      <c r="A1384" s="7"/>
      <c r="B1384" s="7"/>
      <c r="C1384" s="7"/>
    </row>
    <row r="1385" spans="1:3" ht="12.45" x14ac:dyDescent="0.3">
      <c r="A1385" s="7"/>
      <c r="B1385" s="7"/>
      <c r="C1385" s="7"/>
    </row>
    <row r="1386" spans="1:3" ht="12.45" x14ac:dyDescent="0.3">
      <c r="A1386" s="7"/>
      <c r="B1386" s="7"/>
      <c r="C1386" s="7"/>
    </row>
    <row r="1387" spans="1:3" ht="12.45" x14ac:dyDescent="0.3">
      <c r="A1387" s="7"/>
      <c r="B1387" s="7"/>
      <c r="C1387" s="7"/>
    </row>
    <row r="1388" spans="1:3" ht="12.45" x14ac:dyDescent="0.3">
      <c r="A1388" s="7"/>
      <c r="B1388" s="7"/>
      <c r="C1388" s="7"/>
    </row>
    <row r="1389" spans="1:3" ht="12.45" x14ac:dyDescent="0.3">
      <c r="A1389" s="7"/>
      <c r="B1389" s="7"/>
      <c r="C1389" s="7"/>
    </row>
    <row r="1390" spans="1:3" ht="12.45" x14ac:dyDescent="0.3">
      <c r="A1390" s="7"/>
      <c r="B1390" s="7"/>
      <c r="C1390" s="7"/>
    </row>
    <row r="1391" spans="1:3" ht="12.45" x14ac:dyDescent="0.3">
      <c r="A1391" s="7"/>
      <c r="B1391" s="7"/>
      <c r="C1391" s="7"/>
    </row>
    <row r="1392" spans="1:3" ht="12.45" x14ac:dyDescent="0.3">
      <c r="A1392" s="7"/>
      <c r="B1392" s="7"/>
      <c r="C1392" s="7"/>
    </row>
    <row r="1393" spans="1:3" ht="12.45" x14ac:dyDescent="0.3">
      <c r="A1393" s="7"/>
      <c r="B1393" s="7"/>
      <c r="C1393" s="7"/>
    </row>
    <row r="1394" spans="1:3" ht="12.45" x14ac:dyDescent="0.3">
      <c r="A1394" s="7"/>
      <c r="B1394" s="7"/>
      <c r="C1394" s="7"/>
    </row>
    <row r="1395" spans="1:3" ht="12.45" x14ac:dyDescent="0.3">
      <c r="A1395" s="7"/>
      <c r="B1395" s="7"/>
      <c r="C1395" s="7"/>
    </row>
    <row r="1396" spans="1:3" ht="12.45" x14ac:dyDescent="0.3">
      <c r="A1396" s="7"/>
      <c r="B1396" s="7"/>
      <c r="C1396" s="7"/>
    </row>
    <row r="1397" spans="1:3" ht="12.45" x14ac:dyDescent="0.3">
      <c r="A1397" s="7"/>
      <c r="B1397" s="7"/>
      <c r="C1397" s="7"/>
    </row>
    <row r="1398" spans="1:3" ht="12.45" x14ac:dyDescent="0.3">
      <c r="A1398" s="7"/>
      <c r="B1398" s="7"/>
      <c r="C1398" s="7"/>
    </row>
    <row r="1399" spans="1:3" ht="12.45" x14ac:dyDescent="0.3">
      <c r="A1399" s="7"/>
      <c r="B1399" s="7"/>
      <c r="C1399" s="7"/>
    </row>
    <row r="1400" spans="1:3" ht="12.45" x14ac:dyDescent="0.3">
      <c r="A1400" s="7"/>
      <c r="B1400" s="7"/>
      <c r="C1400" s="7"/>
    </row>
    <row r="1401" spans="1:3" ht="12.45" x14ac:dyDescent="0.3">
      <c r="A1401" s="7"/>
      <c r="B1401" s="7"/>
      <c r="C1401" s="7"/>
    </row>
    <row r="1402" spans="1:3" ht="12.45" x14ac:dyDescent="0.3">
      <c r="A1402" s="7"/>
      <c r="B1402" s="7"/>
      <c r="C1402" s="7"/>
    </row>
    <row r="1403" spans="1:3" ht="12.45" x14ac:dyDescent="0.3">
      <c r="A1403" s="7"/>
      <c r="B1403" s="7"/>
      <c r="C1403" s="7"/>
    </row>
    <row r="1404" spans="1:3" ht="12.45" x14ac:dyDescent="0.3">
      <c r="A1404" s="7"/>
      <c r="B1404" s="7"/>
      <c r="C1404" s="7"/>
    </row>
    <row r="1405" spans="1:3" ht="12.45" x14ac:dyDescent="0.3">
      <c r="A1405" s="7"/>
      <c r="B1405" s="7"/>
      <c r="C1405" s="7"/>
    </row>
    <row r="1406" spans="1:3" ht="12.45" x14ac:dyDescent="0.3">
      <c r="A1406" s="7"/>
      <c r="B1406" s="7"/>
      <c r="C1406" s="7"/>
    </row>
    <row r="1407" spans="1:3" ht="12.45" x14ac:dyDescent="0.3">
      <c r="A1407" s="7"/>
      <c r="B1407" s="7"/>
      <c r="C1407" s="7"/>
    </row>
    <row r="1408" spans="1:3" ht="12.45" x14ac:dyDescent="0.3">
      <c r="A1408" s="7"/>
      <c r="B1408" s="7"/>
      <c r="C1408" s="7"/>
    </row>
    <row r="1409" spans="1:3" ht="12.45" x14ac:dyDescent="0.3">
      <c r="A1409" s="7"/>
      <c r="B1409" s="7"/>
      <c r="C1409" s="7"/>
    </row>
    <row r="1410" spans="1:3" ht="12.45" x14ac:dyDescent="0.3">
      <c r="A1410" s="7"/>
      <c r="B1410" s="7"/>
      <c r="C1410" s="7"/>
    </row>
    <row r="1411" spans="1:3" ht="12.45" x14ac:dyDescent="0.3">
      <c r="A1411" s="7"/>
      <c r="B1411" s="7"/>
      <c r="C1411" s="7"/>
    </row>
    <row r="1412" spans="1:3" ht="12.45" x14ac:dyDescent="0.3">
      <c r="A1412" s="7"/>
      <c r="B1412" s="7"/>
      <c r="C1412" s="7"/>
    </row>
    <row r="1413" spans="1:3" ht="12.45" x14ac:dyDescent="0.3">
      <c r="A1413" s="7"/>
      <c r="B1413" s="7"/>
      <c r="C1413" s="7"/>
    </row>
    <row r="1414" spans="1:3" ht="12.45" x14ac:dyDescent="0.3">
      <c r="A1414" s="7"/>
      <c r="B1414" s="7"/>
      <c r="C1414" s="7"/>
    </row>
    <row r="1415" spans="1:3" ht="12.45" x14ac:dyDescent="0.3">
      <c r="A1415" s="7"/>
      <c r="B1415" s="7"/>
      <c r="C1415" s="7"/>
    </row>
    <row r="1416" spans="1:3" ht="12.45" x14ac:dyDescent="0.3">
      <c r="A1416" s="7"/>
      <c r="B1416" s="7"/>
      <c r="C1416" s="7"/>
    </row>
    <row r="1417" spans="1:3" ht="12.45" x14ac:dyDescent="0.3">
      <c r="A1417" s="7"/>
      <c r="B1417" s="7"/>
      <c r="C1417" s="7"/>
    </row>
    <row r="1418" spans="1:3" ht="12.45" x14ac:dyDescent="0.3">
      <c r="A1418" s="7"/>
      <c r="B1418" s="7"/>
      <c r="C1418" s="7"/>
    </row>
    <row r="1419" spans="1:3" ht="12.45" x14ac:dyDescent="0.3">
      <c r="A1419" s="7"/>
      <c r="B1419" s="7"/>
      <c r="C1419" s="7"/>
    </row>
    <row r="1420" spans="1:3" ht="12.45" x14ac:dyDescent="0.3">
      <c r="A1420" s="7"/>
      <c r="B1420" s="7"/>
      <c r="C1420" s="7"/>
    </row>
    <row r="1421" spans="1:3" ht="12.45" x14ac:dyDescent="0.3">
      <c r="A1421" s="7"/>
      <c r="B1421" s="7"/>
      <c r="C1421" s="7"/>
    </row>
    <row r="1422" spans="1:3" ht="12.45" x14ac:dyDescent="0.3">
      <c r="A1422" s="7"/>
      <c r="B1422" s="7"/>
      <c r="C1422" s="7"/>
    </row>
    <row r="1423" spans="1:3" ht="12.45" x14ac:dyDescent="0.3">
      <c r="A1423" s="7"/>
      <c r="B1423" s="7"/>
      <c r="C1423" s="7"/>
    </row>
    <row r="1424" spans="1:3" ht="12.45" x14ac:dyDescent="0.3">
      <c r="A1424" s="7"/>
      <c r="B1424" s="7"/>
      <c r="C1424" s="7"/>
    </row>
    <row r="1425" spans="1:3" ht="12.45" x14ac:dyDescent="0.3">
      <c r="A1425" s="7"/>
      <c r="B1425" s="7"/>
      <c r="C1425" s="7"/>
    </row>
    <row r="1426" spans="1:3" ht="12.45" x14ac:dyDescent="0.3">
      <c r="A1426" s="7"/>
      <c r="B1426" s="7"/>
      <c r="C1426" s="7"/>
    </row>
    <row r="1427" spans="1:3" ht="12.45" x14ac:dyDescent="0.3">
      <c r="A1427" s="7"/>
      <c r="B1427" s="7"/>
      <c r="C1427" s="7"/>
    </row>
    <row r="1428" spans="1:3" ht="12.45" x14ac:dyDescent="0.3">
      <c r="A1428" s="7"/>
      <c r="B1428" s="7"/>
      <c r="C1428" s="7"/>
    </row>
    <row r="1429" spans="1:3" ht="12.45" x14ac:dyDescent="0.3">
      <c r="A1429" s="7"/>
      <c r="B1429" s="7"/>
      <c r="C1429" s="7"/>
    </row>
    <row r="1430" spans="1:3" ht="12.45" x14ac:dyDescent="0.3">
      <c r="A1430" s="7"/>
      <c r="B1430" s="7"/>
      <c r="C1430" s="7"/>
    </row>
    <row r="1431" spans="1:3" ht="12.45" x14ac:dyDescent="0.3">
      <c r="A1431" s="7"/>
      <c r="B1431" s="7"/>
      <c r="C1431" s="7"/>
    </row>
    <row r="1432" spans="1:3" ht="12.45" x14ac:dyDescent="0.3">
      <c r="A1432" s="7"/>
      <c r="B1432" s="7"/>
      <c r="C1432" s="7"/>
    </row>
    <row r="1433" spans="1:3" ht="12.45" x14ac:dyDescent="0.3">
      <c r="A1433" s="7"/>
      <c r="B1433" s="7"/>
      <c r="C1433" s="7"/>
    </row>
    <row r="1434" spans="1:3" ht="12.45" x14ac:dyDescent="0.3">
      <c r="A1434" s="7"/>
      <c r="B1434" s="7"/>
      <c r="C1434" s="7"/>
    </row>
    <row r="1435" spans="1:3" ht="12.45" x14ac:dyDescent="0.3">
      <c r="A1435" s="7"/>
      <c r="B1435" s="7"/>
      <c r="C1435" s="7"/>
    </row>
    <row r="1436" spans="1:3" ht="12.45" x14ac:dyDescent="0.3">
      <c r="A1436" s="7"/>
      <c r="B1436" s="7"/>
      <c r="C1436" s="7"/>
    </row>
    <row r="1437" spans="1:3" ht="12.45" x14ac:dyDescent="0.3">
      <c r="A1437" s="7"/>
      <c r="B1437" s="7"/>
      <c r="C1437" s="7"/>
    </row>
    <row r="1438" spans="1:3" ht="12.45" x14ac:dyDescent="0.3">
      <c r="A1438" s="7"/>
      <c r="B1438" s="7"/>
      <c r="C1438" s="7"/>
    </row>
    <row r="1439" spans="1:3" ht="12.45" x14ac:dyDescent="0.3">
      <c r="A1439" s="7"/>
      <c r="B1439" s="7"/>
      <c r="C1439" s="7"/>
    </row>
    <row r="1440" spans="1:3" ht="12.45" x14ac:dyDescent="0.3">
      <c r="A1440" s="7"/>
      <c r="B1440" s="7"/>
      <c r="C1440" s="7"/>
    </row>
    <row r="1441" spans="1:3" ht="12.45" x14ac:dyDescent="0.3">
      <c r="A1441" s="7"/>
      <c r="B1441" s="7"/>
      <c r="C1441" s="7"/>
    </row>
    <row r="1442" spans="1:3" ht="12.45" x14ac:dyDescent="0.3">
      <c r="A1442" s="7"/>
      <c r="B1442" s="7"/>
      <c r="C1442" s="7"/>
    </row>
    <row r="1443" spans="1:3" ht="12.45" x14ac:dyDescent="0.3">
      <c r="A1443" s="7"/>
      <c r="B1443" s="7"/>
      <c r="C1443" s="7"/>
    </row>
    <row r="1444" spans="1:3" ht="12.45" x14ac:dyDescent="0.3">
      <c r="A1444" s="7"/>
      <c r="B1444" s="7"/>
      <c r="C1444" s="7"/>
    </row>
    <row r="1445" spans="1:3" ht="12.45" x14ac:dyDescent="0.3">
      <c r="A1445" s="7"/>
      <c r="B1445" s="7"/>
      <c r="C1445" s="7"/>
    </row>
    <row r="1446" spans="1:3" ht="12.45" x14ac:dyDescent="0.3">
      <c r="A1446" s="7"/>
      <c r="B1446" s="7"/>
      <c r="C1446" s="7"/>
    </row>
    <row r="1447" spans="1:3" ht="12.45" x14ac:dyDescent="0.3">
      <c r="A1447" s="7"/>
      <c r="B1447" s="7"/>
      <c r="C1447" s="7"/>
    </row>
    <row r="1448" spans="1:3" ht="12.45" x14ac:dyDescent="0.3">
      <c r="A1448" s="7"/>
      <c r="B1448" s="7"/>
      <c r="C1448" s="7"/>
    </row>
    <row r="1449" spans="1:3" ht="12.45" x14ac:dyDescent="0.3">
      <c r="A1449" s="7"/>
      <c r="B1449" s="7"/>
      <c r="C1449" s="7"/>
    </row>
    <row r="1450" spans="1:3" ht="12.45" x14ac:dyDescent="0.3">
      <c r="A1450" s="7"/>
      <c r="B1450" s="7"/>
      <c r="C1450" s="7"/>
    </row>
    <row r="1451" spans="1:3" ht="12.45" x14ac:dyDescent="0.3">
      <c r="A1451" s="7"/>
      <c r="B1451" s="7"/>
      <c r="C1451" s="7"/>
    </row>
    <row r="1452" spans="1:3" ht="12.45" x14ac:dyDescent="0.3">
      <c r="A1452" s="7"/>
      <c r="B1452" s="7"/>
      <c r="C1452" s="7"/>
    </row>
    <row r="1453" spans="1:3" ht="12.45" x14ac:dyDescent="0.3">
      <c r="A1453" s="7"/>
      <c r="B1453" s="7"/>
      <c r="C1453" s="7"/>
    </row>
    <row r="1454" spans="1:3" ht="12.45" x14ac:dyDescent="0.3">
      <c r="A1454" s="7"/>
      <c r="B1454" s="7"/>
      <c r="C1454" s="7"/>
    </row>
    <row r="1455" spans="1:3" ht="12.45" x14ac:dyDescent="0.3">
      <c r="A1455" s="7"/>
      <c r="B1455" s="7"/>
      <c r="C1455" s="7"/>
    </row>
    <row r="1456" spans="1:3" ht="12.45" x14ac:dyDescent="0.3">
      <c r="A1456" s="7"/>
      <c r="B1456" s="7"/>
      <c r="C1456" s="7"/>
    </row>
    <row r="1457" spans="1:3" ht="12.45" x14ac:dyDescent="0.3">
      <c r="A1457" s="7"/>
      <c r="B1457" s="7"/>
      <c r="C1457" s="7"/>
    </row>
    <row r="1458" spans="1:3" ht="12.45" x14ac:dyDescent="0.3">
      <c r="A1458" s="7"/>
      <c r="B1458" s="7"/>
      <c r="C1458" s="7"/>
    </row>
    <row r="1459" spans="1:3" ht="12.45" x14ac:dyDescent="0.3">
      <c r="A1459" s="7"/>
      <c r="B1459" s="7"/>
      <c r="C1459" s="7"/>
    </row>
    <row r="1460" spans="1:3" ht="12.45" x14ac:dyDescent="0.3">
      <c r="A1460" s="7"/>
      <c r="B1460" s="7"/>
      <c r="C1460" s="7"/>
    </row>
    <row r="1461" spans="1:3" ht="12.45" x14ac:dyDescent="0.3">
      <c r="A1461" s="7"/>
      <c r="B1461" s="7"/>
      <c r="C1461" s="7"/>
    </row>
    <row r="1462" spans="1:3" ht="12.45" x14ac:dyDescent="0.3">
      <c r="A1462" s="7"/>
      <c r="B1462" s="7"/>
      <c r="C1462" s="7"/>
    </row>
    <row r="1463" spans="1:3" ht="12.45" x14ac:dyDescent="0.3">
      <c r="A1463" s="7"/>
      <c r="B1463" s="7"/>
      <c r="C1463" s="7"/>
    </row>
    <row r="1464" spans="1:3" ht="12.45" x14ac:dyDescent="0.3">
      <c r="A1464" s="7"/>
      <c r="B1464" s="7"/>
      <c r="C1464" s="7"/>
    </row>
    <row r="1465" spans="1:3" ht="12.45" x14ac:dyDescent="0.3">
      <c r="A1465" s="7"/>
      <c r="B1465" s="7"/>
      <c r="C1465" s="7"/>
    </row>
    <row r="1466" spans="1:3" ht="12.45" x14ac:dyDescent="0.3">
      <c r="A1466" s="7"/>
      <c r="B1466" s="7"/>
      <c r="C1466" s="7"/>
    </row>
    <row r="1467" spans="1:3" ht="12.45" x14ac:dyDescent="0.3">
      <c r="A1467" s="7"/>
      <c r="B1467" s="7"/>
      <c r="C1467" s="7"/>
    </row>
    <row r="1468" spans="1:3" ht="12.45" x14ac:dyDescent="0.3">
      <c r="A1468" s="7"/>
      <c r="B1468" s="7"/>
      <c r="C1468" s="7"/>
    </row>
    <row r="1469" spans="1:3" ht="12.45" x14ac:dyDescent="0.3">
      <c r="A1469" s="7"/>
      <c r="B1469" s="7"/>
      <c r="C1469" s="7"/>
    </row>
    <row r="1470" spans="1:3" ht="12.45" x14ac:dyDescent="0.3">
      <c r="A1470" s="7"/>
      <c r="B1470" s="7"/>
      <c r="C1470" s="7"/>
    </row>
    <row r="1471" spans="1:3" ht="12.45" x14ac:dyDescent="0.3">
      <c r="A1471" s="7"/>
      <c r="B1471" s="7"/>
      <c r="C1471" s="7"/>
    </row>
    <row r="1472" spans="1:3" ht="12.45" x14ac:dyDescent="0.3">
      <c r="A1472" s="7"/>
      <c r="B1472" s="7"/>
      <c r="C1472" s="7"/>
    </row>
    <row r="1473" spans="1:3" ht="12.45" x14ac:dyDescent="0.3">
      <c r="A1473" s="7"/>
      <c r="B1473" s="7"/>
      <c r="C1473" s="7"/>
    </row>
    <row r="1474" spans="1:3" ht="12.45" x14ac:dyDescent="0.3">
      <c r="A1474" s="7"/>
      <c r="B1474" s="7"/>
      <c r="C1474" s="7"/>
    </row>
    <row r="1475" spans="1:3" ht="12.45" x14ac:dyDescent="0.3">
      <c r="A1475" s="7"/>
      <c r="B1475" s="7"/>
      <c r="C1475" s="7"/>
    </row>
    <row r="1476" spans="1:3" ht="12.45" x14ac:dyDescent="0.3">
      <c r="A1476" s="7"/>
      <c r="B1476" s="7"/>
      <c r="C1476" s="7"/>
    </row>
    <row r="1477" spans="1:3" ht="12.45" x14ac:dyDescent="0.3">
      <c r="A1477" s="7"/>
      <c r="B1477" s="7"/>
      <c r="C1477" s="7"/>
    </row>
    <row r="1478" spans="1:3" ht="12.45" x14ac:dyDescent="0.3">
      <c r="A1478" s="7"/>
      <c r="B1478" s="7"/>
      <c r="C1478" s="7"/>
    </row>
    <row r="1479" spans="1:3" ht="12.45" x14ac:dyDescent="0.3">
      <c r="A1479" s="7"/>
      <c r="B1479" s="7"/>
      <c r="C1479" s="7"/>
    </row>
    <row r="1480" spans="1:3" ht="12.45" x14ac:dyDescent="0.3">
      <c r="A1480" s="7"/>
      <c r="B1480" s="7"/>
      <c r="C1480" s="7"/>
    </row>
    <row r="1481" spans="1:3" ht="12.45" x14ac:dyDescent="0.3">
      <c r="A1481" s="7"/>
      <c r="B1481" s="7"/>
      <c r="C1481" s="7"/>
    </row>
    <row r="1482" spans="1:3" ht="12.45" x14ac:dyDescent="0.3">
      <c r="A1482" s="7"/>
      <c r="B1482" s="7"/>
      <c r="C1482" s="7"/>
    </row>
    <row r="1483" spans="1:3" ht="12.45" x14ac:dyDescent="0.3">
      <c r="A1483" s="7"/>
      <c r="B1483" s="7"/>
      <c r="C1483" s="7"/>
    </row>
    <row r="1484" spans="1:3" ht="12.45" x14ac:dyDescent="0.3">
      <c r="A1484" s="7"/>
      <c r="B1484" s="7"/>
      <c r="C1484" s="7"/>
    </row>
    <row r="1485" spans="1:3" ht="12.45" x14ac:dyDescent="0.3">
      <c r="A1485" s="7"/>
      <c r="B1485" s="7"/>
      <c r="C1485" s="7"/>
    </row>
    <row r="1486" spans="1:3" ht="12.45" x14ac:dyDescent="0.3">
      <c r="A1486" s="7"/>
      <c r="B1486" s="7"/>
      <c r="C1486" s="7"/>
    </row>
    <row r="1487" spans="1:3" ht="12.45" x14ac:dyDescent="0.3">
      <c r="A1487" s="7"/>
      <c r="B1487" s="7"/>
      <c r="C1487" s="7"/>
    </row>
    <row r="1488" spans="1:3" ht="12.45" x14ac:dyDescent="0.3">
      <c r="A1488" s="7"/>
      <c r="B1488" s="7"/>
      <c r="C1488" s="7"/>
    </row>
    <row r="1489" spans="1:3" ht="12.45" x14ac:dyDescent="0.3">
      <c r="A1489" s="7"/>
      <c r="B1489" s="7"/>
      <c r="C1489" s="7"/>
    </row>
    <row r="1490" spans="1:3" ht="12.45" x14ac:dyDescent="0.3">
      <c r="A1490" s="7"/>
      <c r="B1490" s="7"/>
      <c r="C1490" s="7"/>
    </row>
    <row r="1491" spans="1:3" ht="12.45" x14ac:dyDescent="0.3">
      <c r="A1491" s="7"/>
      <c r="B1491" s="7"/>
      <c r="C1491" s="7"/>
    </row>
    <row r="1492" spans="1:3" ht="12.45" x14ac:dyDescent="0.3">
      <c r="A1492" s="7"/>
      <c r="B1492" s="7"/>
      <c r="C1492" s="7"/>
    </row>
    <row r="1493" spans="1:3" ht="12.45" x14ac:dyDescent="0.3">
      <c r="A1493" s="7"/>
      <c r="B1493" s="7"/>
      <c r="C1493" s="7"/>
    </row>
    <row r="1494" spans="1:3" ht="12.45" x14ac:dyDescent="0.3">
      <c r="A1494" s="7"/>
      <c r="B1494" s="7"/>
      <c r="C1494" s="7"/>
    </row>
    <row r="1495" spans="1:3" ht="12.45" x14ac:dyDescent="0.3">
      <c r="A1495" s="7"/>
      <c r="B1495" s="7"/>
      <c r="C1495" s="7"/>
    </row>
    <row r="1496" spans="1:3" ht="12.45" x14ac:dyDescent="0.3">
      <c r="A1496" s="7"/>
      <c r="B1496" s="7"/>
      <c r="C1496" s="7"/>
    </row>
    <row r="1497" spans="1:3" ht="12.45" x14ac:dyDescent="0.3">
      <c r="A1497" s="7"/>
      <c r="B1497" s="7"/>
      <c r="C1497" s="7"/>
    </row>
    <row r="1498" spans="1:3" ht="12.45" x14ac:dyDescent="0.3">
      <c r="A1498" s="7"/>
      <c r="B1498" s="7"/>
      <c r="C1498" s="7"/>
    </row>
    <row r="1499" spans="1:3" ht="12.45" x14ac:dyDescent="0.3">
      <c r="A1499" s="7"/>
      <c r="B1499" s="7"/>
      <c r="C1499" s="7"/>
    </row>
    <row r="1500" spans="1:3" ht="12.45" x14ac:dyDescent="0.3">
      <c r="A1500" s="7"/>
      <c r="B1500" s="7"/>
      <c r="C1500" s="7"/>
    </row>
    <row r="1501" spans="1:3" ht="12.45" x14ac:dyDescent="0.3">
      <c r="A1501" s="7"/>
      <c r="B1501" s="7"/>
      <c r="C1501" s="7"/>
    </row>
    <row r="1502" spans="1:3" ht="12.45" x14ac:dyDescent="0.3">
      <c r="A1502" s="7"/>
      <c r="B1502" s="7"/>
      <c r="C1502" s="7"/>
    </row>
    <row r="1503" spans="1:3" ht="12.45" x14ac:dyDescent="0.3">
      <c r="A1503" s="7"/>
      <c r="B1503" s="7"/>
      <c r="C1503" s="7"/>
    </row>
    <row r="1504" spans="1:3" ht="12.45" x14ac:dyDescent="0.3">
      <c r="A1504" s="7"/>
      <c r="B1504" s="7"/>
      <c r="C1504" s="7"/>
    </row>
    <row r="1505" spans="1:3" ht="12.45" x14ac:dyDescent="0.3">
      <c r="A1505" s="7"/>
      <c r="B1505" s="7"/>
      <c r="C1505" s="7"/>
    </row>
    <row r="1506" spans="1:3" ht="12.45" x14ac:dyDescent="0.3">
      <c r="A1506" s="7"/>
      <c r="B1506" s="7"/>
      <c r="C1506" s="7"/>
    </row>
    <row r="1507" spans="1:3" ht="12.45" x14ac:dyDescent="0.3">
      <c r="A1507" s="7"/>
      <c r="B1507" s="7"/>
      <c r="C1507" s="7"/>
    </row>
    <row r="1508" spans="1:3" ht="12.45" x14ac:dyDescent="0.3">
      <c r="A1508" s="7"/>
      <c r="B1508" s="7"/>
      <c r="C1508" s="7"/>
    </row>
    <row r="1509" spans="1:3" ht="12.45" x14ac:dyDescent="0.3">
      <c r="A1509" s="7"/>
      <c r="B1509" s="7"/>
      <c r="C1509" s="7"/>
    </row>
    <row r="1510" spans="1:3" ht="12.45" x14ac:dyDescent="0.3">
      <c r="A1510" s="7"/>
      <c r="B1510" s="7"/>
      <c r="C1510" s="7"/>
    </row>
    <row r="1511" spans="1:3" ht="12.45" x14ac:dyDescent="0.3">
      <c r="A1511" s="7"/>
      <c r="B1511" s="7"/>
      <c r="C1511" s="7"/>
    </row>
    <row r="1512" spans="1:3" ht="12.45" x14ac:dyDescent="0.3">
      <c r="A1512" s="7"/>
      <c r="B1512" s="7"/>
      <c r="C1512" s="7"/>
    </row>
    <row r="1513" spans="1:3" ht="12.45" x14ac:dyDescent="0.3">
      <c r="A1513" s="7"/>
      <c r="B1513" s="7"/>
      <c r="C1513" s="7"/>
    </row>
    <row r="1514" spans="1:3" ht="12.45" x14ac:dyDescent="0.3">
      <c r="A1514" s="7"/>
      <c r="B1514" s="7"/>
      <c r="C1514" s="7"/>
    </row>
    <row r="1515" spans="1:3" ht="12.45" x14ac:dyDescent="0.3">
      <c r="A1515" s="7"/>
      <c r="B1515" s="7"/>
      <c r="C1515" s="7"/>
    </row>
    <row r="1516" spans="1:3" ht="12.45" x14ac:dyDescent="0.3">
      <c r="A1516" s="7"/>
      <c r="B1516" s="7"/>
      <c r="C1516" s="7"/>
    </row>
    <row r="1517" spans="1:3" ht="12.45" x14ac:dyDescent="0.3">
      <c r="A1517" s="7"/>
      <c r="B1517" s="7"/>
      <c r="C1517" s="7"/>
    </row>
    <row r="1518" spans="1:3" ht="12.45" x14ac:dyDescent="0.3">
      <c r="A1518" s="7"/>
      <c r="B1518" s="7"/>
      <c r="C1518" s="7"/>
    </row>
    <row r="1519" spans="1:3" ht="12.45" x14ac:dyDescent="0.3">
      <c r="A1519" s="7"/>
      <c r="B1519" s="7"/>
      <c r="C1519" s="7"/>
    </row>
    <row r="1520" spans="1:3" ht="12.45" x14ac:dyDescent="0.3">
      <c r="A1520" s="7"/>
      <c r="B1520" s="7"/>
      <c r="C1520" s="7"/>
    </row>
    <row r="1521" spans="1:3" ht="12.45" x14ac:dyDescent="0.3">
      <c r="A1521" s="7"/>
      <c r="B1521" s="7"/>
      <c r="C1521" s="7"/>
    </row>
    <row r="1522" spans="1:3" ht="12.45" x14ac:dyDescent="0.3">
      <c r="A1522" s="7"/>
      <c r="B1522" s="7"/>
      <c r="C1522" s="7"/>
    </row>
    <row r="1523" spans="1:3" ht="12.45" x14ac:dyDescent="0.3">
      <c r="A1523" s="7"/>
      <c r="B1523" s="7"/>
      <c r="C1523" s="7"/>
    </row>
    <row r="1524" spans="1:3" ht="12.45" x14ac:dyDescent="0.3">
      <c r="A1524" s="7"/>
      <c r="B1524" s="7"/>
      <c r="C1524" s="7"/>
    </row>
    <row r="1525" spans="1:3" ht="12.45" x14ac:dyDescent="0.3">
      <c r="A1525" s="7"/>
      <c r="B1525" s="7"/>
      <c r="C1525" s="7"/>
    </row>
    <row r="1526" spans="1:3" ht="12.45" x14ac:dyDescent="0.3">
      <c r="A1526" s="7"/>
      <c r="B1526" s="7"/>
      <c r="C1526" s="7"/>
    </row>
    <row r="1527" spans="1:3" ht="12.45" x14ac:dyDescent="0.3">
      <c r="A1527" s="7"/>
      <c r="B1527" s="7"/>
      <c r="C1527" s="7"/>
    </row>
    <row r="1528" spans="1:3" ht="12.45" x14ac:dyDescent="0.3">
      <c r="A1528" s="7"/>
      <c r="B1528" s="7"/>
      <c r="C1528" s="7"/>
    </row>
    <row r="1529" spans="1:3" ht="12.45" x14ac:dyDescent="0.3">
      <c r="A1529" s="7"/>
      <c r="B1529" s="7"/>
      <c r="C1529" s="7"/>
    </row>
    <row r="1530" spans="1:3" ht="12.45" x14ac:dyDescent="0.3">
      <c r="A1530" s="7"/>
      <c r="B1530" s="7"/>
      <c r="C1530" s="7"/>
    </row>
    <row r="1531" spans="1:3" ht="12.45" x14ac:dyDescent="0.3">
      <c r="A1531" s="7"/>
      <c r="B1531" s="7"/>
      <c r="C1531" s="7"/>
    </row>
    <row r="1532" spans="1:3" ht="12.45" x14ac:dyDescent="0.3">
      <c r="A1532" s="7"/>
      <c r="B1532" s="7"/>
      <c r="C1532" s="7"/>
    </row>
    <row r="1533" spans="1:3" ht="12.45" x14ac:dyDescent="0.3">
      <c r="A1533" s="7"/>
      <c r="B1533" s="7"/>
      <c r="C1533" s="7"/>
    </row>
    <row r="1534" spans="1:3" ht="12.45" x14ac:dyDescent="0.3">
      <c r="A1534" s="7"/>
      <c r="B1534" s="7"/>
      <c r="C1534" s="7"/>
    </row>
    <row r="1535" spans="1:3" ht="12.45" x14ac:dyDescent="0.3">
      <c r="A1535" s="7"/>
      <c r="B1535" s="7"/>
      <c r="C1535" s="7"/>
    </row>
    <row r="1536" spans="1:3" ht="12.45" x14ac:dyDescent="0.3">
      <c r="A1536" s="7"/>
      <c r="B1536" s="7"/>
      <c r="C1536" s="7"/>
    </row>
    <row r="1537" spans="1:3" ht="12.45" x14ac:dyDescent="0.3">
      <c r="A1537" s="7"/>
      <c r="B1537" s="7"/>
      <c r="C1537" s="7"/>
    </row>
    <row r="1538" spans="1:3" ht="12.45" x14ac:dyDescent="0.3">
      <c r="A1538" s="7"/>
      <c r="B1538" s="7"/>
      <c r="C1538" s="7"/>
    </row>
    <row r="1539" spans="1:3" ht="12.45" x14ac:dyDescent="0.3">
      <c r="A1539" s="7"/>
      <c r="B1539" s="7"/>
      <c r="C1539" s="7"/>
    </row>
    <row r="1540" spans="1:3" ht="12.45" x14ac:dyDescent="0.3">
      <c r="A1540" s="7"/>
      <c r="B1540" s="7"/>
      <c r="C1540" s="7"/>
    </row>
    <row r="1541" spans="1:3" ht="12.45" x14ac:dyDescent="0.3">
      <c r="A1541" s="7"/>
      <c r="B1541" s="7"/>
      <c r="C1541" s="7"/>
    </row>
    <row r="1542" spans="1:3" ht="12.45" x14ac:dyDescent="0.3">
      <c r="A1542" s="7"/>
      <c r="B1542" s="7"/>
      <c r="C1542" s="7"/>
    </row>
    <row r="1543" spans="1:3" ht="12.45" x14ac:dyDescent="0.3">
      <c r="A1543" s="7"/>
      <c r="B1543" s="7"/>
      <c r="C1543" s="7"/>
    </row>
    <row r="1544" spans="1:3" ht="12.45" x14ac:dyDescent="0.3">
      <c r="A1544" s="7"/>
      <c r="B1544" s="7"/>
      <c r="C1544" s="7"/>
    </row>
    <row r="1545" spans="1:3" ht="12.45" x14ac:dyDescent="0.3">
      <c r="A1545" s="7"/>
      <c r="B1545" s="7"/>
      <c r="C1545" s="7"/>
    </row>
    <row r="1546" spans="1:3" ht="12.45" x14ac:dyDescent="0.3">
      <c r="A1546" s="7"/>
      <c r="B1546" s="7"/>
      <c r="C1546" s="7"/>
    </row>
    <row r="1547" spans="1:3" ht="12.45" x14ac:dyDescent="0.3">
      <c r="A1547" s="7"/>
      <c r="B1547" s="7"/>
      <c r="C1547" s="7"/>
    </row>
    <row r="1548" spans="1:3" ht="12.45" x14ac:dyDescent="0.3">
      <c r="A1548" s="7"/>
      <c r="B1548" s="7"/>
      <c r="C1548" s="7"/>
    </row>
    <row r="1549" spans="1:3" ht="12.45" x14ac:dyDescent="0.3">
      <c r="A1549" s="7"/>
      <c r="B1549" s="7"/>
      <c r="C1549" s="7"/>
    </row>
    <row r="1550" spans="1:3" ht="12.45" x14ac:dyDescent="0.3">
      <c r="A1550" s="7"/>
      <c r="B1550" s="7"/>
      <c r="C1550" s="7"/>
    </row>
    <row r="1551" spans="1:3" ht="12.45" x14ac:dyDescent="0.3">
      <c r="A1551" s="7"/>
      <c r="B1551" s="7"/>
      <c r="C1551" s="7"/>
    </row>
    <row r="1552" spans="1:3" ht="12.45" x14ac:dyDescent="0.3">
      <c r="A1552" s="7"/>
      <c r="B1552" s="7"/>
      <c r="C1552" s="7"/>
    </row>
    <row r="1553" spans="1:3" ht="12.45" x14ac:dyDescent="0.3">
      <c r="A1553" s="7"/>
      <c r="B1553" s="7"/>
      <c r="C1553" s="7"/>
    </row>
    <row r="1554" spans="1:3" ht="12.45" x14ac:dyDescent="0.3">
      <c r="A1554" s="7"/>
      <c r="B1554" s="7"/>
      <c r="C1554" s="7"/>
    </row>
    <row r="1555" spans="1:3" ht="12.45" x14ac:dyDescent="0.3">
      <c r="A1555" s="7"/>
      <c r="B1555" s="7"/>
      <c r="C1555" s="7"/>
    </row>
    <row r="1556" spans="1:3" ht="12.45" x14ac:dyDescent="0.3">
      <c r="A1556" s="7"/>
      <c r="B1556" s="7"/>
      <c r="C1556" s="7"/>
    </row>
    <row r="1557" spans="1:3" ht="12.45" x14ac:dyDescent="0.3">
      <c r="A1557" s="7"/>
      <c r="B1557" s="7"/>
      <c r="C1557" s="7"/>
    </row>
    <row r="1558" spans="1:3" ht="12.45" x14ac:dyDescent="0.3">
      <c r="A1558" s="7"/>
      <c r="B1558" s="7"/>
      <c r="C1558" s="7"/>
    </row>
    <row r="1559" spans="1:3" ht="12.45" x14ac:dyDescent="0.3">
      <c r="A1559" s="7"/>
      <c r="B1559" s="7"/>
      <c r="C1559" s="7"/>
    </row>
    <row r="1560" spans="1:3" ht="12.45" x14ac:dyDescent="0.3">
      <c r="A1560" s="7"/>
      <c r="B1560" s="7"/>
      <c r="C1560" s="7"/>
    </row>
    <row r="1561" spans="1:3" ht="12.45" x14ac:dyDescent="0.3">
      <c r="A1561" s="7"/>
      <c r="B1561" s="7"/>
      <c r="C1561" s="7"/>
    </row>
    <row r="1562" spans="1:3" ht="12.45" x14ac:dyDescent="0.3">
      <c r="A1562" s="7"/>
      <c r="B1562" s="7"/>
      <c r="C1562" s="7"/>
    </row>
    <row r="1563" spans="1:3" ht="12.45" x14ac:dyDescent="0.3">
      <c r="A1563" s="7"/>
      <c r="B1563" s="7"/>
      <c r="C1563" s="7"/>
    </row>
    <row r="1564" spans="1:3" ht="12.45" x14ac:dyDescent="0.3">
      <c r="A1564" s="7"/>
      <c r="B1564" s="7"/>
      <c r="C1564" s="7"/>
    </row>
    <row r="1565" spans="1:3" ht="12.45" x14ac:dyDescent="0.3">
      <c r="A1565" s="7"/>
      <c r="B1565" s="7"/>
      <c r="C1565" s="7"/>
    </row>
    <row r="1566" spans="1:3" ht="12.45" x14ac:dyDescent="0.3">
      <c r="A1566" s="7"/>
      <c r="B1566" s="7"/>
      <c r="C1566" s="7"/>
    </row>
    <row r="1567" spans="1:3" ht="12.45" x14ac:dyDescent="0.3">
      <c r="A1567" s="7"/>
      <c r="B1567" s="7"/>
      <c r="C1567" s="7"/>
    </row>
    <row r="1568" spans="1:3" ht="12.45" x14ac:dyDescent="0.3">
      <c r="A1568" s="7"/>
      <c r="B1568" s="7"/>
      <c r="C1568" s="7"/>
    </row>
    <row r="1569" spans="1:3" ht="12.45" x14ac:dyDescent="0.3">
      <c r="A1569" s="7"/>
      <c r="B1569" s="7"/>
      <c r="C1569" s="7"/>
    </row>
    <row r="1570" spans="1:3" ht="12.45" x14ac:dyDescent="0.3">
      <c r="A1570" s="7"/>
      <c r="B1570" s="7"/>
      <c r="C1570" s="7"/>
    </row>
    <row r="1571" spans="1:3" ht="12.45" x14ac:dyDescent="0.3">
      <c r="A1571" s="7"/>
      <c r="B1571" s="7"/>
      <c r="C1571" s="7"/>
    </row>
    <row r="1572" spans="1:3" ht="12.45" x14ac:dyDescent="0.3">
      <c r="A1572" s="7"/>
      <c r="B1572" s="7"/>
      <c r="C1572" s="7"/>
    </row>
    <row r="1573" spans="1:3" ht="12.45" x14ac:dyDescent="0.3">
      <c r="A1573" s="7"/>
      <c r="B1573" s="7"/>
      <c r="C1573" s="7"/>
    </row>
    <row r="1574" spans="1:3" ht="12.45" x14ac:dyDescent="0.3">
      <c r="A1574" s="7"/>
      <c r="B1574" s="7"/>
      <c r="C1574" s="7"/>
    </row>
    <row r="1575" spans="1:3" ht="12.45" x14ac:dyDescent="0.3">
      <c r="A1575" s="7"/>
      <c r="B1575" s="7"/>
      <c r="C1575" s="7"/>
    </row>
    <row r="1576" spans="1:3" ht="12.45" x14ac:dyDescent="0.3">
      <c r="A1576" s="7"/>
      <c r="B1576" s="7"/>
      <c r="C1576" s="7"/>
    </row>
    <row r="1577" spans="1:3" ht="12.45" x14ac:dyDescent="0.3">
      <c r="A1577" s="7"/>
      <c r="B1577" s="7"/>
      <c r="C1577" s="7"/>
    </row>
    <row r="1578" spans="1:3" ht="12.45" x14ac:dyDescent="0.3">
      <c r="A1578" s="7"/>
      <c r="B1578" s="7"/>
      <c r="C1578" s="7"/>
    </row>
    <row r="1579" spans="1:3" ht="12.45" x14ac:dyDescent="0.3">
      <c r="A1579" s="7"/>
      <c r="B1579" s="7"/>
      <c r="C1579" s="7"/>
    </row>
    <row r="1580" spans="1:3" ht="12.45" x14ac:dyDescent="0.3">
      <c r="A1580" s="7"/>
      <c r="B1580" s="7"/>
      <c r="C1580" s="7"/>
    </row>
    <row r="1581" spans="1:3" ht="12.45" x14ac:dyDescent="0.3">
      <c r="A1581" s="7"/>
      <c r="B1581" s="7"/>
      <c r="C1581" s="7"/>
    </row>
    <row r="1582" spans="1:3" ht="12.45" x14ac:dyDescent="0.3">
      <c r="A1582" s="7"/>
      <c r="B1582" s="7"/>
      <c r="C1582" s="7"/>
    </row>
    <row r="1583" spans="1:3" ht="12.45" x14ac:dyDescent="0.3">
      <c r="A1583" s="7"/>
      <c r="B1583" s="7"/>
      <c r="C1583" s="7"/>
    </row>
    <row r="1584" spans="1:3" ht="12.45" x14ac:dyDescent="0.3">
      <c r="A1584" s="7"/>
      <c r="B1584" s="7"/>
      <c r="C1584" s="7"/>
    </row>
    <row r="1585" spans="1:3" ht="12.45" x14ac:dyDescent="0.3">
      <c r="A1585" s="7"/>
      <c r="B1585" s="7"/>
      <c r="C1585" s="7"/>
    </row>
    <row r="1586" spans="1:3" ht="12.45" x14ac:dyDescent="0.3">
      <c r="A1586" s="7"/>
      <c r="B1586" s="7"/>
      <c r="C1586" s="7"/>
    </row>
    <row r="1587" spans="1:3" ht="12.45" x14ac:dyDescent="0.3">
      <c r="A1587" s="7"/>
      <c r="B1587" s="7"/>
      <c r="C1587" s="7"/>
    </row>
    <row r="1588" spans="1:3" ht="12.45" x14ac:dyDescent="0.3">
      <c r="A1588" s="7"/>
      <c r="B1588" s="7"/>
      <c r="C1588" s="7"/>
    </row>
    <row r="1589" spans="1:3" ht="12.45" x14ac:dyDescent="0.3">
      <c r="A1589" s="7"/>
      <c r="B1589" s="7"/>
      <c r="C1589" s="7"/>
    </row>
    <row r="1590" spans="1:3" ht="12.45" x14ac:dyDescent="0.3">
      <c r="A1590" s="7"/>
      <c r="B1590" s="7"/>
      <c r="C1590" s="7"/>
    </row>
    <row r="1591" spans="1:3" ht="12.45" x14ac:dyDescent="0.3">
      <c r="A1591" s="7"/>
      <c r="B1591" s="7"/>
      <c r="C1591" s="7"/>
    </row>
    <row r="1592" spans="1:3" ht="12.45" x14ac:dyDescent="0.3">
      <c r="A1592" s="7"/>
      <c r="B1592" s="7"/>
      <c r="C1592" s="7"/>
    </row>
    <row r="1593" spans="1:3" ht="12.45" x14ac:dyDescent="0.3">
      <c r="A1593" s="7"/>
      <c r="B1593" s="7"/>
      <c r="C1593" s="7"/>
    </row>
    <row r="1594" spans="1:3" ht="12.45" x14ac:dyDescent="0.3">
      <c r="A1594" s="7"/>
      <c r="B1594" s="7"/>
      <c r="C1594" s="7"/>
    </row>
    <row r="1595" spans="1:3" ht="12.45" x14ac:dyDescent="0.3">
      <c r="A1595" s="7"/>
      <c r="B1595" s="7"/>
      <c r="C1595" s="7"/>
    </row>
    <row r="1596" spans="1:3" ht="12.45" x14ac:dyDescent="0.3">
      <c r="A1596" s="7"/>
      <c r="B1596" s="7"/>
      <c r="C1596" s="7"/>
    </row>
    <row r="1597" spans="1:3" ht="12.45" x14ac:dyDescent="0.3">
      <c r="A1597" s="7"/>
      <c r="B1597" s="7"/>
      <c r="C1597" s="7"/>
    </row>
    <row r="1598" spans="1:3" ht="12.45" x14ac:dyDescent="0.3">
      <c r="A1598" s="7"/>
      <c r="B1598" s="7"/>
      <c r="C1598" s="7"/>
    </row>
    <row r="1599" spans="1:3" ht="12.45" x14ac:dyDescent="0.3">
      <c r="A1599" s="7"/>
      <c r="B1599" s="7"/>
      <c r="C1599" s="7"/>
    </row>
    <row r="1600" spans="1:3" ht="12.45" x14ac:dyDescent="0.3">
      <c r="A1600" s="7"/>
      <c r="B1600" s="7"/>
      <c r="C1600" s="7"/>
    </row>
    <row r="1601" spans="1:3" ht="12.45" x14ac:dyDescent="0.3">
      <c r="A1601" s="7"/>
      <c r="B1601" s="7"/>
      <c r="C1601" s="7"/>
    </row>
    <row r="1602" spans="1:3" ht="12.45" x14ac:dyDescent="0.3">
      <c r="A1602" s="7"/>
      <c r="B1602" s="7"/>
      <c r="C1602" s="7"/>
    </row>
    <row r="1603" spans="1:3" ht="12.45" x14ac:dyDescent="0.3">
      <c r="A1603" s="7"/>
      <c r="B1603" s="7"/>
      <c r="C1603" s="7"/>
    </row>
    <row r="1604" spans="1:3" ht="12.45" x14ac:dyDescent="0.3">
      <c r="A1604" s="7"/>
      <c r="B1604" s="7"/>
      <c r="C1604" s="7"/>
    </row>
    <row r="1605" spans="1:3" ht="12.45" x14ac:dyDescent="0.3">
      <c r="A1605" s="7"/>
      <c r="B1605" s="7"/>
      <c r="C1605" s="7"/>
    </row>
    <row r="1606" spans="1:3" ht="12.45" x14ac:dyDescent="0.3">
      <c r="A1606" s="7"/>
      <c r="B1606" s="7"/>
      <c r="C1606" s="7"/>
    </row>
    <row r="1607" spans="1:3" ht="12.45" x14ac:dyDescent="0.3">
      <c r="A1607" s="7"/>
      <c r="B1607" s="7"/>
      <c r="C1607" s="7"/>
    </row>
    <row r="1608" spans="1:3" ht="12.45" x14ac:dyDescent="0.3">
      <c r="A1608" s="7"/>
      <c r="B1608" s="7"/>
      <c r="C1608" s="7"/>
    </row>
    <row r="1609" spans="1:3" ht="12.45" x14ac:dyDescent="0.3">
      <c r="A1609" s="7"/>
      <c r="B1609" s="7"/>
      <c r="C1609" s="7"/>
    </row>
    <row r="1610" spans="1:3" ht="12.45" x14ac:dyDescent="0.3">
      <c r="A1610" s="7"/>
      <c r="B1610" s="7"/>
      <c r="C1610" s="7"/>
    </row>
    <row r="1611" spans="1:3" ht="12.45" x14ac:dyDescent="0.3">
      <c r="A1611" s="7"/>
      <c r="B1611" s="7"/>
      <c r="C1611" s="7"/>
    </row>
    <row r="1612" spans="1:3" ht="12.45" x14ac:dyDescent="0.3">
      <c r="A1612" s="7"/>
      <c r="B1612" s="7"/>
      <c r="C1612" s="7"/>
    </row>
    <row r="1613" spans="1:3" ht="12.45" x14ac:dyDescent="0.3">
      <c r="A1613" s="7"/>
      <c r="B1613" s="7"/>
      <c r="C1613" s="7"/>
    </row>
    <row r="1614" spans="1:3" ht="12.45" x14ac:dyDescent="0.3">
      <c r="A1614" s="7"/>
      <c r="B1614" s="7"/>
      <c r="C1614" s="7"/>
    </row>
    <row r="1615" spans="1:3" ht="12.45" x14ac:dyDescent="0.3">
      <c r="A1615" s="7"/>
      <c r="B1615" s="7"/>
      <c r="C1615" s="7"/>
    </row>
    <row r="1616" spans="1:3" ht="12.45" x14ac:dyDescent="0.3">
      <c r="A1616" s="7"/>
      <c r="B1616" s="7"/>
      <c r="C1616" s="7"/>
    </row>
    <row r="1617" spans="1:3" ht="12.45" x14ac:dyDescent="0.3">
      <c r="A1617" s="7"/>
      <c r="B1617" s="7"/>
      <c r="C1617" s="7"/>
    </row>
    <row r="1618" spans="1:3" ht="12.45" x14ac:dyDescent="0.3">
      <c r="A1618" s="7"/>
      <c r="B1618" s="7"/>
      <c r="C1618" s="7"/>
    </row>
    <row r="1619" spans="1:3" ht="12.45" x14ac:dyDescent="0.3">
      <c r="A1619" s="7"/>
      <c r="B1619" s="7"/>
      <c r="C1619" s="7"/>
    </row>
    <row r="1620" spans="1:3" ht="12.45" x14ac:dyDescent="0.3">
      <c r="A1620" s="7"/>
      <c r="B1620" s="7"/>
      <c r="C1620" s="7"/>
    </row>
    <row r="1621" spans="1:3" ht="12.45" x14ac:dyDescent="0.3">
      <c r="A1621" s="7"/>
      <c r="B1621" s="7"/>
      <c r="C1621" s="7"/>
    </row>
    <row r="1622" spans="1:3" ht="12.45" x14ac:dyDescent="0.3">
      <c r="A1622" s="7"/>
      <c r="B1622" s="7"/>
      <c r="C1622" s="7"/>
    </row>
    <row r="1623" spans="1:3" ht="12.45" x14ac:dyDescent="0.3">
      <c r="A1623" s="7"/>
      <c r="B1623" s="7"/>
      <c r="C1623" s="7"/>
    </row>
    <row r="1624" spans="1:3" ht="12.45" x14ac:dyDescent="0.3">
      <c r="A1624" s="7"/>
      <c r="B1624" s="7"/>
      <c r="C1624" s="7"/>
    </row>
    <row r="1625" spans="1:3" ht="12.45" x14ac:dyDescent="0.3">
      <c r="A1625" s="7"/>
      <c r="B1625" s="7"/>
      <c r="C1625" s="7"/>
    </row>
    <row r="1626" spans="1:3" ht="12.45" x14ac:dyDescent="0.3">
      <c r="A1626" s="7"/>
      <c r="B1626" s="7"/>
      <c r="C1626" s="7"/>
    </row>
    <row r="1627" spans="1:3" ht="12.45" x14ac:dyDescent="0.3">
      <c r="A1627" s="7"/>
      <c r="B1627" s="7"/>
      <c r="C1627" s="7"/>
    </row>
    <row r="1628" spans="1:3" ht="12.45" x14ac:dyDescent="0.3">
      <c r="A1628" s="7"/>
      <c r="B1628" s="7"/>
      <c r="C1628" s="7"/>
    </row>
    <row r="1629" spans="1:3" ht="12.45" x14ac:dyDescent="0.3">
      <c r="A1629" s="7"/>
      <c r="B1629" s="7"/>
      <c r="C1629" s="7"/>
    </row>
    <row r="1630" spans="1:3" ht="12.45" x14ac:dyDescent="0.3">
      <c r="A1630" s="7"/>
      <c r="B1630" s="7"/>
      <c r="C1630" s="7"/>
    </row>
    <row r="1631" spans="1:3" ht="12.45" x14ac:dyDescent="0.3">
      <c r="A1631" s="7"/>
      <c r="B1631" s="7"/>
      <c r="C1631" s="7"/>
    </row>
    <row r="1632" spans="1:3" ht="12.45" x14ac:dyDescent="0.3">
      <c r="A1632" s="7"/>
      <c r="B1632" s="7"/>
      <c r="C1632" s="7"/>
    </row>
    <row r="1633" spans="1:3" ht="12.45" x14ac:dyDescent="0.3">
      <c r="A1633" s="7"/>
      <c r="B1633" s="7"/>
      <c r="C1633" s="7"/>
    </row>
    <row r="1634" spans="1:3" ht="12.45" x14ac:dyDescent="0.3">
      <c r="A1634" s="7"/>
      <c r="B1634" s="7"/>
      <c r="C1634" s="7"/>
    </row>
    <row r="1635" spans="1:3" ht="12.45" x14ac:dyDescent="0.3">
      <c r="A1635" s="7"/>
      <c r="B1635" s="7"/>
      <c r="C1635" s="7"/>
    </row>
    <row r="1636" spans="1:3" ht="12.45" x14ac:dyDescent="0.3">
      <c r="A1636" s="7"/>
      <c r="B1636" s="7"/>
      <c r="C1636" s="7"/>
    </row>
    <row r="1637" spans="1:3" ht="12.45" x14ac:dyDescent="0.3">
      <c r="A1637" s="7"/>
      <c r="B1637" s="7"/>
      <c r="C1637" s="7"/>
    </row>
    <row r="1638" spans="1:3" ht="12.45" x14ac:dyDescent="0.3">
      <c r="A1638" s="7"/>
      <c r="B1638" s="7"/>
      <c r="C1638" s="7"/>
    </row>
    <row r="1639" spans="1:3" ht="12.45" x14ac:dyDescent="0.3">
      <c r="A1639" s="7"/>
      <c r="B1639" s="7"/>
      <c r="C1639" s="7"/>
    </row>
    <row r="1640" spans="1:3" ht="12.45" x14ac:dyDescent="0.3">
      <c r="A1640" s="7"/>
      <c r="B1640" s="7"/>
      <c r="C1640" s="7"/>
    </row>
    <row r="1641" spans="1:3" ht="12.45" x14ac:dyDescent="0.3">
      <c r="A1641" s="7"/>
      <c r="B1641" s="7"/>
      <c r="C1641" s="7"/>
    </row>
    <row r="1642" spans="1:3" ht="12.45" x14ac:dyDescent="0.3">
      <c r="A1642" s="7"/>
      <c r="B1642" s="7"/>
      <c r="C1642" s="7"/>
    </row>
    <row r="1643" spans="1:3" ht="12.45" x14ac:dyDescent="0.3">
      <c r="A1643" s="7"/>
      <c r="B1643" s="7"/>
      <c r="C1643" s="7"/>
    </row>
    <row r="1644" spans="1:3" ht="12.45" x14ac:dyDescent="0.3">
      <c r="A1644" s="7"/>
      <c r="B1644" s="7"/>
      <c r="C1644" s="7"/>
    </row>
    <row r="1645" spans="1:3" ht="12.45" x14ac:dyDescent="0.3">
      <c r="A1645" s="7"/>
      <c r="B1645" s="7"/>
      <c r="C1645" s="7"/>
    </row>
    <row r="1646" spans="1:3" ht="12.45" x14ac:dyDescent="0.3">
      <c r="A1646" s="7"/>
      <c r="B1646" s="7"/>
      <c r="C1646" s="7"/>
    </row>
    <row r="1647" spans="1:3" ht="12.45" x14ac:dyDescent="0.3">
      <c r="A1647" s="7"/>
      <c r="B1647" s="7"/>
      <c r="C1647" s="7"/>
    </row>
    <row r="1648" spans="1:3" ht="12.45" x14ac:dyDescent="0.3">
      <c r="A1648" s="7"/>
      <c r="B1648" s="7"/>
      <c r="C1648" s="7"/>
    </row>
    <row r="1649" spans="1:3" ht="12.45" x14ac:dyDescent="0.3">
      <c r="A1649" s="7"/>
      <c r="B1649" s="7"/>
      <c r="C1649" s="7"/>
    </row>
    <row r="1650" spans="1:3" ht="12.45" x14ac:dyDescent="0.3">
      <c r="A1650" s="7"/>
      <c r="B1650" s="7"/>
      <c r="C1650" s="7"/>
    </row>
    <row r="1651" spans="1:3" ht="12.45" x14ac:dyDescent="0.3">
      <c r="A1651" s="7"/>
      <c r="B1651" s="7"/>
      <c r="C1651" s="7"/>
    </row>
    <row r="1652" spans="1:3" ht="12.45" x14ac:dyDescent="0.3">
      <c r="A1652" s="7"/>
      <c r="B1652" s="7"/>
      <c r="C1652" s="7"/>
    </row>
    <row r="1653" spans="1:3" ht="12.45" x14ac:dyDescent="0.3">
      <c r="A1653" s="7"/>
      <c r="B1653" s="7"/>
      <c r="C1653" s="7"/>
    </row>
    <row r="1654" spans="1:3" ht="12.45" x14ac:dyDescent="0.3">
      <c r="A1654" s="7"/>
      <c r="B1654" s="7"/>
      <c r="C1654" s="7"/>
    </row>
    <row r="1655" spans="1:3" ht="12.45" x14ac:dyDescent="0.3">
      <c r="A1655" s="7"/>
      <c r="B1655" s="7"/>
      <c r="C1655" s="7"/>
    </row>
    <row r="1656" spans="1:3" ht="12.45" x14ac:dyDescent="0.3">
      <c r="A1656" s="7"/>
      <c r="B1656" s="7"/>
      <c r="C1656" s="7"/>
    </row>
    <row r="1657" spans="1:3" ht="12.45" x14ac:dyDescent="0.3">
      <c r="A1657" s="7"/>
      <c r="B1657" s="7"/>
      <c r="C1657" s="7"/>
    </row>
    <row r="1658" spans="1:3" ht="12.45" x14ac:dyDescent="0.3">
      <c r="A1658" s="7"/>
      <c r="B1658" s="7"/>
      <c r="C1658" s="7"/>
    </row>
    <row r="1659" spans="1:3" ht="12.45" x14ac:dyDescent="0.3">
      <c r="A1659" s="7"/>
      <c r="B1659" s="7"/>
      <c r="C1659" s="7"/>
    </row>
    <row r="1660" spans="1:3" ht="12.45" x14ac:dyDescent="0.3">
      <c r="A1660" s="7"/>
      <c r="B1660" s="7"/>
      <c r="C1660" s="7"/>
    </row>
    <row r="1661" spans="1:3" ht="12.45" x14ac:dyDescent="0.3">
      <c r="A1661" s="7"/>
      <c r="B1661" s="7"/>
      <c r="C1661" s="7"/>
    </row>
    <row r="1662" spans="1:3" ht="12.45" x14ac:dyDescent="0.3">
      <c r="A1662" s="7"/>
      <c r="B1662" s="7"/>
      <c r="C1662" s="7"/>
    </row>
    <row r="1663" spans="1:3" ht="12.45" x14ac:dyDescent="0.3">
      <c r="A1663" s="7"/>
      <c r="B1663" s="7"/>
      <c r="C1663" s="7"/>
    </row>
    <row r="1664" spans="1:3" ht="12.45" x14ac:dyDescent="0.3">
      <c r="A1664" s="7"/>
      <c r="B1664" s="7"/>
      <c r="C1664" s="7"/>
    </row>
    <row r="1665" spans="1:3" ht="12.45" x14ac:dyDescent="0.3">
      <c r="A1665" s="7"/>
      <c r="B1665" s="7"/>
      <c r="C1665" s="7"/>
    </row>
    <row r="1666" spans="1:3" ht="12.45" x14ac:dyDescent="0.3">
      <c r="A1666" s="7"/>
      <c r="B1666" s="7"/>
      <c r="C1666" s="7"/>
    </row>
    <row r="1667" spans="1:3" ht="12.45" x14ac:dyDescent="0.3">
      <c r="A1667" s="7"/>
      <c r="B1667" s="7"/>
      <c r="C1667" s="7"/>
    </row>
    <row r="1668" spans="1:3" ht="12.45" x14ac:dyDescent="0.3">
      <c r="A1668" s="7"/>
      <c r="B1668" s="7"/>
      <c r="C1668" s="7"/>
    </row>
    <row r="1669" spans="1:3" ht="12.45" x14ac:dyDescent="0.3">
      <c r="A1669" s="7"/>
      <c r="B1669" s="7"/>
      <c r="C1669" s="7"/>
    </row>
    <row r="1670" spans="1:3" ht="12.45" x14ac:dyDescent="0.3">
      <c r="A1670" s="7"/>
      <c r="B1670" s="7"/>
      <c r="C1670" s="7"/>
    </row>
    <row r="1671" spans="1:3" ht="12.45" x14ac:dyDescent="0.3">
      <c r="A1671" s="7"/>
      <c r="B1671" s="7"/>
      <c r="C1671" s="7"/>
    </row>
    <row r="1672" spans="1:3" ht="12.45" x14ac:dyDescent="0.3">
      <c r="A1672" s="7"/>
      <c r="B1672" s="7"/>
      <c r="C1672" s="7"/>
    </row>
    <row r="1673" spans="1:3" ht="12.45" x14ac:dyDescent="0.3">
      <c r="A1673" s="7"/>
      <c r="B1673" s="7"/>
      <c r="C1673" s="7"/>
    </row>
    <row r="1674" spans="1:3" ht="12.45" x14ac:dyDescent="0.3">
      <c r="A1674" s="7"/>
      <c r="B1674" s="7"/>
      <c r="C1674" s="7"/>
    </row>
    <row r="1675" spans="1:3" ht="12.45" x14ac:dyDescent="0.3">
      <c r="A1675" s="7"/>
      <c r="B1675" s="7"/>
      <c r="C1675" s="7"/>
    </row>
    <row r="1676" spans="1:3" ht="12.45" x14ac:dyDescent="0.3">
      <c r="A1676" s="7"/>
      <c r="B1676" s="7"/>
      <c r="C1676" s="7"/>
    </row>
    <row r="1677" spans="1:3" ht="12.45" x14ac:dyDescent="0.3">
      <c r="A1677" s="7"/>
      <c r="B1677" s="7"/>
      <c r="C1677" s="7"/>
    </row>
    <row r="1678" spans="1:3" ht="12.45" x14ac:dyDescent="0.3">
      <c r="A1678" s="7"/>
      <c r="B1678" s="7"/>
      <c r="C1678" s="7"/>
    </row>
    <row r="1679" spans="1:3" ht="12.45" x14ac:dyDescent="0.3">
      <c r="A1679" s="7"/>
      <c r="B1679" s="7"/>
      <c r="C1679" s="7"/>
    </row>
    <row r="1680" spans="1:3" ht="12.45" x14ac:dyDescent="0.3">
      <c r="A1680" s="7"/>
      <c r="B1680" s="7"/>
      <c r="C1680" s="7"/>
    </row>
    <row r="1681" spans="1:3" ht="12.45" x14ac:dyDescent="0.3">
      <c r="A1681" s="7"/>
      <c r="B1681" s="7"/>
      <c r="C1681" s="7"/>
    </row>
    <row r="1682" spans="1:3" ht="12.45" x14ac:dyDescent="0.3">
      <c r="A1682" s="7"/>
      <c r="B1682" s="7"/>
      <c r="C1682" s="7"/>
    </row>
    <row r="1683" spans="1:3" ht="12.45" x14ac:dyDescent="0.3">
      <c r="A1683" s="7"/>
      <c r="B1683" s="7"/>
      <c r="C1683" s="7"/>
    </row>
    <row r="1684" spans="1:3" ht="12.45" x14ac:dyDescent="0.3">
      <c r="A1684" s="7"/>
      <c r="B1684" s="7"/>
      <c r="C1684" s="7"/>
    </row>
    <row r="1685" spans="1:3" ht="12.45" x14ac:dyDescent="0.3">
      <c r="A1685" s="7"/>
      <c r="B1685" s="7"/>
      <c r="C1685" s="7"/>
    </row>
    <row r="1686" spans="1:3" ht="12.45" x14ac:dyDescent="0.3">
      <c r="A1686" s="7"/>
      <c r="B1686" s="7"/>
      <c r="C1686" s="7"/>
    </row>
    <row r="1687" spans="1:3" ht="12.45" x14ac:dyDescent="0.3">
      <c r="A1687" s="7"/>
      <c r="B1687" s="7"/>
      <c r="C1687" s="7"/>
    </row>
    <row r="1688" spans="1:3" ht="12.45" x14ac:dyDescent="0.3">
      <c r="A1688" s="7"/>
      <c r="B1688" s="7"/>
      <c r="C1688" s="7"/>
    </row>
    <row r="1689" spans="1:3" ht="12.45" x14ac:dyDescent="0.3">
      <c r="A1689" s="7"/>
      <c r="B1689" s="7"/>
      <c r="C1689" s="7"/>
    </row>
    <row r="1690" spans="1:3" ht="12.45" x14ac:dyDescent="0.3">
      <c r="A1690" s="7"/>
      <c r="B1690" s="7"/>
      <c r="C1690" s="7"/>
    </row>
    <row r="1691" spans="1:3" ht="12.45" x14ac:dyDescent="0.3">
      <c r="A1691" s="7"/>
      <c r="B1691" s="7"/>
      <c r="C1691" s="7"/>
    </row>
    <row r="1692" spans="1:3" ht="12.45" x14ac:dyDescent="0.3">
      <c r="A1692" s="7"/>
      <c r="B1692" s="7"/>
      <c r="C1692" s="7"/>
    </row>
    <row r="1693" spans="1:3" ht="12.45" x14ac:dyDescent="0.3">
      <c r="A1693" s="7"/>
      <c r="B1693" s="7"/>
      <c r="C1693" s="7"/>
    </row>
    <row r="1694" spans="1:3" ht="12.45" x14ac:dyDescent="0.3">
      <c r="A1694" s="7"/>
      <c r="B1694" s="7"/>
      <c r="C1694" s="7"/>
    </row>
    <row r="1695" spans="1:3" ht="12.45" x14ac:dyDescent="0.3">
      <c r="A1695" s="7"/>
      <c r="B1695" s="7"/>
      <c r="C1695" s="7"/>
    </row>
    <row r="1696" spans="1:3" ht="12.45" x14ac:dyDescent="0.3">
      <c r="A1696" s="7"/>
      <c r="B1696" s="7"/>
      <c r="C1696" s="7"/>
    </row>
    <row r="1697" spans="1:3" ht="12.45" x14ac:dyDescent="0.3">
      <c r="A1697" s="7"/>
      <c r="B1697" s="7"/>
      <c r="C1697" s="7"/>
    </row>
    <row r="1698" spans="1:3" ht="12.45" x14ac:dyDescent="0.3">
      <c r="A1698" s="7"/>
      <c r="B1698" s="7"/>
      <c r="C1698" s="7"/>
    </row>
    <row r="1699" spans="1:3" ht="12.45" x14ac:dyDescent="0.3">
      <c r="A1699" s="7"/>
      <c r="B1699" s="7"/>
      <c r="C1699" s="7"/>
    </row>
    <row r="1700" spans="1:3" ht="12.45" x14ac:dyDescent="0.3">
      <c r="A1700" s="7"/>
      <c r="B1700" s="7"/>
      <c r="C1700" s="7"/>
    </row>
    <row r="1701" spans="1:3" ht="12.45" x14ac:dyDescent="0.3">
      <c r="A1701" s="7"/>
      <c r="B1701" s="7"/>
      <c r="C1701" s="7"/>
    </row>
    <row r="1702" spans="1:3" ht="12.45" x14ac:dyDescent="0.3">
      <c r="A1702" s="7"/>
      <c r="B1702" s="7"/>
      <c r="C1702" s="7"/>
    </row>
    <row r="1703" spans="1:3" ht="12.45" x14ac:dyDescent="0.3">
      <c r="A1703" s="7"/>
      <c r="B1703" s="7"/>
      <c r="C1703" s="7"/>
    </row>
    <row r="1704" spans="1:3" ht="12.45" x14ac:dyDescent="0.3">
      <c r="A1704" s="7"/>
      <c r="B1704" s="7"/>
      <c r="C1704" s="7"/>
    </row>
    <row r="1705" spans="1:3" ht="12.45" x14ac:dyDescent="0.3">
      <c r="A1705" s="7"/>
      <c r="B1705" s="7"/>
      <c r="C1705" s="7"/>
    </row>
    <row r="1706" spans="1:3" ht="12.45" x14ac:dyDescent="0.3">
      <c r="A1706" s="7"/>
      <c r="B1706" s="7"/>
      <c r="C1706" s="7"/>
    </row>
    <row r="1707" spans="1:3" ht="12.45" x14ac:dyDescent="0.3">
      <c r="A1707" s="7"/>
      <c r="B1707" s="7"/>
      <c r="C1707" s="7"/>
    </row>
    <row r="1708" spans="1:3" ht="12.45" x14ac:dyDescent="0.3">
      <c r="A1708" s="7"/>
      <c r="B1708" s="7"/>
      <c r="C1708" s="7"/>
    </row>
    <row r="1709" spans="1:3" ht="12.45" x14ac:dyDescent="0.3">
      <c r="A1709" s="7"/>
      <c r="B1709" s="7"/>
      <c r="C1709" s="7"/>
    </row>
    <row r="1710" spans="1:3" ht="12.45" x14ac:dyDescent="0.3">
      <c r="A1710" s="7"/>
      <c r="B1710" s="7"/>
      <c r="C1710" s="7"/>
    </row>
    <row r="1711" spans="1:3" ht="12.45" x14ac:dyDescent="0.3">
      <c r="A1711" s="7"/>
      <c r="B1711" s="7"/>
      <c r="C1711" s="7"/>
    </row>
    <row r="1712" spans="1:3" ht="12.45" x14ac:dyDescent="0.3">
      <c r="A1712" s="7"/>
      <c r="B1712" s="7"/>
      <c r="C1712" s="7"/>
    </row>
    <row r="1713" spans="1:3" ht="12.45" x14ac:dyDescent="0.3">
      <c r="A1713" s="7"/>
      <c r="B1713" s="7"/>
      <c r="C1713" s="7"/>
    </row>
    <row r="1714" spans="1:3" ht="12.45" x14ac:dyDescent="0.3">
      <c r="A1714" s="7"/>
      <c r="B1714" s="7"/>
      <c r="C1714" s="7"/>
    </row>
    <row r="1715" spans="1:3" ht="12.45" x14ac:dyDescent="0.3">
      <c r="A1715" s="7"/>
      <c r="B1715" s="7"/>
      <c r="C1715" s="7"/>
    </row>
    <row r="1716" spans="1:3" ht="12.45" x14ac:dyDescent="0.3">
      <c r="A1716" s="7"/>
      <c r="B1716" s="7"/>
      <c r="C1716" s="7"/>
    </row>
    <row r="1717" spans="1:3" ht="12.45" x14ac:dyDescent="0.3">
      <c r="A1717" s="7"/>
      <c r="B1717" s="7"/>
      <c r="C1717" s="7"/>
    </row>
    <row r="1718" spans="1:3" ht="12.45" x14ac:dyDescent="0.3">
      <c r="A1718" s="7"/>
      <c r="B1718" s="7"/>
      <c r="C1718" s="7"/>
    </row>
    <row r="1719" spans="1:3" ht="12.45" x14ac:dyDescent="0.3">
      <c r="A1719" s="7"/>
      <c r="B1719" s="7"/>
      <c r="C1719" s="7"/>
    </row>
    <row r="1720" spans="1:3" ht="12.45" x14ac:dyDescent="0.3">
      <c r="A1720" s="7"/>
      <c r="B1720" s="7"/>
      <c r="C1720" s="7"/>
    </row>
    <row r="1721" spans="1:3" ht="12.45" x14ac:dyDescent="0.3">
      <c r="A1721" s="7"/>
      <c r="B1721" s="7"/>
      <c r="C1721" s="7"/>
    </row>
    <row r="1722" spans="1:3" ht="12.45" x14ac:dyDescent="0.3">
      <c r="A1722" s="7"/>
      <c r="B1722" s="7"/>
      <c r="C1722" s="7"/>
    </row>
    <row r="1723" spans="1:3" ht="12.45" x14ac:dyDescent="0.3">
      <c r="A1723" s="7"/>
      <c r="B1723" s="7"/>
      <c r="C1723" s="7"/>
    </row>
    <row r="1724" spans="1:3" ht="12.45" x14ac:dyDescent="0.3">
      <c r="A1724" s="7"/>
      <c r="B1724" s="7"/>
      <c r="C1724" s="7"/>
    </row>
    <row r="1725" spans="1:3" ht="12.45" x14ac:dyDescent="0.3">
      <c r="A1725" s="7"/>
      <c r="B1725" s="7"/>
      <c r="C1725" s="7"/>
    </row>
    <row r="1726" spans="1:3" ht="12.45" x14ac:dyDescent="0.3">
      <c r="A1726" s="7"/>
      <c r="B1726" s="7"/>
      <c r="C1726" s="7"/>
    </row>
    <row r="1727" spans="1:3" ht="12.45" x14ac:dyDescent="0.3">
      <c r="A1727" s="7"/>
      <c r="B1727" s="7"/>
      <c r="C1727" s="7"/>
    </row>
    <row r="1728" spans="1:3" ht="12.45" x14ac:dyDescent="0.3">
      <c r="A1728" s="7"/>
      <c r="B1728" s="7"/>
      <c r="C1728" s="7"/>
    </row>
    <row r="1729" spans="1:3" ht="12.45" x14ac:dyDescent="0.3">
      <c r="A1729" s="7"/>
      <c r="B1729" s="7"/>
      <c r="C1729" s="7"/>
    </row>
    <row r="1730" spans="1:3" ht="12.45" x14ac:dyDescent="0.3">
      <c r="A1730" s="7"/>
      <c r="B1730" s="7"/>
      <c r="C1730" s="7"/>
    </row>
    <row r="1731" spans="1:3" ht="12.45" x14ac:dyDescent="0.3">
      <c r="A1731" s="7"/>
      <c r="B1731" s="7"/>
      <c r="C1731" s="7"/>
    </row>
    <row r="1732" spans="1:3" ht="12.45" x14ac:dyDescent="0.3">
      <c r="A1732" s="7"/>
      <c r="B1732" s="7"/>
      <c r="C1732" s="7"/>
    </row>
    <row r="1733" spans="1:3" ht="12.45" x14ac:dyDescent="0.3">
      <c r="A1733" s="7"/>
      <c r="B1733" s="7"/>
      <c r="C1733" s="7"/>
    </row>
    <row r="1734" spans="1:3" ht="12.45" x14ac:dyDescent="0.3">
      <c r="A1734" s="7"/>
      <c r="B1734" s="7"/>
      <c r="C1734" s="7"/>
    </row>
    <row r="1735" spans="1:3" ht="12.45" x14ac:dyDescent="0.3">
      <c r="A1735" s="7"/>
      <c r="B1735" s="7"/>
      <c r="C1735" s="7"/>
    </row>
    <row r="1736" spans="1:3" ht="12.45" x14ac:dyDescent="0.3">
      <c r="A1736" s="7"/>
      <c r="B1736" s="7"/>
      <c r="C1736" s="7"/>
    </row>
    <row r="1737" spans="1:3" ht="12.45" x14ac:dyDescent="0.3">
      <c r="A1737" s="7"/>
      <c r="B1737" s="7"/>
      <c r="C1737" s="7"/>
    </row>
    <row r="1738" spans="1:3" ht="12.45" x14ac:dyDescent="0.3">
      <c r="A1738" s="7"/>
      <c r="B1738" s="7"/>
      <c r="C1738" s="7"/>
    </row>
    <row r="1739" spans="1:3" ht="12.45" x14ac:dyDescent="0.3">
      <c r="A1739" s="7"/>
      <c r="B1739" s="7"/>
      <c r="C1739" s="7"/>
    </row>
    <row r="1740" spans="1:3" ht="12.45" x14ac:dyDescent="0.3">
      <c r="A1740" s="7"/>
      <c r="B1740" s="7"/>
      <c r="C1740" s="7"/>
    </row>
    <row r="1741" spans="1:3" ht="12.45" x14ac:dyDescent="0.3">
      <c r="A1741" s="7"/>
      <c r="B1741" s="7"/>
      <c r="C1741" s="7"/>
    </row>
    <row r="1742" spans="1:3" ht="12.45" x14ac:dyDescent="0.3">
      <c r="A1742" s="7"/>
      <c r="B1742" s="7"/>
      <c r="C1742" s="7"/>
    </row>
    <row r="1743" spans="1:3" ht="12.45" x14ac:dyDescent="0.3">
      <c r="A1743" s="7"/>
      <c r="B1743" s="7"/>
      <c r="C1743" s="7"/>
    </row>
    <row r="1744" spans="1:3" ht="12.45" x14ac:dyDescent="0.3">
      <c r="A1744" s="7"/>
      <c r="B1744" s="7"/>
      <c r="C1744" s="7"/>
    </row>
    <row r="1745" spans="1:3" ht="12.45" x14ac:dyDescent="0.3">
      <c r="A1745" s="7"/>
      <c r="B1745" s="7"/>
      <c r="C1745" s="7"/>
    </row>
    <row r="1746" spans="1:3" ht="12.45" x14ac:dyDescent="0.3">
      <c r="A1746" s="7"/>
      <c r="B1746" s="7"/>
      <c r="C1746" s="7"/>
    </row>
    <row r="1747" spans="1:3" ht="12.45" x14ac:dyDescent="0.3">
      <c r="A1747" s="7"/>
      <c r="B1747" s="7"/>
      <c r="C1747" s="7"/>
    </row>
    <row r="1748" spans="1:3" ht="12.45" x14ac:dyDescent="0.3">
      <c r="A1748" s="7"/>
      <c r="B1748" s="7"/>
      <c r="C1748" s="7"/>
    </row>
    <row r="1749" spans="1:3" ht="12.45" x14ac:dyDescent="0.3">
      <c r="A1749" s="7"/>
      <c r="B1749" s="7"/>
      <c r="C1749" s="7"/>
    </row>
    <row r="1750" spans="1:3" ht="12.45" x14ac:dyDescent="0.3">
      <c r="A1750" s="7"/>
      <c r="B1750" s="7"/>
      <c r="C1750" s="7"/>
    </row>
    <row r="1751" spans="1:3" ht="12.45" x14ac:dyDescent="0.3">
      <c r="A1751" s="7"/>
      <c r="B1751" s="7"/>
      <c r="C1751" s="7"/>
    </row>
    <row r="1752" spans="1:3" ht="12.45" x14ac:dyDescent="0.3">
      <c r="A1752" s="7"/>
      <c r="B1752" s="7"/>
      <c r="C1752" s="7"/>
    </row>
    <row r="1753" spans="1:3" ht="12.45" x14ac:dyDescent="0.3">
      <c r="A1753" s="7"/>
      <c r="B1753" s="7"/>
      <c r="C1753" s="7"/>
    </row>
    <row r="1754" spans="1:3" ht="12.45" x14ac:dyDescent="0.3">
      <c r="A1754" s="7"/>
      <c r="B1754" s="7"/>
      <c r="C1754" s="7"/>
    </row>
    <row r="1755" spans="1:3" ht="12.45" x14ac:dyDescent="0.3">
      <c r="A1755" s="7"/>
      <c r="B1755" s="7"/>
      <c r="C1755" s="7"/>
    </row>
    <row r="1756" spans="1:3" ht="12.45" x14ac:dyDescent="0.3">
      <c r="A1756" s="7"/>
      <c r="B1756" s="7"/>
      <c r="C1756" s="7"/>
    </row>
    <row r="1757" spans="1:3" ht="12.45" x14ac:dyDescent="0.3">
      <c r="A1757" s="7"/>
      <c r="B1757" s="7"/>
      <c r="C1757" s="7"/>
    </row>
    <row r="1758" spans="1:3" ht="12.45" x14ac:dyDescent="0.3">
      <c r="A1758" s="7"/>
      <c r="B1758" s="7"/>
      <c r="C1758" s="7"/>
    </row>
    <row r="1759" spans="1:3" ht="12.45" x14ac:dyDescent="0.3">
      <c r="A1759" s="7"/>
      <c r="B1759" s="7"/>
      <c r="C1759" s="7"/>
    </row>
    <row r="1760" spans="1:3" ht="12.45" x14ac:dyDescent="0.3">
      <c r="A1760" s="7"/>
      <c r="B1760" s="7"/>
      <c r="C1760" s="7"/>
    </row>
    <row r="1761" spans="1:3" ht="12.45" x14ac:dyDescent="0.3">
      <c r="A1761" s="7"/>
      <c r="B1761" s="7"/>
      <c r="C1761" s="7"/>
    </row>
    <row r="1762" spans="1:3" ht="12.45" x14ac:dyDescent="0.3">
      <c r="A1762" s="7"/>
      <c r="B1762" s="7"/>
      <c r="C1762" s="7"/>
    </row>
    <row r="1763" spans="1:3" ht="12.45" x14ac:dyDescent="0.3">
      <c r="A1763" s="7"/>
      <c r="B1763" s="7"/>
      <c r="C1763" s="7"/>
    </row>
    <row r="1764" spans="1:3" ht="12.45" x14ac:dyDescent="0.3">
      <c r="A1764" s="7"/>
      <c r="B1764" s="7"/>
      <c r="C1764" s="7"/>
    </row>
    <row r="1765" spans="1:3" ht="12.45" x14ac:dyDescent="0.3">
      <c r="A1765" s="7"/>
      <c r="B1765" s="7"/>
      <c r="C1765" s="7"/>
    </row>
    <row r="1766" spans="1:3" ht="12.45" x14ac:dyDescent="0.3">
      <c r="A1766" s="7"/>
      <c r="B1766" s="7"/>
      <c r="C1766" s="7"/>
    </row>
    <row r="1767" spans="1:3" ht="12.45" x14ac:dyDescent="0.3">
      <c r="A1767" s="7"/>
      <c r="B1767" s="7"/>
      <c r="C1767" s="7"/>
    </row>
    <row r="1768" spans="1:3" ht="12.45" x14ac:dyDescent="0.3">
      <c r="A1768" s="7"/>
      <c r="B1768" s="7"/>
      <c r="C1768" s="7"/>
    </row>
    <row r="1769" spans="1:3" ht="12.45" x14ac:dyDescent="0.3">
      <c r="A1769" s="7"/>
      <c r="B1769" s="7"/>
      <c r="C1769" s="7"/>
    </row>
    <row r="1770" spans="1:3" ht="12.45" x14ac:dyDescent="0.3">
      <c r="A1770" s="7"/>
      <c r="B1770" s="7"/>
      <c r="C1770" s="7"/>
    </row>
    <row r="1771" spans="1:3" ht="12.45" x14ac:dyDescent="0.3">
      <c r="A1771" s="7"/>
      <c r="B1771" s="7"/>
      <c r="C1771" s="7"/>
    </row>
    <row r="1772" spans="1:3" ht="12.45" x14ac:dyDescent="0.3">
      <c r="A1772" s="7"/>
      <c r="B1772" s="7"/>
      <c r="C1772" s="7"/>
    </row>
    <row r="1773" spans="1:3" ht="12.45" x14ac:dyDescent="0.3">
      <c r="A1773" s="7"/>
      <c r="B1773" s="7"/>
      <c r="C1773" s="7"/>
    </row>
    <row r="1774" spans="1:3" ht="12.45" x14ac:dyDescent="0.3">
      <c r="A1774" s="7"/>
      <c r="B1774" s="7"/>
      <c r="C1774" s="7"/>
    </row>
    <row r="1775" spans="1:3" ht="12.45" x14ac:dyDescent="0.3">
      <c r="A1775" s="7"/>
      <c r="B1775" s="7"/>
      <c r="C1775" s="7"/>
    </row>
    <row r="1776" spans="1:3" ht="12.45" x14ac:dyDescent="0.3">
      <c r="A1776" s="7"/>
      <c r="B1776" s="7"/>
      <c r="C1776" s="7"/>
    </row>
    <row r="1777" spans="1:3" ht="12.45" x14ac:dyDescent="0.3">
      <c r="A1777" s="7"/>
      <c r="B1777" s="7"/>
      <c r="C1777" s="7"/>
    </row>
    <row r="1778" spans="1:3" ht="12.45" x14ac:dyDescent="0.3">
      <c r="A1778" s="7"/>
      <c r="B1778" s="7"/>
      <c r="C1778" s="7"/>
    </row>
    <row r="1779" spans="1:3" ht="12.45" x14ac:dyDescent="0.3">
      <c r="A1779" s="7"/>
      <c r="B1779" s="7"/>
      <c r="C1779" s="7"/>
    </row>
    <row r="1780" spans="1:3" ht="12.45" x14ac:dyDescent="0.3">
      <c r="A1780" s="7"/>
      <c r="B1780" s="7"/>
      <c r="C1780" s="7"/>
    </row>
    <row r="1781" spans="1:3" ht="12.45" x14ac:dyDescent="0.3">
      <c r="A1781" s="7"/>
      <c r="B1781" s="7"/>
      <c r="C1781" s="7"/>
    </row>
    <row r="1782" spans="1:3" ht="12.45" x14ac:dyDescent="0.3">
      <c r="A1782" s="7"/>
      <c r="B1782" s="7"/>
      <c r="C1782" s="7"/>
    </row>
    <row r="1783" spans="1:3" ht="12.45" x14ac:dyDescent="0.3">
      <c r="A1783" s="7"/>
      <c r="B1783" s="7"/>
      <c r="C1783" s="7"/>
    </row>
    <row r="1784" spans="1:3" ht="12.45" x14ac:dyDescent="0.3">
      <c r="A1784" s="7"/>
      <c r="B1784" s="7"/>
      <c r="C1784" s="7"/>
    </row>
    <row r="1785" spans="1:3" ht="12.45" x14ac:dyDescent="0.3">
      <c r="A1785" s="7"/>
      <c r="B1785" s="7"/>
      <c r="C1785" s="7"/>
    </row>
    <row r="1786" spans="1:3" ht="12.45" x14ac:dyDescent="0.3">
      <c r="A1786" s="7"/>
      <c r="B1786" s="7"/>
      <c r="C1786" s="7"/>
    </row>
    <row r="1787" spans="1:3" ht="12.45" x14ac:dyDescent="0.3">
      <c r="A1787" s="7"/>
      <c r="B1787" s="7"/>
      <c r="C1787" s="7"/>
    </row>
    <row r="1788" spans="1:3" ht="12.45" x14ac:dyDescent="0.3">
      <c r="A1788" s="7"/>
      <c r="B1788" s="7"/>
      <c r="C1788" s="7"/>
    </row>
    <row r="1789" spans="1:3" ht="12.45" x14ac:dyDescent="0.3">
      <c r="A1789" s="7"/>
      <c r="B1789" s="7"/>
      <c r="C1789" s="7"/>
    </row>
    <row r="1790" spans="1:3" ht="12.45" x14ac:dyDescent="0.3">
      <c r="A1790" s="7"/>
      <c r="B1790" s="7"/>
      <c r="C1790" s="7"/>
    </row>
    <row r="1791" spans="1:3" ht="12.45" x14ac:dyDescent="0.3">
      <c r="A1791" s="7"/>
      <c r="B1791" s="7"/>
      <c r="C1791" s="7"/>
    </row>
    <row r="1792" spans="1:3" ht="12.45" x14ac:dyDescent="0.3">
      <c r="A1792" s="7"/>
      <c r="B1792" s="7"/>
      <c r="C1792" s="7"/>
    </row>
    <row r="1793" spans="1:3" ht="12.45" x14ac:dyDescent="0.3">
      <c r="A1793" s="7"/>
      <c r="B1793" s="7"/>
      <c r="C1793" s="7"/>
    </row>
    <row r="1794" spans="1:3" ht="12.45" x14ac:dyDescent="0.3">
      <c r="A1794" s="7"/>
      <c r="B1794" s="7"/>
      <c r="C1794" s="7"/>
    </row>
    <row r="1795" spans="1:3" ht="12.45" x14ac:dyDescent="0.3">
      <c r="A1795" s="7"/>
      <c r="B1795" s="7"/>
      <c r="C1795" s="7"/>
    </row>
    <row r="1796" spans="1:3" ht="12.45" x14ac:dyDescent="0.3">
      <c r="A1796" s="7"/>
      <c r="B1796" s="7"/>
      <c r="C1796" s="7"/>
    </row>
    <row r="1797" spans="1:3" ht="12.45" x14ac:dyDescent="0.3">
      <c r="A1797" s="7"/>
      <c r="B1797" s="7"/>
      <c r="C1797" s="7"/>
    </row>
    <row r="1798" spans="1:3" ht="12.45" x14ac:dyDescent="0.3">
      <c r="A1798" s="7"/>
      <c r="B1798" s="7"/>
      <c r="C1798" s="7"/>
    </row>
    <row r="1799" spans="1:3" ht="12.45" x14ac:dyDescent="0.3">
      <c r="A1799" s="7"/>
      <c r="B1799" s="7"/>
      <c r="C1799" s="7"/>
    </row>
    <row r="1800" spans="1:3" ht="12.45" x14ac:dyDescent="0.3">
      <c r="A1800" s="7"/>
      <c r="B1800" s="7"/>
      <c r="C1800" s="7"/>
    </row>
    <row r="1801" spans="1:3" ht="12.45" x14ac:dyDescent="0.3">
      <c r="A1801" s="7"/>
      <c r="B1801" s="7"/>
      <c r="C1801" s="7"/>
    </row>
    <row r="1802" spans="1:3" ht="12.45" x14ac:dyDescent="0.3">
      <c r="A1802" s="7"/>
      <c r="B1802" s="7"/>
      <c r="C1802" s="7"/>
    </row>
    <row r="1803" spans="1:3" ht="12.45" x14ac:dyDescent="0.3">
      <c r="A1803" s="7"/>
      <c r="B1803" s="7"/>
      <c r="C1803" s="7"/>
    </row>
    <row r="1804" spans="1:3" ht="12.45" x14ac:dyDescent="0.3">
      <c r="A1804" s="7"/>
      <c r="B1804" s="7"/>
      <c r="C1804" s="7"/>
    </row>
    <row r="1805" spans="1:3" ht="12.45" x14ac:dyDescent="0.3">
      <c r="A1805" s="7"/>
      <c r="B1805" s="7"/>
      <c r="C1805" s="7"/>
    </row>
    <row r="1806" spans="1:3" ht="12.45" x14ac:dyDescent="0.3">
      <c r="A1806" s="7"/>
      <c r="B1806" s="7"/>
      <c r="C1806" s="7"/>
    </row>
    <row r="1807" spans="1:3" ht="12.45" x14ac:dyDescent="0.3">
      <c r="A1807" s="7"/>
      <c r="B1807" s="7"/>
      <c r="C1807" s="7"/>
    </row>
    <row r="1808" spans="1:3" ht="12.45" x14ac:dyDescent="0.3">
      <c r="A1808" s="7"/>
      <c r="B1808" s="7"/>
      <c r="C1808" s="7"/>
    </row>
    <row r="1809" spans="1:3" ht="12.45" x14ac:dyDescent="0.3">
      <c r="A1809" s="7"/>
      <c r="B1809" s="7"/>
      <c r="C1809" s="7"/>
    </row>
    <row r="1810" spans="1:3" ht="12.45" x14ac:dyDescent="0.3">
      <c r="A1810" s="7"/>
      <c r="B1810" s="7"/>
      <c r="C1810" s="7"/>
    </row>
    <row r="1811" spans="1:3" ht="12.45" x14ac:dyDescent="0.3">
      <c r="A1811" s="7"/>
      <c r="B1811" s="7"/>
      <c r="C1811" s="7"/>
    </row>
    <row r="1812" spans="1:3" ht="12.45" x14ac:dyDescent="0.3">
      <c r="A1812" s="7"/>
      <c r="B1812" s="7"/>
      <c r="C1812" s="7"/>
    </row>
    <row r="1813" spans="1:3" ht="12.45" x14ac:dyDescent="0.3">
      <c r="A1813" s="7"/>
      <c r="B1813" s="7"/>
      <c r="C1813" s="7"/>
    </row>
    <row r="1814" spans="1:3" ht="12.45" x14ac:dyDescent="0.3">
      <c r="A1814" s="7"/>
      <c r="B1814" s="7"/>
      <c r="C1814" s="7"/>
    </row>
    <row r="1815" spans="1:3" ht="12.45" x14ac:dyDescent="0.3">
      <c r="A1815" s="7"/>
      <c r="B1815" s="7"/>
      <c r="C1815" s="7"/>
    </row>
    <row r="1816" spans="1:3" ht="12.45" x14ac:dyDescent="0.3">
      <c r="A1816" s="7"/>
      <c r="B1816" s="7"/>
      <c r="C1816" s="7"/>
    </row>
    <row r="1817" spans="1:3" ht="12.45" x14ac:dyDescent="0.3">
      <c r="A1817" s="7"/>
      <c r="B1817" s="7"/>
      <c r="C1817" s="7"/>
    </row>
    <row r="1818" spans="1:3" ht="12.45" x14ac:dyDescent="0.3">
      <c r="A1818" s="7"/>
      <c r="B1818" s="7"/>
      <c r="C1818" s="7"/>
    </row>
    <row r="1819" spans="1:3" ht="12.45" x14ac:dyDescent="0.3">
      <c r="A1819" s="7"/>
      <c r="B1819" s="7"/>
      <c r="C1819" s="7"/>
    </row>
    <row r="1820" spans="1:3" ht="12.45" x14ac:dyDescent="0.3">
      <c r="A1820" s="7"/>
      <c r="B1820" s="7"/>
      <c r="C1820" s="7"/>
    </row>
    <row r="1821" spans="1:3" ht="12.45" x14ac:dyDescent="0.3">
      <c r="A1821" s="7"/>
      <c r="B1821" s="7"/>
      <c r="C1821" s="7"/>
    </row>
    <row r="1822" spans="1:3" ht="12.45" x14ac:dyDescent="0.3">
      <c r="A1822" s="7"/>
      <c r="B1822" s="7"/>
      <c r="C1822" s="7"/>
    </row>
    <row r="1823" spans="1:3" ht="12.45" x14ac:dyDescent="0.3">
      <c r="A1823" s="7"/>
      <c r="B1823" s="7"/>
      <c r="C1823" s="7"/>
    </row>
    <row r="1824" spans="1:3" ht="12.45" x14ac:dyDescent="0.3">
      <c r="A1824" s="7"/>
      <c r="B1824" s="7"/>
      <c r="C1824" s="7"/>
    </row>
    <row r="1825" spans="1:3" ht="12.45" x14ac:dyDescent="0.3">
      <c r="A1825" s="7"/>
      <c r="B1825" s="7"/>
      <c r="C1825" s="7"/>
    </row>
    <row r="1826" spans="1:3" ht="12.45" x14ac:dyDescent="0.3">
      <c r="A1826" s="7"/>
      <c r="B1826" s="7"/>
      <c r="C1826" s="7"/>
    </row>
    <row r="1827" spans="1:3" ht="12.45" x14ac:dyDescent="0.3">
      <c r="A1827" s="7"/>
      <c r="B1827" s="7"/>
      <c r="C1827" s="7"/>
    </row>
    <row r="1828" spans="1:3" ht="12.45" x14ac:dyDescent="0.3">
      <c r="A1828" s="7"/>
      <c r="B1828" s="7"/>
      <c r="C1828" s="7"/>
    </row>
    <row r="1829" spans="1:3" ht="12.45" x14ac:dyDescent="0.3">
      <c r="A1829" s="7"/>
      <c r="B1829" s="7"/>
      <c r="C1829" s="7"/>
    </row>
    <row r="1830" spans="1:3" ht="12.45" x14ac:dyDescent="0.3">
      <c r="A1830" s="7"/>
      <c r="B1830" s="7"/>
      <c r="C1830" s="7"/>
    </row>
    <row r="1831" spans="1:3" ht="12.45" x14ac:dyDescent="0.3">
      <c r="A1831" s="7"/>
      <c r="B1831" s="7"/>
      <c r="C1831" s="7"/>
    </row>
    <row r="1832" spans="1:3" ht="12.45" x14ac:dyDescent="0.3">
      <c r="A1832" s="7"/>
      <c r="B1832" s="7"/>
      <c r="C1832" s="7"/>
    </row>
    <row r="1833" spans="1:3" ht="12.45" x14ac:dyDescent="0.3">
      <c r="A1833" s="7"/>
      <c r="B1833" s="7"/>
      <c r="C1833" s="7"/>
    </row>
    <row r="1834" spans="1:3" ht="12.45" x14ac:dyDescent="0.3">
      <c r="A1834" s="7"/>
      <c r="B1834" s="7"/>
      <c r="C1834" s="7"/>
    </row>
    <row r="1835" spans="1:3" ht="12.45" x14ac:dyDescent="0.3">
      <c r="A1835" s="7"/>
      <c r="B1835" s="7"/>
      <c r="C1835" s="7"/>
    </row>
    <row r="1836" spans="1:3" ht="12.45" x14ac:dyDescent="0.3">
      <c r="A1836" s="7"/>
      <c r="B1836" s="7"/>
      <c r="C1836" s="7"/>
    </row>
    <row r="1837" spans="1:3" ht="12.45" x14ac:dyDescent="0.3">
      <c r="A1837" s="7"/>
      <c r="B1837" s="7"/>
      <c r="C1837" s="7"/>
    </row>
    <row r="1838" spans="1:3" ht="12.45" x14ac:dyDescent="0.3">
      <c r="A1838" s="7"/>
      <c r="B1838" s="7"/>
      <c r="C1838" s="7"/>
    </row>
    <row r="1839" spans="1:3" ht="12.45" x14ac:dyDescent="0.3">
      <c r="A1839" s="7"/>
      <c r="B1839" s="7"/>
      <c r="C1839" s="7"/>
    </row>
    <row r="1840" spans="1:3" ht="12.45" x14ac:dyDescent="0.3">
      <c r="A1840" s="7"/>
      <c r="B1840" s="7"/>
      <c r="C1840" s="7"/>
    </row>
    <row r="1841" spans="1:3" ht="12.45" x14ac:dyDescent="0.3">
      <c r="A1841" s="7"/>
      <c r="B1841" s="7"/>
      <c r="C1841" s="7"/>
    </row>
    <row r="1842" spans="1:3" ht="12.45" x14ac:dyDescent="0.3">
      <c r="A1842" s="7"/>
      <c r="B1842" s="7"/>
      <c r="C1842" s="7"/>
    </row>
    <row r="1843" spans="1:3" ht="12.45" x14ac:dyDescent="0.3">
      <c r="A1843" s="7"/>
      <c r="B1843" s="7"/>
      <c r="C1843" s="7"/>
    </row>
    <row r="1844" spans="1:3" ht="12.45" x14ac:dyDescent="0.3">
      <c r="A1844" s="7"/>
      <c r="B1844" s="7"/>
      <c r="C1844" s="7"/>
    </row>
    <row r="1845" spans="1:3" ht="12.45" x14ac:dyDescent="0.3">
      <c r="A1845" s="7"/>
      <c r="B1845" s="7"/>
      <c r="C1845" s="7"/>
    </row>
    <row r="1846" spans="1:3" ht="12.45" x14ac:dyDescent="0.3">
      <c r="A1846" s="7"/>
      <c r="B1846" s="7"/>
      <c r="C1846" s="7"/>
    </row>
    <row r="1847" spans="1:3" ht="12.45" x14ac:dyDescent="0.3">
      <c r="A1847" s="7"/>
      <c r="B1847" s="7"/>
      <c r="C1847" s="7"/>
    </row>
    <row r="1848" spans="1:3" ht="12.45" x14ac:dyDescent="0.3">
      <c r="A1848" s="7"/>
      <c r="B1848" s="7"/>
      <c r="C1848" s="7"/>
    </row>
    <row r="1849" spans="1:3" ht="12.45" x14ac:dyDescent="0.3">
      <c r="A1849" s="7"/>
      <c r="B1849" s="7"/>
      <c r="C1849" s="7"/>
    </row>
    <row r="1850" spans="1:3" ht="12.45" x14ac:dyDescent="0.3">
      <c r="A1850" s="7"/>
      <c r="B1850" s="7"/>
      <c r="C1850" s="7"/>
    </row>
    <row r="1851" spans="1:3" ht="12.45" x14ac:dyDescent="0.3">
      <c r="A1851" s="7"/>
      <c r="B1851" s="7"/>
      <c r="C1851" s="7"/>
    </row>
    <row r="1852" spans="1:3" ht="12.45" x14ac:dyDescent="0.3">
      <c r="A1852" s="7"/>
      <c r="B1852" s="7"/>
      <c r="C1852" s="7"/>
    </row>
    <row r="1853" spans="1:3" ht="12.45" x14ac:dyDescent="0.3">
      <c r="A1853" s="7"/>
      <c r="B1853" s="7"/>
      <c r="C1853" s="7"/>
    </row>
    <row r="1854" spans="1:3" ht="12.45" x14ac:dyDescent="0.3">
      <c r="A1854" s="7"/>
      <c r="B1854" s="7"/>
      <c r="C1854" s="7"/>
    </row>
    <row r="1855" spans="1:3" ht="12.45" x14ac:dyDescent="0.3">
      <c r="A1855" s="7"/>
      <c r="B1855" s="7"/>
      <c r="C1855" s="7"/>
    </row>
    <row r="1856" spans="1:3" ht="12.45" x14ac:dyDescent="0.3">
      <c r="A1856" s="7"/>
      <c r="B1856" s="7"/>
      <c r="C1856" s="7"/>
    </row>
    <row r="1857" spans="1:3" ht="12.45" x14ac:dyDescent="0.3">
      <c r="A1857" s="7"/>
      <c r="B1857" s="7"/>
      <c r="C1857" s="7"/>
    </row>
    <row r="1858" spans="1:3" ht="12.45" x14ac:dyDescent="0.3">
      <c r="A1858" s="7"/>
      <c r="B1858" s="7"/>
      <c r="C1858" s="7"/>
    </row>
    <row r="1859" spans="1:3" ht="12.45" x14ac:dyDescent="0.3">
      <c r="A1859" s="7"/>
      <c r="B1859" s="7"/>
      <c r="C1859" s="7"/>
    </row>
    <row r="1860" spans="1:3" ht="12.45" x14ac:dyDescent="0.3">
      <c r="A1860" s="7"/>
      <c r="B1860" s="7"/>
      <c r="C1860" s="7"/>
    </row>
    <row r="1861" spans="1:3" ht="12.45" x14ac:dyDescent="0.3">
      <c r="A1861" s="7"/>
      <c r="B1861" s="7"/>
      <c r="C1861" s="7"/>
    </row>
    <row r="1862" spans="1:3" ht="12.45" x14ac:dyDescent="0.3">
      <c r="A1862" s="7"/>
      <c r="B1862" s="7"/>
      <c r="C1862" s="7"/>
    </row>
    <row r="1863" spans="1:3" ht="12.45" x14ac:dyDescent="0.3">
      <c r="A1863" s="7"/>
      <c r="B1863" s="7"/>
      <c r="C1863" s="7"/>
    </row>
    <row r="1864" spans="1:3" ht="12.45" x14ac:dyDescent="0.3">
      <c r="A1864" s="7"/>
      <c r="B1864" s="7"/>
      <c r="C1864" s="7"/>
    </row>
    <row r="1865" spans="1:3" ht="12.45" x14ac:dyDescent="0.3">
      <c r="A1865" s="7"/>
      <c r="B1865" s="7"/>
      <c r="C1865" s="7"/>
    </row>
    <row r="1866" spans="1:3" ht="12.45" x14ac:dyDescent="0.3">
      <c r="A1866" s="7"/>
      <c r="B1866" s="7"/>
      <c r="C1866" s="7"/>
    </row>
    <row r="1867" spans="1:3" ht="12.45" x14ac:dyDescent="0.3">
      <c r="A1867" s="7"/>
      <c r="B1867" s="7"/>
      <c r="C1867" s="7"/>
    </row>
    <row r="1868" spans="1:3" ht="12.45" x14ac:dyDescent="0.3">
      <c r="A1868" s="7"/>
      <c r="B1868" s="7"/>
      <c r="C1868" s="7"/>
    </row>
    <row r="1869" spans="1:3" ht="12.45" x14ac:dyDescent="0.3">
      <c r="A1869" s="7"/>
      <c r="B1869" s="7"/>
      <c r="C1869" s="7"/>
    </row>
    <row r="1870" spans="1:3" ht="12.45" x14ac:dyDescent="0.3">
      <c r="A1870" s="7"/>
      <c r="B1870" s="7"/>
      <c r="C1870" s="7"/>
    </row>
    <row r="1871" spans="1:3" ht="12.45" x14ac:dyDescent="0.3">
      <c r="A1871" s="7"/>
      <c r="B1871" s="7"/>
      <c r="C1871" s="7"/>
    </row>
    <row r="1872" spans="1:3" ht="12.45" x14ac:dyDescent="0.3">
      <c r="A1872" s="7"/>
      <c r="B1872" s="7"/>
      <c r="C1872" s="7"/>
    </row>
    <row r="1873" spans="1:3" ht="12.45" x14ac:dyDescent="0.3">
      <c r="A1873" s="7"/>
      <c r="B1873" s="7"/>
      <c r="C1873" s="7"/>
    </row>
    <row r="1874" spans="1:3" ht="12.45" x14ac:dyDescent="0.3">
      <c r="A1874" s="7"/>
      <c r="B1874" s="7"/>
      <c r="C1874" s="7"/>
    </row>
    <row r="1875" spans="1:3" ht="12.45" x14ac:dyDescent="0.3">
      <c r="A1875" s="7"/>
      <c r="B1875" s="7"/>
      <c r="C1875" s="7"/>
    </row>
    <row r="1876" spans="1:3" ht="12.45" x14ac:dyDescent="0.3">
      <c r="A1876" s="7"/>
      <c r="B1876" s="7"/>
      <c r="C1876" s="7"/>
    </row>
    <row r="1877" spans="1:3" ht="12.45" x14ac:dyDescent="0.3">
      <c r="A1877" s="7"/>
      <c r="B1877" s="7"/>
      <c r="C1877" s="7"/>
    </row>
    <row r="1878" spans="1:3" ht="12.45" x14ac:dyDescent="0.3">
      <c r="A1878" s="7"/>
      <c r="B1878" s="7"/>
      <c r="C1878" s="7"/>
    </row>
    <row r="1879" spans="1:3" ht="12.45" x14ac:dyDescent="0.3">
      <c r="A1879" s="7"/>
      <c r="B1879" s="7"/>
      <c r="C1879" s="7"/>
    </row>
    <row r="1880" spans="1:3" ht="12.45" x14ac:dyDescent="0.3">
      <c r="A1880" s="7"/>
      <c r="B1880" s="7"/>
      <c r="C1880" s="7"/>
    </row>
    <row r="1881" spans="1:3" ht="12.45" x14ac:dyDescent="0.3">
      <c r="A1881" s="7"/>
      <c r="B1881" s="7"/>
      <c r="C1881" s="7"/>
    </row>
    <row r="1882" spans="1:3" ht="12.45" x14ac:dyDescent="0.3">
      <c r="A1882" s="7"/>
      <c r="B1882" s="7"/>
      <c r="C1882" s="7"/>
    </row>
    <row r="1883" spans="1:3" ht="12.45" x14ac:dyDescent="0.3">
      <c r="A1883" s="7"/>
      <c r="B1883" s="7"/>
      <c r="C1883" s="7"/>
    </row>
    <row r="1884" spans="1:3" ht="12.45" x14ac:dyDescent="0.3">
      <c r="A1884" s="7"/>
      <c r="B1884" s="7"/>
      <c r="C1884" s="7"/>
    </row>
    <row r="1885" spans="1:3" ht="12.45" x14ac:dyDescent="0.3">
      <c r="A1885" s="7"/>
      <c r="B1885" s="7"/>
      <c r="C1885" s="7"/>
    </row>
    <row r="1886" spans="1:3" ht="12.45" x14ac:dyDescent="0.3">
      <c r="A1886" s="7"/>
      <c r="B1886" s="7"/>
      <c r="C1886" s="7"/>
    </row>
    <row r="1887" spans="1:3" ht="12.45" x14ac:dyDescent="0.3">
      <c r="A1887" s="7"/>
      <c r="B1887" s="7"/>
      <c r="C1887" s="7"/>
    </row>
    <row r="1888" spans="1:3" ht="12.45" x14ac:dyDescent="0.3">
      <c r="A1888" s="7"/>
      <c r="B1888" s="7"/>
      <c r="C1888" s="7"/>
    </row>
    <row r="1889" spans="1:3" ht="12.45" x14ac:dyDescent="0.3">
      <c r="A1889" s="7"/>
      <c r="B1889" s="7"/>
      <c r="C1889" s="7"/>
    </row>
    <row r="1890" spans="1:3" ht="12.45" x14ac:dyDescent="0.3">
      <c r="A1890" s="7"/>
      <c r="B1890" s="7"/>
      <c r="C1890" s="7"/>
    </row>
    <row r="1891" spans="1:3" ht="12.45" x14ac:dyDescent="0.3">
      <c r="A1891" s="7"/>
      <c r="B1891" s="7"/>
      <c r="C1891" s="7"/>
    </row>
    <row r="1892" spans="1:3" ht="12.45" x14ac:dyDescent="0.3">
      <c r="A1892" s="7"/>
      <c r="B1892" s="7"/>
      <c r="C1892" s="7"/>
    </row>
    <row r="1893" spans="1:3" ht="12.45" x14ac:dyDescent="0.3">
      <c r="A1893" s="7"/>
      <c r="B1893" s="7"/>
      <c r="C1893" s="7"/>
    </row>
    <row r="1894" spans="1:3" ht="12.45" x14ac:dyDescent="0.3">
      <c r="A1894" s="7"/>
      <c r="B1894" s="7"/>
      <c r="C1894" s="7"/>
    </row>
    <row r="1895" spans="1:3" ht="12.45" x14ac:dyDescent="0.3">
      <c r="A1895" s="7"/>
      <c r="B1895" s="7"/>
      <c r="C1895" s="7"/>
    </row>
    <row r="1896" spans="1:3" ht="12.45" x14ac:dyDescent="0.3">
      <c r="A1896" s="7"/>
      <c r="B1896" s="7"/>
      <c r="C1896" s="7"/>
    </row>
    <row r="1897" spans="1:3" ht="12.45" x14ac:dyDescent="0.3">
      <c r="A1897" s="7"/>
      <c r="B1897" s="7"/>
      <c r="C1897" s="7"/>
    </row>
    <row r="1898" spans="1:3" ht="12.45" x14ac:dyDescent="0.3">
      <c r="A1898" s="7"/>
      <c r="B1898" s="7"/>
      <c r="C1898" s="7"/>
    </row>
    <row r="1899" spans="1:3" ht="12.45" x14ac:dyDescent="0.3">
      <c r="A1899" s="7"/>
      <c r="B1899" s="7"/>
      <c r="C1899" s="7"/>
    </row>
    <row r="1900" spans="1:3" ht="12.45" x14ac:dyDescent="0.3">
      <c r="A1900" s="7"/>
      <c r="B1900" s="7"/>
      <c r="C1900" s="7"/>
    </row>
    <row r="1901" spans="1:3" ht="12.45" x14ac:dyDescent="0.3">
      <c r="A1901" s="7"/>
      <c r="B1901" s="7"/>
      <c r="C1901" s="7"/>
    </row>
    <row r="1902" spans="1:3" ht="12.45" x14ac:dyDescent="0.3">
      <c r="A1902" s="7"/>
      <c r="B1902" s="7"/>
      <c r="C1902" s="7"/>
    </row>
    <row r="1903" spans="1:3" ht="12.45" x14ac:dyDescent="0.3">
      <c r="A1903" s="7"/>
      <c r="B1903" s="7"/>
      <c r="C1903" s="7"/>
    </row>
    <row r="1904" spans="1:3" ht="12.45" x14ac:dyDescent="0.3">
      <c r="A1904" s="7"/>
      <c r="B1904" s="7"/>
      <c r="C1904" s="7"/>
    </row>
    <row r="1905" spans="1:3" ht="12.45" x14ac:dyDescent="0.3">
      <c r="A1905" s="7"/>
      <c r="B1905" s="7"/>
      <c r="C1905" s="7"/>
    </row>
    <row r="1906" spans="1:3" ht="12.45" x14ac:dyDescent="0.3">
      <c r="A1906" s="7"/>
      <c r="B1906" s="7"/>
      <c r="C1906" s="7"/>
    </row>
    <row r="1907" spans="1:3" ht="12.45" x14ac:dyDescent="0.3">
      <c r="A1907" s="7"/>
      <c r="B1907" s="7"/>
      <c r="C1907" s="7"/>
    </row>
    <row r="1908" spans="1:3" ht="12.45" x14ac:dyDescent="0.3">
      <c r="A1908" s="7"/>
      <c r="B1908" s="7"/>
      <c r="C1908" s="7"/>
    </row>
    <row r="1909" spans="1:3" ht="12.45" x14ac:dyDescent="0.3">
      <c r="A1909" s="7"/>
      <c r="B1909" s="7"/>
      <c r="C1909" s="7"/>
    </row>
    <row r="1910" spans="1:3" ht="12.45" x14ac:dyDescent="0.3">
      <c r="A1910" s="7"/>
      <c r="B1910" s="7"/>
      <c r="C1910" s="7"/>
    </row>
    <row r="1911" spans="1:3" ht="12.45" x14ac:dyDescent="0.3">
      <c r="A1911" s="7"/>
      <c r="B1911" s="7"/>
      <c r="C1911" s="7"/>
    </row>
    <row r="1912" spans="1:3" ht="12.45" x14ac:dyDescent="0.3">
      <c r="A1912" s="7"/>
      <c r="B1912" s="7"/>
      <c r="C1912" s="7"/>
    </row>
    <row r="1913" spans="1:3" ht="12.45" x14ac:dyDescent="0.3">
      <c r="A1913" s="7"/>
      <c r="B1913" s="7"/>
      <c r="C1913" s="7"/>
    </row>
    <row r="1914" spans="1:3" ht="12.45" x14ac:dyDescent="0.3">
      <c r="A1914" s="7"/>
      <c r="B1914" s="7"/>
      <c r="C1914" s="7"/>
    </row>
    <row r="1915" spans="1:3" ht="12.45" x14ac:dyDescent="0.3">
      <c r="A1915" s="7"/>
      <c r="B1915" s="7"/>
      <c r="C1915" s="7"/>
    </row>
    <row r="1916" spans="1:3" ht="12.45" x14ac:dyDescent="0.3">
      <c r="A1916" s="7"/>
      <c r="B1916" s="7"/>
      <c r="C1916" s="7"/>
    </row>
    <row r="1917" spans="1:3" ht="12.45" x14ac:dyDescent="0.3">
      <c r="A1917" s="7"/>
      <c r="B1917" s="7"/>
      <c r="C1917" s="7"/>
    </row>
    <row r="1918" spans="1:3" ht="12.45" x14ac:dyDescent="0.3">
      <c r="A1918" s="7"/>
      <c r="B1918" s="7"/>
      <c r="C1918" s="7"/>
    </row>
    <row r="1919" spans="1:3" ht="12.45" x14ac:dyDescent="0.3">
      <c r="A1919" s="7"/>
      <c r="B1919" s="7"/>
      <c r="C1919" s="7"/>
    </row>
    <row r="1920" spans="1:3" ht="12.45" x14ac:dyDescent="0.3">
      <c r="A1920" s="7"/>
      <c r="B1920" s="7"/>
      <c r="C1920" s="7"/>
    </row>
    <row r="1921" spans="1:3" ht="12.45" x14ac:dyDescent="0.3">
      <c r="A1921" s="7"/>
      <c r="B1921" s="7"/>
      <c r="C1921" s="7"/>
    </row>
    <row r="1922" spans="1:3" ht="12.45" x14ac:dyDescent="0.3">
      <c r="A1922" s="7"/>
      <c r="B1922" s="7"/>
      <c r="C1922" s="7"/>
    </row>
    <row r="1923" spans="1:3" ht="12.45" x14ac:dyDescent="0.3">
      <c r="A1923" s="7"/>
      <c r="B1923" s="7"/>
      <c r="C1923" s="7"/>
    </row>
    <row r="1924" spans="1:3" ht="12.45" x14ac:dyDescent="0.3">
      <c r="A1924" s="7"/>
      <c r="B1924" s="7"/>
      <c r="C1924" s="7"/>
    </row>
    <row r="1925" spans="1:3" ht="12.45" x14ac:dyDescent="0.3">
      <c r="A1925" s="7"/>
      <c r="B1925" s="7"/>
      <c r="C1925" s="7"/>
    </row>
    <row r="1926" spans="1:3" ht="12.45" x14ac:dyDescent="0.3">
      <c r="A1926" s="7"/>
      <c r="B1926" s="7"/>
      <c r="C1926" s="7"/>
    </row>
    <row r="1927" spans="1:3" ht="12.45" x14ac:dyDescent="0.3">
      <c r="A1927" s="7"/>
      <c r="B1927" s="7"/>
      <c r="C1927" s="7"/>
    </row>
    <row r="1928" spans="1:3" ht="12.45" x14ac:dyDescent="0.3">
      <c r="A1928" s="7"/>
      <c r="B1928" s="7"/>
      <c r="C1928" s="7"/>
    </row>
    <row r="1929" spans="1:3" ht="12.45" x14ac:dyDescent="0.3">
      <c r="A1929" s="7"/>
      <c r="B1929" s="7"/>
      <c r="C1929" s="7"/>
    </row>
    <row r="1930" spans="1:3" ht="12.45" x14ac:dyDescent="0.3">
      <c r="A1930" s="7"/>
      <c r="B1930" s="7"/>
      <c r="C1930" s="7"/>
    </row>
    <row r="1931" spans="1:3" ht="12.45" x14ac:dyDescent="0.3">
      <c r="A1931" s="7"/>
      <c r="B1931" s="7"/>
      <c r="C1931" s="7"/>
    </row>
    <row r="1932" spans="1:3" ht="12.45" x14ac:dyDescent="0.3">
      <c r="A1932" s="7"/>
      <c r="B1932" s="7"/>
      <c r="C1932" s="7"/>
    </row>
    <row r="1933" spans="1:3" ht="12.45" x14ac:dyDescent="0.3">
      <c r="A1933" s="7"/>
      <c r="B1933" s="7"/>
      <c r="C1933" s="7"/>
    </row>
    <row r="1934" spans="1:3" ht="12.45" x14ac:dyDescent="0.3">
      <c r="A1934" s="7"/>
      <c r="B1934" s="7"/>
      <c r="C1934" s="7"/>
    </row>
    <row r="1935" spans="1:3" ht="12.45" x14ac:dyDescent="0.3">
      <c r="A1935" s="7"/>
      <c r="B1935" s="7"/>
      <c r="C1935" s="7"/>
    </row>
    <row r="1936" spans="1:3" ht="12.45" x14ac:dyDescent="0.3">
      <c r="A1936" s="7"/>
      <c r="B1936" s="7"/>
      <c r="C1936" s="7"/>
    </row>
    <row r="1937" spans="1:3" ht="12.45" x14ac:dyDescent="0.3">
      <c r="A1937" s="7"/>
      <c r="B1937" s="7"/>
      <c r="C1937" s="7"/>
    </row>
    <row r="1938" spans="1:3" ht="12.45" x14ac:dyDescent="0.3">
      <c r="A1938" s="7"/>
      <c r="B1938" s="7"/>
      <c r="C1938" s="7"/>
    </row>
    <row r="1939" spans="1:3" ht="12.45" x14ac:dyDescent="0.3">
      <c r="A1939" s="7"/>
      <c r="B1939" s="7"/>
      <c r="C1939" s="7"/>
    </row>
    <row r="1940" spans="1:3" ht="12.45" x14ac:dyDescent="0.3">
      <c r="A1940" s="7"/>
      <c r="B1940" s="7"/>
      <c r="C1940" s="7"/>
    </row>
    <row r="1941" spans="1:3" ht="12.45" x14ac:dyDescent="0.3">
      <c r="A1941" s="7"/>
      <c r="B1941" s="7"/>
      <c r="C1941" s="7"/>
    </row>
    <row r="1942" spans="1:3" ht="12.45" x14ac:dyDescent="0.3">
      <c r="A1942" s="7"/>
      <c r="B1942" s="7"/>
      <c r="C1942" s="7"/>
    </row>
    <row r="1943" spans="1:3" ht="12.45" x14ac:dyDescent="0.3">
      <c r="A1943" s="7"/>
      <c r="B1943" s="7"/>
      <c r="C1943" s="7"/>
    </row>
    <row r="1944" spans="1:3" ht="12.45" x14ac:dyDescent="0.3">
      <c r="A1944" s="7"/>
      <c r="B1944" s="7"/>
      <c r="C1944" s="7"/>
    </row>
    <row r="1945" spans="1:3" ht="12.45" x14ac:dyDescent="0.3">
      <c r="A1945" s="7"/>
      <c r="B1945" s="7"/>
      <c r="C1945" s="7"/>
    </row>
    <row r="1946" spans="1:3" ht="12.45" x14ac:dyDescent="0.3">
      <c r="A1946" s="7"/>
      <c r="B1946" s="7"/>
      <c r="C1946" s="7"/>
    </row>
    <row r="1947" spans="1:3" ht="12.45" x14ac:dyDescent="0.3">
      <c r="A1947" s="7"/>
      <c r="B1947" s="7"/>
      <c r="C1947" s="7"/>
    </row>
    <row r="1948" spans="1:3" ht="12.45" x14ac:dyDescent="0.3">
      <c r="A1948" s="7"/>
      <c r="B1948" s="7"/>
      <c r="C1948" s="7"/>
    </row>
    <row r="1949" spans="1:3" ht="12.45" x14ac:dyDescent="0.3">
      <c r="A1949" s="7"/>
      <c r="B1949" s="7"/>
      <c r="C1949" s="7"/>
    </row>
    <row r="1950" spans="1:3" ht="12.45" x14ac:dyDescent="0.3">
      <c r="A1950" s="7"/>
      <c r="B1950" s="7"/>
      <c r="C1950" s="7"/>
    </row>
    <row r="1951" spans="1:3" ht="12.45" x14ac:dyDescent="0.3">
      <c r="A1951" s="7"/>
      <c r="B1951" s="7"/>
      <c r="C1951" s="7"/>
    </row>
    <row r="1952" spans="1:3" ht="12.45" x14ac:dyDescent="0.3">
      <c r="A1952" s="7"/>
      <c r="B1952" s="7"/>
      <c r="C1952" s="7"/>
    </row>
    <row r="1953" spans="1:3" ht="12.45" x14ac:dyDescent="0.3">
      <c r="A1953" s="7"/>
      <c r="B1953" s="7"/>
      <c r="C1953" s="7"/>
    </row>
    <row r="1954" spans="1:3" ht="12.45" x14ac:dyDescent="0.3">
      <c r="A1954" s="7"/>
      <c r="B1954" s="7"/>
      <c r="C1954" s="7"/>
    </row>
    <row r="1955" spans="1:3" ht="12.45" x14ac:dyDescent="0.3">
      <c r="A1955" s="7"/>
      <c r="B1955" s="7"/>
      <c r="C1955" s="7"/>
    </row>
    <row r="1956" spans="1:3" ht="12.45" x14ac:dyDescent="0.3">
      <c r="A1956" s="7"/>
      <c r="B1956" s="7"/>
      <c r="C1956" s="7"/>
    </row>
    <row r="1957" spans="1:3" ht="12.45" x14ac:dyDescent="0.3">
      <c r="A1957" s="7"/>
      <c r="B1957" s="7"/>
      <c r="C1957" s="7"/>
    </row>
    <row r="1958" spans="1:3" ht="12.45" x14ac:dyDescent="0.3">
      <c r="A1958" s="7"/>
      <c r="B1958" s="7"/>
      <c r="C1958" s="7"/>
    </row>
    <row r="1959" spans="1:3" ht="12.45" x14ac:dyDescent="0.3">
      <c r="A1959" s="7"/>
      <c r="B1959" s="7"/>
      <c r="C1959" s="7"/>
    </row>
    <row r="1960" spans="1:3" ht="12.45" x14ac:dyDescent="0.3">
      <c r="A1960" s="7"/>
      <c r="B1960" s="7"/>
      <c r="C1960" s="7"/>
    </row>
    <row r="1961" spans="1:3" ht="12.45" x14ac:dyDescent="0.3">
      <c r="A1961" s="7"/>
      <c r="B1961" s="7"/>
      <c r="C1961" s="7"/>
    </row>
    <row r="1962" spans="1:3" ht="12.45" x14ac:dyDescent="0.3">
      <c r="A1962" s="7"/>
      <c r="B1962" s="7"/>
      <c r="C1962" s="7"/>
    </row>
    <row r="1963" spans="1:3" ht="12.45" x14ac:dyDescent="0.3">
      <c r="A1963" s="7"/>
      <c r="B1963" s="7"/>
      <c r="C1963" s="7"/>
    </row>
    <row r="1964" spans="1:3" ht="12.45" x14ac:dyDescent="0.3">
      <c r="A1964" s="7"/>
      <c r="B1964" s="7"/>
      <c r="C1964" s="7"/>
    </row>
    <row r="1965" spans="1:3" ht="12.45" x14ac:dyDescent="0.3">
      <c r="A1965" s="7"/>
      <c r="B1965" s="7"/>
      <c r="C1965" s="7"/>
    </row>
    <row r="1966" spans="1:3" ht="12.45" x14ac:dyDescent="0.3">
      <c r="A1966" s="7"/>
      <c r="B1966" s="7"/>
      <c r="C1966" s="7"/>
    </row>
    <row r="1967" spans="1:3" ht="12.45" x14ac:dyDescent="0.3">
      <c r="A1967" s="7"/>
      <c r="B1967" s="7"/>
      <c r="C1967" s="7"/>
    </row>
    <row r="1968" spans="1:3" ht="12.45" x14ac:dyDescent="0.3">
      <c r="A1968" s="7"/>
      <c r="B1968" s="7"/>
      <c r="C1968" s="7"/>
    </row>
    <row r="1969" spans="1:3" ht="12.45" x14ac:dyDescent="0.3">
      <c r="A1969" s="7"/>
      <c r="B1969" s="7"/>
      <c r="C1969" s="7"/>
    </row>
    <row r="1970" spans="1:3" ht="12.45" x14ac:dyDescent="0.3">
      <c r="A1970" s="7"/>
      <c r="B1970" s="7"/>
      <c r="C1970" s="7"/>
    </row>
    <row r="1971" spans="1:3" ht="12.45" x14ac:dyDescent="0.3">
      <c r="A1971" s="7"/>
      <c r="B1971" s="7"/>
      <c r="C1971" s="7"/>
    </row>
    <row r="1972" spans="1:3" ht="12.45" x14ac:dyDescent="0.3">
      <c r="A1972" s="7"/>
      <c r="B1972" s="7"/>
      <c r="C1972" s="7"/>
    </row>
    <row r="1973" spans="1:3" ht="12.45" x14ac:dyDescent="0.3">
      <c r="A1973" s="7"/>
      <c r="B1973" s="7"/>
      <c r="C1973" s="7"/>
    </row>
    <row r="1974" spans="1:3" ht="12.45" x14ac:dyDescent="0.3">
      <c r="A1974" s="7"/>
      <c r="B1974" s="7"/>
      <c r="C1974" s="7"/>
    </row>
    <row r="1975" spans="1:3" ht="12.45" x14ac:dyDescent="0.3">
      <c r="A1975" s="7"/>
      <c r="B1975" s="7"/>
      <c r="C1975" s="7"/>
    </row>
    <row r="1976" spans="1:3" ht="12.45" x14ac:dyDescent="0.3">
      <c r="A1976" s="7"/>
      <c r="B1976" s="7"/>
      <c r="C1976" s="7"/>
    </row>
    <row r="1977" spans="1:3" ht="12.45" x14ac:dyDescent="0.3">
      <c r="A1977" s="7"/>
      <c r="B1977" s="7"/>
      <c r="C1977" s="7"/>
    </row>
    <row r="1978" spans="1:3" ht="12.45" x14ac:dyDescent="0.3">
      <c r="A1978" s="7"/>
      <c r="B1978" s="7"/>
      <c r="C1978" s="7"/>
    </row>
    <row r="1979" spans="1:3" ht="12.45" x14ac:dyDescent="0.3">
      <c r="A1979" s="7"/>
      <c r="B1979" s="7"/>
      <c r="C1979" s="7"/>
    </row>
    <row r="1980" spans="1:3" ht="12.45" x14ac:dyDescent="0.3">
      <c r="A1980" s="7"/>
      <c r="B1980" s="7"/>
      <c r="C1980" s="7"/>
    </row>
    <row r="1981" spans="1:3" ht="12.45" x14ac:dyDescent="0.3">
      <c r="A1981" s="7"/>
      <c r="B1981" s="7"/>
      <c r="C1981" s="7"/>
    </row>
    <row r="1982" spans="1:3" ht="12.45" x14ac:dyDescent="0.3">
      <c r="A1982" s="7"/>
      <c r="B1982" s="7"/>
      <c r="C1982" s="7"/>
    </row>
    <row r="1983" spans="1:3" ht="12.45" x14ac:dyDescent="0.3">
      <c r="A1983" s="7"/>
      <c r="B1983" s="7"/>
      <c r="C1983" s="7"/>
    </row>
    <row r="1984" spans="1:3" ht="12.45" x14ac:dyDescent="0.3">
      <c r="A1984" s="7"/>
      <c r="B1984" s="7"/>
      <c r="C1984" s="7"/>
    </row>
    <row r="1985" spans="1:3" ht="12.45" x14ac:dyDescent="0.3">
      <c r="A1985" s="7"/>
      <c r="B1985" s="7"/>
      <c r="C1985" s="7"/>
    </row>
    <row r="1986" spans="1:3" ht="12.45" x14ac:dyDescent="0.3">
      <c r="A1986" s="7"/>
      <c r="B1986" s="7"/>
      <c r="C1986" s="7"/>
    </row>
    <row r="1987" spans="1:3" ht="12.45" x14ac:dyDescent="0.3">
      <c r="A1987" s="7"/>
      <c r="B1987" s="7"/>
      <c r="C1987" s="7"/>
    </row>
    <row r="1988" spans="1:3" ht="12.45" x14ac:dyDescent="0.3">
      <c r="A1988" s="7"/>
      <c r="B1988" s="7"/>
      <c r="C1988" s="7"/>
    </row>
    <row r="1989" spans="1:3" ht="12.45" x14ac:dyDescent="0.3">
      <c r="A1989" s="7"/>
      <c r="B1989" s="7"/>
      <c r="C1989" s="7"/>
    </row>
    <row r="1990" spans="1:3" ht="12.45" x14ac:dyDescent="0.3">
      <c r="A1990" s="7"/>
      <c r="B1990" s="7"/>
      <c r="C1990" s="7"/>
    </row>
    <row r="1991" spans="1:3" ht="12.45" x14ac:dyDescent="0.3">
      <c r="A1991" s="7"/>
      <c r="B1991" s="7"/>
      <c r="C1991" s="7"/>
    </row>
    <row r="1992" spans="1:3" ht="12.45" x14ac:dyDescent="0.3">
      <c r="A1992" s="7"/>
      <c r="B1992" s="7"/>
      <c r="C1992" s="7"/>
    </row>
    <row r="1993" spans="1:3" ht="12.45" x14ac:dyDescent="0.3">
      <c r="A1993" s="7"/>
      <c r="B1993" s="7"/>
      <c r="C1993" s="7"/>
    </row>
    <row r="1994" spans="1:3" ht="12.45" x14ac:dyDescent="0.3">
      <c r="A1994" s="7"/>
      <c r="B1994" s="7"/>
      <c r="C1994" s="7"/>
    </row>
    <row r="1995" spans="1:3" ht="12.45" x14ac:dyDescent="0.3">
      <c r="A1995" s="7"/>
      <c r="B1995" s="7"/>
      <c r="C1995" s="7"/>
    </row>
    <row r="1996" spans="1:3" ht="12.45" x14ac:dyDescent="0.3">
      <c r="A1996" s="7"/>
      <c r="B1996" s="7"/>
      <c r="C1996" s="7"/>
    </row>
    <row r="1997" spans="1:3" ht="12.45" x14ac:dyDescent="0.3">
      <c r="A1997" s="7"/>
      <c r="B1997" s="7"/>
      <c r="C1997" s="7"/>
    </row>
    <row r="1998" spans="1:3" ht="12.45" x14ac:dyDescent="0.3">
      <c r="A1998" s="7"/>
      <c r="B1998" s="7"/>
      <c r="C1998" s="7"/>
    </row>
    <row r="1999" spans="1:3" ht="12.45" x14ac:dyDescent="0.3">
      <c r="A1999" s="7"/>
      <c r="B1999" s="7"/>
      <c r="C1999" s="7"/>
    </row>
    <row r="2000" spans="1:3" ht="12.45" x14ac:dyDescent="0.3">
      <c r="A2000" s="7"/>
      <c r="B2000" s="7"/>
      <c r="C2000" s="7"/>
    </row>
    <row r="2001" spans="1:3" ht="12.45" x14ac:dyDescent="0.3">
      <c r="A2001" s="7"/>
      <c r="B2001" s="7"/>
      <c r="C2001" s="7"/>
    </row>
    <row r="2002" spans="1:3" ht="12.45" x14ac:dyDescent="0.3">
      <c r="A2002" s="7"/>
      <c r="B2002" s="7"/>
      <c r="C2002" s="7"/>
    </row>
    <row r="2003" spans="1:3" ht="12.45" x14ac:dyDescent="0.3">
      <c r="A2003" s="7"/>
      <c r="B2003" s="7"/>
      <c r="C2003" s="7"/>
    </row>
    <row r="2004" spans="1:3" ht="12.45" x14ac:dyDescent="0.3">
      <c r="A2004" s="7"/>
      <c r="B2004" s="7"/>
      <c r="C2004" s="7"/>
    </row>
    <row r="2005" spans="1:3" ht="12.45" x14ac:dyDescent="0.3">
      <c r="A2005" s="7"/>
      <c r="B2005" s="7"/>
      <c r="C2005" s="7"/>
    </row>
    <row r="2006" spans="1:3" ht="12.45" x14ac:dyDescent="0.3">
      <c r="A2006" s="7"/>
      <c r="B2006" s="7"/>
      <c r="C2006" s="7"/>
    </row>
    <row r="2007" spans="1:3" ht="12.45" x14ac:dyDescent="0.3">
      <c r="A2007" s="7"/>
      <c r="B2007" s="7"/>
      <c r="C2007" s="7"/>
    </row>
    <row r="2008" spans="1:3" ht="12.45" x14ac:dyDescent="0.3">
      <c r="A2008" s="7"/>
      <c r="B2008" s="7"/>
      <c r="C2008" s="7"/>
    </row>
    <row r="2009" spans="1:3" ht="12.45" x14ac:dyDescent="0.3">
      <c r="A2009" s="7"/>
      <c r="B2009" s="7"/>
      <c r="C2009" s="7"/>
    </row>
    <row r="2010" spans="1:3" ht="12.45" x14ac:dyDescent="0.3">
      <c r="A2010" s="7"/>
      <c r="B2010" s="7"/>
      <c r="C2010" s="7"/>
    </row>
    <row r="2011" spans="1:3" ht="12.45" x14ac:dyDescent="0.3">
      <c r="A2011" s="7"/>
      <c r="B2011" s="7"/>
      <c r="C2011" s="7"/>
    </row>
    <row r="2012" spans="1:3" ht="12.45" x14ac:dyDescent="0.3">
      <c r="A2012" s="7"/>
      <c r="B2012" s="7"/>
      <c r="C2012" s="7"/>
    </row>
    <row r="2013" spans="1:3" ht="12.45" x14ac:dyDescent="0.3">
      <c r="A2013" s="7"/>
      <c r="B2013" s="7"/>
      <c r="C2013" s="7"/>
    </row>
    <row r="2014" spans="1:3" ht="12.45" x14ac:dyDescent="0.3">
      <c r="A2014" s="7"/>
      <c r="B2014" s="7"/>
      <c r="C2014" s="7"/>
    </row>
    <row r="2015" spans="1:3" ht="12.45" x14ac:dyDescent="0.3">
      <c r="A2015" s="7"/>
      <c r="B2015" s="7"/>
      <c r="C2015" s="7"/>
    </row>
    <row r="2016" spans="1:3" ht="12.45" x14ac:dyDescent="0.3">
      <c r="A2016" s="7"/>
      <c r="B2016" s="7"/>
      <c r="C2016" s="7"/>
    </row>
    <row r="2017" spans="1:3" ht="12.45" x14ac:dyDescent="0.3">
      <c r="A2017" s="7"/>
      <c r="B2017" s="7"/>
      <c r="C2017" s="7"/>
    </row>
    <row r="2018" spans="1:3" ht="12.45" x14ac:dyDescent="0.3">
      <c r="A2018" s="7"/>
      <c r="B2018" s="7"/>
      <c r="C2018" s="7"/>
    </row>
    <row r="2019" spans="1:3" ht="12.45" x14ac:dyDescent="0.3">
      <c r="A2019" s="7"/>
      <c r="B2019" s="7"/>
      <c r="C2019" s="7"/>
    </row>
    <row r="2020" spans="1:3" ht="12.45" x14ac:dyDescent="0.3">
      <c r="A2020" s="7"/>
      <c r="B2020" s="7"/>
      <c r="C2020" s="7"/>
    </row>
    <row r="2021" spans="1:3" ht="12.45" x14ac:dyDescent="0.3">
      <c r="A2021" s="7"/>
      <c r="B2021" s="7"/>
      <c r="C2021" s="7"/>
    </row>
    <row r="2022" spans="1:3" ht="12.45" x14ac:dyDescent="0.3">
      <c r="A2022" s="7"/>
      <c r="B2022" s="7"/>
      <c r="C2022" s="7"/>
    </row>
    <row r="2023" spans="1:3" ht="12.45" x14ac:dyDescent="0.3">
      <c r="A2023" s="7"/>
      <c r="B2023" s="7"/>
      <c r="C2023" s="7"/>
    </row>
    <row r="2024" spans="1:3" ht="12.45" x14ac:dyDescent="0.3">
      <c r="A2024" s="7"/>
      <c r="B2024" s="7"/>
      <c r="C2024" s="7"/>
    </row>
    <row r="2025" spans="1:3" ht="12.45" x14ac:dyDescent="0.3">
      <c r="A2025" s="7"/>
      <c r="B2025" s="7"/>
      <c r="C2025" s="7"/>
    </row>
    <row r="2026" spans="1:3" ht="12.45" x14ac:dyDescent="0.3">
      <c r="A2026" s="7"/>
      <c r="B2026" s="7"/>
      <c r="C2026" s="7"/>
    </row>
    <row r="2027" spans="1:3" ht="12.45" x14ac:dyDescent="0.3">
      <c r="A2027" s="7"/>
      <c r="B2027" s="7"/>
      <c r="C2027" s="7"/>
    </row>
    <row r="2028" spans="1:3" ht="12.45" x14ac:dyDescent="0.3">
      <c r="A2028" s="7"/>
      <c r="B2028" s="7"/>
      <c r="C2028" s="7"/>
    </row>
    <row r="2029" spans="1:3" ht="12.45" x14ac:dyDescent="0.3">
      <c r="A2029" s="7"/>
      <c r="B2029" s="7"/>
      <c r="C2029" s="7"/>
    </row>
    <row r="2030" spans="1:3" ht="12.45" x14ac:dyDescent="0.3">
      <c r="A2030" s="7"/>
      <c r="B2030" s="7"/>
      <c r="C2030" s="7"/>
    </row>
    <row r="2031" spans="1:3" ht="12.45" x14ac:dyDescent="0.3">
      <c r="A2031" s="7"/>
      <c r="B2031" s="7"/>
      <c r="C2031" s="7"/>
    </row>
    <row r="2032" spans="1:3" ht="12.45" x14ac:dyDescent="0.3">
      <c r="A2032" s="7"/>
      <c r="B2032" s="7"/>
      <c r="C2032" s="7"/>
    </row>
    <row r="2033" spans="1:3" ht="12.45" x14ac:dyDescent="0.3">
      <c r="A2033" s="7"/>
      <c r="B2033" s="7"/>
      <c r="C2033" s="7"/>
    </row>
    <row r="2034" spans="1:3" ht="12.45" x14ac:dyDescent="0.3">
      <c r="A2034" s="7"/>
      <c r="B2034" s="7"/>
      <c r="C2034" s="7"/>
    </row>
    <row r="2035" spans="1:3" ht="12.45" x14ac:dyDescent="0.3">
      <c r="A2035" s="7"/>
      <c r="B2035" s="7"/>
      <c r="C2035" s="7"/>
    </row>
    <row r="2036" spans="1:3" ht="12.45" x14ac:dyDescent="0.3">
      <c r="A2036" s="7"/>
      <c r="B2036" s="7"/>
      <c r="C2036" s="7"/>
    </row>
    <row r="2037" spans="1:3" ht="12.45" x14ac:dyDescent="0.3">
      <c r="A2037" s="7"/>
      <c r="B2037" s="7"/>
      <c r="C2037" s="7"/>
    </row>
    <row r="2038" spans="1:3" ht="12.45" x14ac:dyDescent="0.3">
      <c r="A2038" s="7"/>
      <c r="B2038" s="7"/>
      <c r="C2038" s="7"/>
    </row>
    <row r="2039" spans="1:3" ht="12.45" x14ac:dyDescent="0.3">
      <c r="A2039" s="7"/>
      <c r="B2039" s="7"/>
      <c r="C2039" s="7"/>
    </row>
    <row r="2040" spans="1:3" ht="12.45" x14ac:dyDescent="0.3">
      <c r="A2040" s="7"/>
      <c r="B2040" s="7"/>
      <c r="C2040" s="7"/>
    </row>
    <row r="2041" spans="1:3" ht="12.45" x14ac:dyDescent="0.3">
      <c r="A2041" s="7"/>
      <c r="B2041" s="7"/>
      <c r="C2041" s="7"/>
    </row>
    <row r="2042" spans="1:3" ht="12.45" x14ac:dyDescent="0.3">
      <c r="A2042" s="7"/>
      <c r="B2042" s="7"/>
      <c r="C2042" s="7"/>
    </row>
    <row r="2043" spans="1:3" ht="12.45" x14ac:dyDescent="0.3">
      <c r="A2043" s="7"/>
      <c r="B2043" s="7"/>
      <c r="C2043" s="7"/>
    </row>
    <row r="2044" spans="1:3" ht="12.45" x14ac:dyDescent="0.3">
      <c r="A2044" s="7"/>
      <c r="B2044" s="7"/>
      <c r="C2044" s="7"/>
    </row>
    <row r="2045" spans="1:3" ht="12.45" x14ac:dyDescent="0.3">
      <c r="A2045" s="7"/>
      <c r="B2045" s="7"/>
      <c r="C2045" s="7"/>
    </row>
    <row r="2046" spans="1:3" ht="12.45" x14ac:dyDescent="0.3">
      <c r="A2046" s="7"/>
      <c r="B2046" s="7"/>
      <c r="C2046" s="7"/>
    </row>
    <row r="2047" spans="1:3" ht="12.45" x14ac:dyDescent="0.3">
      <c r="A2047" s="7"/>
      <c r="B2047" s="7"/>
      <c r="C2047" s="7"/>
    </row>
    <row r="2048" spans="1:3" ht="12.45" x14ac:dyDescent="0.3">
      <c r="A2048" s="7"/>
      <c r="B2048" s="7"/>
      <c r="C2048" s="7"/>
    </row>
    <row r="2049" spans="1:3" ht="12.45" x14ac:dyDescent="0.3">
      <c r="A2049" s="7"/>
      <c r="B2049" s="7"/>
      <c r="C2049" s="7"/>
    </row>
    <row r="2050" spans="1:3" ht="12.45" x14ac:dyDescent="0.3">
      <c r="A2050" s="7"/>
      <c r="B2050" s="7"/>
      <c r="C2050" s="7"/>
    </row>
    <row r="2051" spans="1:3" ht="12.45" x14ac:dyDescent="0.3">
      <c r="A2051" s="7"/>
      <c r="B2051" s="7"/>
      <c r="C2051" s="7"/>
    </row>
    <row r="2052" spans="1:3" ht="12.45" x14ac:dyDescent="0.3">
      <c r="A2052" s="7"/>
      <c r="B2052" s="7"/>
      <c r="C2052" s="7"/>
    </row>
    <row r="2053" spans="1:3" ht="12.45" x14ac:dyDescent="0.3">
      <c r="A2053" s="7"/>
      <c r="B2053" s="7"/>
      <c r="C2053" s="7"/>
    </row>
    <row r="2054" spans="1:3" ht="12.45" x14ac:dyDescent="0.3">
      <c r="A2054" s="7"/>
      <c r="B2054" s="7"/>
      <c r="C2054" s="7"/>
    </row>
    <row r="2055" spans="1:3" ht="12.45" x14ac:dyDescent="0.3">
      <c r="A2055" s="7"/>
      <c r="B2055" s="7"/>
      <c r="C2055" s="7"/>
    </row>
    <row r="2056" spans="1:3" ht="12.45" x14ac:dyDescent="0.3">
      <c r="A2056" s="7"/>
      <c r="B2056" s="7"/>
      <c r="C2056" s="7"/>
    </row>
    <row r="2057" spans="1:3" ht="12.45" x14ac:dyDescent="0.3">
      <c r="A2057" s="7"/>
      <c r="B2057" s="7"/>
      <c r="C2057" s="7"/>
    </row>
    <row r="2058" spans="1:3" ht="12.45" x14ac:dyDescent="0.3">
      <c r="A2058" s="7"/>
      <c r="B2058" s="7"/>
      <c r="C2058" s="7"/>
    </row>
    <row r="2059" spans="1:3" ht="12.45" x14ac:dyDescent="0.3">
      <c r="A2059" s="7"/>
      <c r="B2059" s="7"/>
      <c r="C2059" s="7"/>
    </row>
    <row r="2060" spans="1:3" ht="12.45" x14ac:dyDescent="0.3">
      <c r="A2060" s="7"/>
      <c r="B2060" s="7"/>
      <c r="C2060" s="7"/>
    </row>
    <row r="2061" spans="1:3" ht="12.45" x14ac:dyDescent="0.3">
      <c r="A2061" s="7"/>
      <c r="B2061" s="7"/>
      <c r="C2061" s="7"/>
    </row>
    <row r="2062" spans="1:3" ht="12.45" x14ac:dyDescent="0.3">
      <c r="A2062" s="7"/>
      <c r="B2062" s="7"/>
      <c r="C2062" s="7"/>
    </row>
    <row r="2063" spans="1:3" ht="12.45" x14ac:dyDescent="0.3">
      <c r="A2063" s="7"/>
      <c r="B2063" s="7"/>
      <c r="C2063" s="7"/>
    </row>
    <row r="2064" spans="1:3" ht="12.45" x14ac:dyDescent="0.3">
      <c r="A2064" s="7"/>
      <c r="B2064" s="7"/>
      <c r="C2064" s="7"/>
    </row>
    <row r="2065" spans="1:3" ht="12.45" x14ac:dyDescent="0.3">
      <c r="A2065" s="7"/>
      <c r="B2065" s="7"/>
      <c r="C2065" s="7"/>
    </row>
    <row r="2066" spans="1:3" ht="12.45" x14ac:dyDescent="0.3">
      <c r="A2066" s="7"/>
      <c r="B2066" s="7"/>
      <c r="C2066" s="7"/>
    </row>
    <row r="2067" spans="1:3" ht="12.45" x14ac:dyDescent="0.3">
      <c r="A2067" s="7"/>
      <c r="B2067" s="7"/>
      <c r="C2067" s="7"/>
    </row>
    <row r="2068" spans="1:3" ht="12.45" x14ac:dyDescent="0.3">
      <c r="A2068" s="7"/>
      <c r="B2068" s="7"/>
      <c r="C2068" s="7"/>
    </row>
    <row r="2069" spans="1:3" ht="12.45" x14ac:dyDescent="0.3">
      <c r="A2069" s="7"/>
      <c r="B2069" s="7"/>
      <c r="C2069" s="7"/>
    </row>
    <row r="2070" spans="1:3" ht="12.45" x14ac:dyDescent="0.3">
      <c r="A2070" s="7"/>
      <c r="B2070" s="7"/>
      <c r="C2070" s="7"/>
    </row>
    <row r="2071" spans="1:3" ht="12.45" x14ac:dyDescent="0.3">
      <c r="A2071" s="7"/>
      <c r="B2071" s="7"/>
      <c r="C2071" s="7"/>
    </row>
    <row r="2072" spans="1:3" ht="12.45" x14ac:dyDescent="0.3">
      <c r="A2072" s="7"/>
      <c r="B2072" s="7"/>
      <c r="C2072" s="7"/>
    </row>
    <row r="2073" spans="1:3" ht="12.45" x14ac:dyDescent="0.3">
      <c r="A2073" s="7"/>
      <c r="B2073" s="7"/>
      <c r="C2073" s="7"/>
    </row>
    <row r="2074" spans="1:3" ht="12.45" x14ac:dyDescent="0.3">
      <c r="A2074" s="7"/>
      <c r="B2074" s="7"/>
      <c r="C2074" s="7"/>
    </row>
    <row r="2075" spans="1:3" ht="12.45" x14ac:dyDescent="0.3">
      <c r="A2075" s="7"/>
      <c r="B2075" s="7"/>
      <c r="C2075" s="7"/>
    </row>
    <row r="2076" spans="1:3" ht="12.45" x14ac:dyDescent="0.3">
      <c r="A2076" s="7"/>
      <c r="B2076" s="7"/>
      <c r="C2076" s="7"/>
    </row>
    <row r="2077" spans="1:3" ht="12.45" x14ac:dyDescent="0.3">
      <c r="A2077" s="7"/>
      <c r="B2077" s="7"/>
      <c r="C2077" s="7"/>
    </row>
    <row r="2078" spans="1:3" ht="12.45" x14ac:dyDescent="0.3">
      <c r="A2078" s="7"/>
      <c r="B2078" s="7"/>
      <c r="C2078" s="7"/>
    </row>
    <row r="2079" spans="1:3" ht="12.45" x14ac:dyDescent="0.3">
      <c r="A2079" s="7"/>
      <c r="B2079" s="7"/>
      <c r="C2079" s="7"/>
    </row>
    <row r="2080" spans="1:3" ht="12.45" x14ac:dyDescent="0.3">
      <c r="A2080" s="7"/>
      <c r="B2080" s="7"/>
      <c r="C2080" s="7"/>
    </row>
    <row r="2081" spans="1:3" ht="12.45" x14ac:dyDescent="0.3">
      <c r="A2081" s="7"/>
      <c r="B2081" s="7"/>
      <c r="C2081" s="7"/>
    </row>
    <row r="2082" spans="1:3" ht="12.45" x14ac:dyDescent="0.3">
      <c r="A2082" s="7"/>
      <c r="B2082" s="7"/>
      <c r="C2082" s="7"/>
    </row>
    <row r="2083" spans="1:3" ht="12.45" x14ac:dyDescent="0.3">
      <c r="A2083" s="7"/>
      <c r="B2083" s="7"/>
      <c r="C2083" s="7"/>
    </row>
    <row r="2084" spans="1:3" ht="12.45" x14ac:dyDescent="0.3">
      <c r="A2084" s="7"/>
      <c r="B2084" s="7"/>
      <c r="C2084" s="7"/>
    </row>
    <row r="2085" spans="1:3" ht="12.45" x14ac:dyDescent="0.3">
      <c r="A2085" s="7"/>
      <c r="B2085" s="7"/>
      <c r="C2085" s="7"/>
    </row>
    <row r="2086" spans="1:3" ht="12.45" x14ac:dyDescent="0.3">
      <c r="A2086" s="7"/>
      <c r="B2086" s="7"/>
      <c r="C2086" s="7"/>
    </row>
    <row r="2087" spans="1:3" ht="12.45" x14ac:dyDescent="0.3">
      <c r="A2087" s="7"/>
      <c r="B2087" s="7"/>
      <c r="C2087" s="7"/>
    </row>
    <row r="2088" spans="1:3" ht="12.45" x14ac:dyDescent="0.3">
      <c r="A2088" s="7"/>
      <c r="B2088" s="7"/>
      <c r="C2088" s="7"/>
    </row>
    <row r="2089" spans="1:3" ht="12.45" x14ac:dyDescent="0.3">
      <c r="A2089" s="7"/>
      <c r="B2089" s="7"/>
      <c r="C2089" s="7"/>
    </row>
    <row r="2090" spans="1:3" ht="12.45" x14ac:dyDescent="0.3">
      <c r="A2090" s="7"/>
      <c r="B2090" s="7"/>
      <c r="C2090" s="7"/>
    </row>
    <row r="2091" spans="1:3" ht="12.45" x14ac:dyDescent="0.3">
      <c r="A2091" s="7"/>
      <c r="B2091" s="7"/>
      <c r="C2091" s="7"/>
    </row>
    <row r="2092" spans="1:3" ht="12.45" x14ac:dyDescent="0.3">
      <c r="A2092" s="7"/>
      <c r="B2092" s="7"/>
      <c r="C2092" s="7"/>
    </row>
    <row r="2093" spans="1:3" ht="12.45" x14ac:dyDescent="0.3">
      <c r="A2093" s="7"/>
      <c r="B2093" s="7"/>
      <c r="C2093" s="7"/>
    </row>
    <row r="2094" spans="1:3" ht="12.45" x14ac:dyDescent="0.3">
      <c r="A2094" s="7"/>
      <c r="B2094" s="7"/>
      <c r="C2094" s="7"/>
    </row>
    <row r="2095" spans="1:3" ht="12.45" x14ac:dyDescent="0.3">
      <c r="A2095" s="7"/>
      <c r="B2095" s="7"/>
      <c r="C2095" s="7"/>
    </row>
    <row r="2096" spans="1:3" ht="12.45" x14ac:dyDescent="0.3">
      <c r="A2096" s="7"/>
      <c r="B2096" s="7"/>
      <c r="C2096" s="7"/>
    </row>
    <row r="2097" spans="1:3" ht="12.45" x14ac:dyDescent="0.3">
      <c r="A2097" s="7"/>
      <c r="B2097" s="7"/>
      <c r="C2097" s="7"/>
    </row>
    <row r="2098" spans="1:3" ht="12.45" x14ac:dyDescent="0.3">
      <c r="A2098" s="7"/>
      <c r="B2098" s="7"/>
      <c r="C2098" s="7"/>
    </row>
    <row r="2099" spans="1:3" ht="12.45" x14ac:dyDescent="0.3">
      <c r="A2099" s="7"/>
      <c r="B2099" s="7"/>
      <c r="C2099" s="7"/>
    </row>
    <row r="2100" spans="1:3" ht="12.45" x14ac:dyDescent="0.3">
      <c r="A2100" s="7"/>
      <c r="B2100" s="7"/>
      <c r="C2100" s="7"/>
    </row>
    <row r="2101" spans="1:3" ht="12.45" x14ac:dyDescent="0.3">
      <c r="A2101" s="7"/>
      <c r="B2101" s="7"/>
      <c r="C2101" s="7"/>
    </row>
    <row r="2102" spans="1:3" ht="12.45" x14ac:dyDescent="0.3">
      <c r="A2102" s="7"/>
      <c r="B2102" s="7"/>
      <c r="C2102" s="7"/>
    </row>
    <row r="2103" spans="1:3" ht="12.45" x14ac:dyDescent="0.3">
      <c r="A2103" s="7"/>
      <c r="B2103" s="7"/>
      <c r="C2103" s="7"/>
    </row>
    <row r="2104" spans="1:3" ht="12.45" x14ac:dyDescent="0.3">
      <c r="A2104" s="7"/>
      <c r="B2104" s="7"/>
      <c r="C2104" s="7"/>
    </row>
    <row r="2105" spans="1:3" ht="12.45" x14ac:dyDescent="0.3">
      <c r="A2105" s="7"/>
      <c r="B2105" s="7"/>
      <c r="C2105" s="7"/>
    </row>
    <row r="2106" spans="1:3" ht="12.45" x14ac:dyDescent="0.3">
      <c r="A2106" s="7"/>
      <c r="B2106" s="7"/>
      <c r="C2106" s="7"/>
    </row>
    <row r="2107" spans="1:3" ht="12.45" x14ac:dyDescent="0.3">
      <c r="A2107" s="7"/>
      <c r="B2107" s="7"/>
      <c r="C2107" s="7"/>
    </row>
    <row r="2108" spans="1:3" ht="12.45" x14ac:dyDescent="0.3">
      <c r="A2108" s="7"/>
      <c r="B2108" s="7"/>
      <c r="C2108" s="7"/>
    </row>
    <row r="2109" spans="1:3" ht="12.45" x14ac:dyDescent="0.3">
      <c r="A2109" s="7"/>
      <c r="B2109" s="7"/>
      <c r="C2109" s="7"/>
    </row>
    <row r="2110" spans="1:3" ht="12.45" x14ac:dyDescent="0.3">
      <c r="A2110" s="7"/>
      <c r="B2110" s="7"/>
      <c r="C2110" s="7"/>
    </row>
    <row r="2111" spans="1:3" ht="12.45" x14ac:dyDescent="0.3">
      <c r="A2111" s="7"/>
      <c r="B2111" s="7"/>
      <c r="C2111" s="7"/>
    </row>
    <row r="2112" spans="1:3" ht="12.45" x14ac:dyDescent="0.3">
      <c r="A2112" s="7"/>
      <c r="B2112" s="7"/>
      <c r="C2112" s="7"/>
    </row>
    <row r="2113" spans="1:3" ht="12.45" x14ac:dyDescent="0.3">
      <c r="A2113" s="7"/>
      <c r="B2113" s="7"/>
      <c r="C2113" s="7"/>
    </row>
    <row r="2114" spans="1:3" ht="12.45" x14ac:dyDescent="0.3">
      <c r="A2114" s="7"/>
      <c r="B2114" s="7"/>
      <c r="C2114" s="7"/>
    </row>
    <row r="2115" spans="1:3" ht="12.45" x14ac:dyDescent="0.3">
      <c r="A2115" s="7"/>
      <c r="B2115" s="7"/>
      <c r="C2115" s="7"/>
    </row>
    <row r="2116" spans="1:3" ht="12.45" x14ac:dyDescent="0.3">
      <c r="A2116" s="7"/>
      <c r="B2116" s="7"/>
      <c r="C2116" s="7"/>
    </row>
    <row r="2117" spans="1:3" ht="12.45" x14ac:dyDescent="0.3">
      <c r="A2117" s="7"/>
      <c r="B2117" s="7"/>
      <c r="C2117" s="7"/>
    </row>
    <row r="2118" spans="1:3" ht="12.45" x14ac:dyDescent="0.3">
      <c r="A2118" s="7"/>
      <c r="B2118" s="7"/>
      <c r="C2118" s="7"/>
    </row>
    <row r="2119" spans="1:3" ht="12.45" x14ac:dyDescent="0.3">
      <c r="A2119" s="7"/>
      <c r="B2119" s="7"/>
      <c r="C2119" s="7"/>
    </row>
    <row r="2120" spans="1:3" ht="12.45" x14ac:dyDescent="0.3">
      <c r="A2120" s="7"/>
      <c r="B2120" s="7"/>
      <c r="C2120" s="7"/>
    </row>
    <row r="2121" spans="1:3" ht="12.45" x14ac:dyDescent="0.3">
      <c r="A2121" s="7"/>
      <c r="B2121" s="7"/>
      <c r="C2121" s="7"/>
    </row>
    <row r="2122" spans="1:3" ht="12.45" x14ac:dyDescent="0.3">
      <c r="A2122" s="7"/>
      <c r="B2122" s="7"/>
      <c r="C2122" s="7"/>
    </row>
    <row r="2123" spans="1:3" ht="12.45" x14ac:dyDescent="0.3">
      <c r="A2123" s="7"/>
      <c r="B2123" s="7"/>
      <c r="C2123" s="7"/>
    </row>
    <row r="2124" spans="1:3" ht="12.45" x14ac:dyDescent="0.3">
      <c r="A2124" s="7"/>
      <c r="B2124" s="7"/>
      <c r="C2124" s="7"/>
    </row>
    <row r="2125" spans="1:3" ht="12.45" x14ac:dyDescent="0.3">
      <c r="A2125" s="7"/>
      <c r="B2125" s="7"/>
      <c r="C2125" s="7"/>
    </row>
    <row r="2126" spans="1:3" ht="12.45" x14ac:dyDescent="0.3">
      <c r="A2126" s="7"/>
      <c r="B2126" s="7"/>
      <c r="C2126" s="7"/>
    </row>
    <row r="2127" spans="1:3" ht="12.45" x14ac:dyDescent="0.3">
      <c r="A2127" s="7"/>
      <c r="B2127" s="7"/>
      <c r="C2127" s="7"/>
    </row>
    <row r="2128" spans="1:3" ht="12.45" x14ac:dyDescent="0.3">
      <c r="A2128" s="7"/>
      <c r="B2128" s="7"/>
      <c r="C2128" s="7"/>
    </row>
    <row r="2129" spans="1:3" ht="12.45" x14ac:dyDescent="0.3">
      <c r="A2129" s="7"/>
      <c r="B2129" s="7"/>
      <c r="C2129" s="7"/>
    </row>
    <row r="2130" spans="1:3" ht="12.45" x14ac:dyDescent="0.3">
      <c r="A2130" s="7"/>
      <c r="B2130" s="7"/>
      <c r="C2130" s="7"/>
    </row>
    <row r="2131" spans="1:3" ht="12.45" x14ac:dyDescent="0.3">
      <c r="A2131" s="7"/>
      <c r="B2131" s="7"/>
      <c r="C2131" s="7"/>
    </row>
    <row r="2132" spans="1:3" ht="12.45" x14ac:dyDescent="0.3">
      <c r="A2132" s="7"/>
      <c r="B2132" s="7"/>
      <c r="C2132" s="7"/>
    </row>
    <row r="2133" spans="1:3" ht="12.45" x14ac:dyDescent="0.3">
      <c r="A2133" s="7"/>
      <c r="B2133" s="7"/>
      <c r="C2133" s="7"/>
    </row>
    <row r="2134" spans="1:3" ht="12.45" x14ac:dyDescent="0.3">
      <c r="A2134" s="7"/>
      <c r="B2134" s="7"/>
      <c r="C2134" s="7"/>
    </row>
    <row r="2135" spans="1:3" ht="12.45" x14ac:dyDescent="0.3">
      <c r="A2135" s="7"/>
      <c r="B2135" s="7"/>
      <c r="C2135" s="7"/>
    </row>
    <row r="2136" spans="1:3" ht="12.45" x14ac:dyDescent="0.3">
      <c r="A2136" s="7"/>
      <c r="B2136" s="7"/>
      <c r="C2136" s="7"/>
    </row>
    <row r="2137" spans="1:3" ht="12.45" x14ac:dyDescent="0.3">
      <c r="A2137" s="7"/>
      <c r="B2137" s="7"/>
      <c r="C2137" s="7"/>
    </row>
    <row r="2138" spans="1:3" ht="12.45" x14ac:dyDescent="0.3">
      <c r="A2138" s="7"/>
      <c r="B2138" s="7"/>
      <c r="C2138" s="7"/>
    </row>
    <row r="2139" spans="1:3" ht="12.45" x14ac:dyDescent="0.3">
      <c r="A2139" s="7"/>
      <c r="B2139" s="7"/>
      <c r="C2139" s="7"/>
    </row>
    <row r="2140" spans="1:3" ht="12.45" x14ac:dyDescent="0.3">
      <c r="A2140" s="7"/>
      <c r="B2140" s="7"/>
      <c r="C2140" s="7"/>
    </row>
    <row r="2141" spans="1:3" ht="12.45" x14ac:dyDescent="0.3">
      <c r="A2141" s="7"/>
      <c r="B2141" s="7"/>
      <c r="C2141" s="7"/>
    </row>
    <row r="2142" spans="1:3" ht="12.45" x14ac:dyDescent="0.3">
      <c r="A2142" s="7"/>
      <c r="B2142" s="7"/>
      <c r="C2142" s="7"/>
    </row>
    <row r="2143" spans="1:3" ht="12.45" x14ac:dyDescent="0.3">
      <c r="A2143" s="7"/>
      <c r="B2143" s="7"/>
      <c r="C2143" s="7"/>
    </row>
    <row r="2144" spans="1:3" ht="12.45" x14ac:dyDescent="0.3">
      <c r="A2144" s="7"/>
      <c r="B2144" s="7"/>
      <c r="C2144" s="7"/>
    </row>
    <row r="2145" spans="1:3" ht="12.45" x14ac:dyDescent="0.3">
      <c r="A2145" s="7"/>
      <c r="B2145" s="7"/>
      <c r="C2145" s="7"/>
    </row>
    <row r="2146" spans="1:3" ht="12.45" x14ac:dyDescent="0.3">
      <c r="A2146" s="7"/>
      <c r="B2146" s="7"/>
      <c r="C2146" s="7"/>
    </row>
  </sheetData>
  <autoFilter ref="A1:A214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2858"/>
  <sheetViews>
    <sheetView topLeftCell="B277" workbookViewId="0"/>
  </sheetViews>
  <sheetFormatPr defaultColWidth="12.61328125" defaultRowHeight="15.75" customHeight="1" x14ac:dyDescent="0.3"/>
  <cols>
    <col min="2" max="2" width="49.765625" customWidth="1"/>
    <col min="3" max="3" width="27.61328125" customWidth="1"/>
    <col min="4" max="4" width="27.3828125" customWidth="1"/>
    <col min="5" max="5" width="22.3828125" customWidth="1"/>
    <col min="6" max="6" width="127.765625" customWidth="1"/>
    <col min="7" max="7" width="65.765625" customWidth="1"/>
    <col min="8" max="8" width="31.4609375" customWidth="1"/>
  </cols>
  <sheetData>
    <row r="1" spans="1:26" ht="15.75" customHeight="1" x14ac:dyDescent="0.4">
      <c r="A1" s="9" t="s">
        <v>0</v>
      </c>
      <c r="B1" s="9" t="s">
        <v>1</v>
      </c>
      <c r="C1" s="9" t="s">
        <v>2</v>
      </c>
      <c r="D1" s="1" t="s">
        <v>1533</v>
      </c>
      <c r="E1" s="6" t="s">
        <v>1534</v>
      </c>
      <c r="F1" s="6" t="s">
        <v>1535</v>
      </c>
      <c r="G1" s="2"/>
      <c r="H1" s="2"/>
      <c r="I1" s="2"/>
      <c r="J1" s="2"/>
      <c r="K1" s="2"/>
      <c r="L1" s="2"/>
      <c r="M1" s="2"/>
      <c r="N1" s="2"/>
      <c r="O1" s="2"/>
      <c r="P1" s="2"/>
      <c r="Q1" s="2"/>
      <c r="R1" s="2"/>
      <c r="S1" s="2"/>
      <c r="T1" s="2"/>
      <c r="U1" s="2"/>
      <c r="V1" s="2"/>
      <c r="W1" s="2"/>
      <c r="X1" s="2"/>
      <c r="Y1" s="2"/>
      <c r="Z1" s="2"/>
    </row>
    <row r="2" spans="1:26" ht="15.75" customHeight="1" x14ac:dyDescent="0.4">
      <c r="A2" s="7" t="s">
        <v>45</v>
      </c>
      <c r="B2" s="4" t="s">
        <v>46</v>
      </c>
      <c r="C2" s="4" t="s">
        <v>47</v>
      </c>
      <c r="D2" s="10" t="str">
        <f t="shared" ref="D2:D1146" si="0">SUBSTITUTE(C2," ","_")</f>
        <v>Banking_Portal</v>
      </c>
      <c r="E2" s="8" t="s">
        <v>1522</v>
      </c>
      <c r="F2" s="8" t="s">
        <v>1536</v>
      </c>
    </row>
    <row r="3" spans="1:26" ht="15.75" customHeight="1" x14ac:dyDescent="0.4">
      <c r="A3" s="7" t="s">
        <v>87</v>
      </c>
      <c r="B3" s="4" t="s">
        <v>88</v>
      </c>
      <c r="C3" s="4" t="s">
        <v>47</v>
      </c>
      <c r="D3" s="10" t="str">
        <f t="shared" si="0"/>
        <v>Banking_Portal</v>
      </c>
      <c r="E3" s="8" t="s">
        <v>1522</v>
      </c>
      <c r="F3" s="8"/>
    </row>
    <row r="4" spans="1:26" ht="15.75" customHeight="1" x14ac:dyDescent="0.4">
      <c r="A4" s="7" t="s">
        <v>104</v>
      </c>
      <c r="B4" s="4" t="s">
        <v>105</v>
      </c>
      <c r="C4" s="4" t="s">
        <v>47</v>
      </c>
      <c r="D4" s="10" t="str">
        <f t="shared" si="0"/>
        <v>Banking_Portal</v>
      </c>
      <c r="E4" s="8" t="s">
        <v>1522</v>
      </c>
      <c r="F4" s="8"/>
    </row>
    <row r="5" spans="1:26" ht="15.75" customHeight="1" x14ac:dyDescent="0.4">
      <c r="A5" s="7" t="s">
        <v>107</v>
      </c>
      <c r="B5" s="4" t="s">
        <v>108</v>
      </c>
      <c r="C5" s="4" t="s">
        <v>47</v>
      </c>
      <c r="D5" s="10" t="str">
        <f t="shared" si="0"/>
        <v>Banking_Portal</v>
      </c>
      <c r="E5" s="8" t="s">
        <v>1522</v>
      </c>
      <c r="F5" s="8"/>
    </row>
    <row r="6" spans="1:26" ht="15.75" customHeight="1" x14ac:dyDescent="0.4">
      <c r="A6" s="7" t="s">
        <v>136</v>
      </c>
      <c r="B6" s="4" t="s">
        <v>137</v>
      </c>
      <c r="C6" s="4" t="s">
        <v>47</v>
      </c>
      <c r="D6" s="10" t="str">
        <f t="shared" si="0"/>
        <v>Banking_Portal</v>
      </c>
      <c r="E6" s="8" t="s">
        <v>1522</v>
      </c>
      <c r="F6" s="8"/>
    </row>
    <row r="7" spans="1:26" ht="15.75" customHeight="1" x14ac:dyDescent="0.4">
      <c r="A7" s="7" t="s">
        <v>143</v>
      </c>
      <c r="B7" s="4" t="s">
        <v>144</v>
      </c>
      <c r="C7" s="4" t="s">
        <v>47</v>
      </c>
      <c r="D7" s="10" t="str">
        <f t="shared" si="0"/>
        <v>Banking_Portal</v>
      </c>
      <c r="E7" s="8" t="s">
        <v>1522</v>
      </c>
      <c r="F7" s="8"/>
    </row>
    <row r="8" spans="1:26" ht="15.75" customHeight="1" x14ac:dyDescent="0.4">
      <c r="A8" s="7" t="s">
        <v>148</v>
      </c>
      <c r="B8" s="4" t="s">
        <v>149</v>
      </c>
      <c r="C8" s="4" t="s">
        <v>47</v>
      </c>
      <c r="D8" s="10" t="str">
        <f t="shared" si="0"/>
        <v>Banking_Portal</v>
      </c>
      <c r="E8" s="8" t="s">
        <v>1522</v>
      </c>
      <c r="F8" s="8"/>
    </row>
    <row r="9" spans="1:26" ht="15.75" customHeight="1" x14ac:dyDescent="0.4">
      <c r="A9" s="7" t="s">
        <v>166</v>
      </c>
      <c r="B9" s="4" t="s">
        <v>167</v>
      </c>
      <c r="C9" s="4" t="s">
        <v>47</v>
      </c>
      <c r="D9" s="10" t="str">
        <f t="shared" si="0"/>
        <v>Banking_Portal</v>
      </c>
      <c r="E9" s="8" t="s">
        <v>1522</v>
      </c>
      <c r="F9" s="8"/>
    </row>
    <row r="10" spans="1:26" ht="15.75" customHeight="1" x14ac:dyDescent="0.4">
      <c r="A10" s="7" t="s">
        <v>172</v>
      </c>
      <c r="B10" s="4" t="s">
        <v>44</v>
      </c>
      <c r="C10" s="4" t="s">
        <v>47</v>
      </c>
      <c r="D10" s="10" t="str">
        <f t="shared" si="0"/>
        <v>Banking_Portal</v>
      </c>
      <c r="E10" s="8" t="s">
        <v>1522</v>
      </c>
      <c r="F10" s="8"/>
    </row>
    <row r="11" spans="1:26" ht="15.75" customHeight="1" x14ac:dyDescent="0.4">
      <c r="A11" s="7" t="s">
        <v>186</v>
      </c>
      <c r="B11" s="4" t="s">
        <v>187</v>
      </c>
      <c r="C11" s="4" t="s">
        <v>47</v>
      </c>
      <c r="D11" s="10" t="str">
        <f t="shared" si="0"/>
        <v>Banking_Portal</v>
      </c>
      <c r="E11" s="8" t="s">
        <v>1522</v>
      </c>
      <c r="F11" s="8"/>
    </row>
    <row r="12" spans="1:26" ht="15.75" customHeight="1" x14ac:dyDescent="0.4">
      <c r="A12" s="7" t="s">
        <v>188</v>
      </c>
      <c r="B12" s="4" t="s">
        <v>189</v>
      </c>
      <c r="C12" s="4" t="s">
        <v>47</v>
      </c>
      <c r="D12" s="10" t="str">
        <f t="shared" si="0"/>
        <v>Banking_Portal</v>
      </c>
      <c r="E12" s="8" t="s">
        <v>1522</v>
      </c>
      <c r="F12" s="8"/>
    </row>
    <row r="13" spans="1:26" ht="15.75" customHeight="1" x14ac:dyDescent="0.4">
      <c r="A13" s="7" t="s">
        <v>217</v>
      </c>
      <c r="B13" s="4" t="s">
        <v>5</v>
      </c>
      <c r="C13" s="4" t="s">
        <v>47</v>
      </c>
      <c r="D13" s="10" t="str">
        <f t="shared" si="0"/>
        <v>Banking_Portal</v>
      </c>
      <c r="E13" s="8" t="s">
        <v>1522</v>
      </c>
      <c r="F13" s="8"/>
    </row>
    <row r="14" spans="1:26" ht="15.75" customHeight="1" x14ac:dyDescent="0.4">
      <c r="A14" s="7" t="s">
        <v>230</v>
      </c>
      <c r="B14" s="4" t="s">
        <v>88</v>
      </c>
      <c r="C14" s="4" t="s">
        <v>47</v>
      </c>
      <c r="D14" s="10" t="str">
        <f t="shared" si="0"/>
        <v>Banking_Portal</v>
      </c>
      <c r="E14" s="8" t="s">
        <v>1522</v>
      </c>
      <c r="F14" s="8"/>
    </row>
    <row r="15" spans="1:26" ht="15.75" customHeight="1" x14ac:dyDescent="0.4">
      <c r="A15" s="7" t="s">
        <v>255</v>
      </c>
      <c r="B15" s="4" t="s">
        <v>158</v>
      </c>
      <c r="C15" s="4" t="s">
        <v>47</v>
      </c>
      <c r="D15" s="10" t="str">
        <f t="shared" si="0"/>
        <v>Banking_Portal</v>
      </c>
      <c r="E15" s="8" t="s">
        <v>1522</v>
      </c>
      <c r="F15" s="8"/>
    </row>
    <row r="16" spans="1:26" ht="15.75" customHeight="1" x14ac:dyDescent="0.4">
      <c r="A16" s="7" t="s">
        <v>301</v>
      </c>
      <c r="B16" s="4" t="s">
        <v>135</v>
      </c>
      <c r="C16" s="4" t="s">
        <v>47</v>
      </c>
      <c r="D16" s="10" t="str">
        <f t="shared" si="0"/>
        <v>Banking_Portal</v>
      </c>
      <c r="E16" s="8" t="s">
        <v>1522</v>
      </c>
      <c r="F16" s="8"/>
    </row>
    <row r="17" spans="1:6" ht="15.75" customHeight="1" x14ac:dyDescent="0.4">
      <c r="A17" s="7" t="s">
        <v>312</v>
      </c>
      <c r="B17" s="4" t="s">
        <v>44</v>
      </c>
      <c r="C17" s="4" t="s">
        <v>47</v>
      </c>
      <c r="D17" s="10" t="str">
        <f t="shared" si="0"/>
        <v>Banking_Portal</v>
      </c>
      <c r="E17" s="8" t="s">
        <v>1522</v>
      </c>
      <c r="F17" s="8"/>
    </row>
    <row r="18" spans="1:6" ht="15.75" customHeight="1" x14ac:dyDescent="0.4">
      <c r="A18" s="7" t="s">
        <v>323</v>
      </c>
      <c r="B18" s="4" t="s">
        <v>324</v>
      </c>
      <c r="C18" s="4" t="s">
        <v>47</v>
      </c>
      <c r="D18" s="10" t="str">
        <f t="shared" si="0"/>
        <v>Banking_Portal</v>
      </c>
      <c r="E18" s="8" t="s">
        <v>1522</v>
      </c>
      <c r="F18" s="8"/>
    </row>
    <row r="19" spans="1:6" ht="15.75" customHeight="1" x14ac:dyDescent="0.4">
      <c r="A19" s="7" t="s">
        <v>325</v>
      </c>
      <c r="B19" s="4" t="s">
        <v>300</v>
      </c>
      <c r="C19" s="4" t="s">
        <v>47</v>
      </c>
      <c r="D19" s="10" t="str">
        <f t="shared" si="0"/>
        <v>Banking_Portal</v>
      </c>
      <c r="E19" s="8" t="s">
        <v>1522</v>
      </c>
      <c r="F19" s="8"/>
    </row>
    <row r="20" spans="1:6" ht="15.75" customHeight="1" x14ac:dyDescent="0.4">
      <c r="A20" s="7" t="s">
        <v>390</v>
      </c>
      <c r="B20" s="4" t="s">
        <v>391</v>
      </c>
      <c r="C20" s="4" t="s">
        <v>47</v>
      </c>
      <c r="D20" s="10" t="str">
        <f t="shared" si="0"/>
        <v>Banking_Portal</v>
      </c>
      <c r="E20" s="8" t="s">
        <v>1522</v>
      </c>
      <c r="F20" s="8"/>
    </row>
    <row r="21" spans="1:6" ht="15.75" customHeight="1" x14ac:dyDescent="0.4">
      <c r="A21" s="7" t="s">
        <v>410</v>
      </c>
      <c r="B21" s="4" t="s">
        <v>411</v>
      </c>
      <c r="C21" s="4" t="s">
        <v>47</v>
      </c>
      <c r="D21" s="10" t="str">
        <f t="shared" si="0"/>
        <v>Banking_Portal</v>
      </c>
      <c r="E21" s="8" t="s">
        <v>1522</v>
      </c>
      <c r="F21" s="8"/>
    </row>
    <row r="22" spans="1:6" ht="15.75" customHeight="1" x14ac:dyDescent="0.4">
      <c r="A22" s="7" t="s">
        <v>416</v>
      </c>
      <c r="B22" s="4" t="s">
        <v>224</v>
      </c>
      <c r="C22" s="4" t="s">
        <v>47</v>
      </c>
      <c r="D22" s="10" t="str">
        <f t="shared" si="0"/>
        <v>Banking_Portal</v>
      </c>
      <c r="E22" s="8" t="s">
        <v>1522</v>
      </c>
      <c r="F22" s="8"/>
    </row>
    <row r="23" spans="1:6" ht="15.75" customHeight="1" x14ac:dyDescent="0.4">
      <c r="A23" s="7" t="s">
        <v>432</v>
      </c>
      <c r="B23" s="4" t="s">
        <v>433</v>
      </c>
      <c r="C23" s="4" t="s">
        <v>47</v>
      </c>
      <c r="D23" s="10" t="str">
        <f t="shared" si="0"/>
        <v>Banking_Portal</v>
      </c>
      <c r="E23" s="8" t="s">
        <v>1522</v>
      </c>
      <c r="F23" s="8"/>
    </row>
    <row r="24" spans="1:6" ht="15.75" customHeight="1" x14ac:dyDescent="0.4">
      <c r="A24" s="7" t="s">
        <v>438</v>
      </c>
      <c r="B24" s="4" t="s">
        <v>439</v>
      </c>
      <c r="C24" s="4" t="s">
        <v>47</v>
      </c>
      <c r="D24" s="10" t="str">
        <f t="shared" si="0"/>
        <v>Banking_Portal</v>
      </c>
      <c r="E24" s="8" t="s">
        <v>1522</v>
      </c>
      <c r="F24" s="8"/>
    </row>
    <row r="25" spans="1:6" ht="15.75" customHeight="1" x14ac:dyDescent="0.4">
      <c r="A25" s="7" t="s">
        <v>447</v>
      </c>
      <c r="B25" s="4" t="s">
        <v>448</v>
      </c>
      <c r="C25" s="4" t="s">
        <v>47</v>
      </c>
      <c r="D25" s="10" t="str">
        <f t="shared" si="0"/>
        <v>Banking_Portal</v>
      </c>
      <c r="E25" s="8" t="s">
        <v>1522</v>
      </c>
      <c r="F25" s="8"/>
    </row>
    <row r="26" spans="1:6" ht="15.75" customHeight="1" x14ac:dyDescent="0.4">
      <c r="A26" s="7" t="s">
        <v>454</v>
      </c>
      <c r="B26" s="4" t="s">
        <v>146</v>
      </c>
      <c r="C26" s="4" t="s">
        <v>47</v>
      </c>
      <c r="D26" s="10" t="str">
        <f t="shared" si="0"/>
        <v>Banking_Portal</v>
      </c>
      <c r="E26" s="8" t="s">
        <v>1522</v>
      </c>
      <c r="F26" s="8"/>
    </row>
    <row r="27" spans="1:6" ht="15.75" customHeight="1" x14ac:dyDescent="0.4">
      <c r="A27" s="7" t="s">
        <v>472</v>
      </c>
      <c r="B27" s="4" t="s">
        <v>322</v>
      </c>
      <c r="C27" s="4" t="s">
        <v>47</v>
      </c>
      <c r="D27" s="10" t="str">
        <f t="shared" si="0"/>
        <v>Banking_Portal</v>
      </c>
      <c r="E27" s="8" t="s">
        <v>1522</v>
      </c>
      <c r="F27" s="8"/>
    </row>
    <row r="28" spans="1:6" ht="15.75" customHeight="1" x14ac:dyDescent="0.4">
      <c r="A28" s="7" t="s">
        <v>493</v>
      </c>
      <c r="B28" s="4" t="s">
        <v>494</v>
      </c>
      <c r="C28" s="4" t="s">
        <v>47</v>
      </c>
      <c r="D28" s="10" t="str">
        <f t="shared" si="0"/>
        <v>Banking_Portal</v>
      </c>
      <c r="E28" s="8" t="s">
        <v>1522</v>
      </c>
      <c r="F28" s="8"/>
    </row>
    <row r="29" spans="1:6" ht="15.75" customHeight="1" x14ac:dyDescent="0.4">
      <c r="A29" s="7" t="s">
        <v>509</v>
      </c>
      <c r="B29" s="4" t="s">
        <v>176</v>
      </c>
      <c r="C29" s="4" t="s">
        <v>47</v>
      </c>
      <c r="D29" s="10" t="str">
        <f t="shared" si="0"/>
        <v>Banking_Portal</v>
      </c>
      <c r="E29" s="8" t="s">
        <v>1522</v>
      </c>
      <c r="F29" s="8"/>
    </row>
    <row r="30" spans="1:6" ht="15.75" customHeight="1" x14ac:dyDescent="0.4">
      <c r="A30" s="7" t="s">
        <v>525</v>
      </c>
      <c r="B30" s="4" t="s">
        <v>433</v>
      </c>
      <c r="C30" s="4" t="s">
        <v>47</v>
      </c>
      <c r="D30" s="10" t="str">
        <f t="shared" si="0"/>
        <v>Banking_Portal</v>
      </c>
      <c r="E30" s="8" t="s">
        <v>1522</v>
      </c>
      <c r="F30" s="8"/>
    </row>
    <row r="31" spans="1:6" ht="15.75" customHeight="1" x14ac:dyDescent="0.4">
      <c r="A31" s="7" t="s">
        <v>535</v>
      </c>
      <c r="B31" s="4" t="s">
        <v>439</v>
      </c>
      <c r="C31" s="4" t="s">
        <v>47</v>
      </c>
      <c r="D31" s="10" t="str">
        <f t="shared" si="0"/>
        <v>Banking_Portal</v>
      </c>
      <c r="E31" s="8" t="s">
        <v>1522</v>
      </c>
      <c r="F31" s="8"/>
    </row>
    <row r="32" spans="1:6" ht="15.75" customHeight="1" x14ac:dyDescent="0.4">
      <c r="A32" s="7" t="s">
        <v>543</v>
      </c>
      <c r="B32" s="4" t="s">
        <v>31</v>
      </c>
      <c r="C32" s="4" t="s">
        <v>47</v>
      </c>
      <c r="D32" s="10" t="str">
        <f t="shared" si="0"/>
        <v>Banking_Portal</v>
      </c>
      <c r="E32" s="8" t="s">
        <v>1522</v>
      </c>
      <c r="F32" s="8"/>
    </row>
    <row r="33" spans="1:6" ht="15.75" customHeight="1" x14ac:dyDescent="0.4">
      <c r="A33" s="7" t="s">
        <v>559</v>
      </c>
      <c r="B33" s="4" t="s">
        <v>560</v>
      </c>
      <c r="C33" s="4" t="s">
        <v>47</v>
      </c>
      <c r="D33" s="10" t="str">
        <f t="shared" si="0"/>
        <v>Banking_Portal</v>
      </c>
      <c r="E33" s="8" t="s">
        <v>1522</v>
      </c>
      <c r="F33" s="8"/>
    </row>
    <row r="34" spans="1:6" ht="15.75" customHeight="1" x14ac:dyDescent="0.4">
      <c r="A34" s="7" t="s">
        <v>565</v>
      </c>
      <c r="B34" s="4" t="s">
        <v>84</v>
      </c>
      <c r="C34" s="4" t="s">
        <v>47</v>
      </c>
      <c r="D34" s="10" t="str">
        <f t="shared" si="0"/>
        <v>Banking_Portal</v>
      </c>
      <c r="E34" s="8" t="s">
        <v>1522</v>
      </c>
      <c r="F34" s="8"/>
    </row>
    <row r="35" spans="1:6" ht="15.75" customHeight="1" x14ac:dyDescent="0.4">
      <c r="A35" s="7" t="s">
        <v>636</v>
      </c>
      <c r="B35" s="4" t="s">
        <v>637</v>
      </c>
      <c r="C35" s="4" t="s">
        <v>47</v>
      </c>
      <c r="D35" s="10" t="str">
        <f t="shared" si="0"/>
        <v>Banking_Portal</v>
      </c>
      <c r="E35" s="8" t="s">
        <v>1522</v>
      </c>
      <c r="F35" s="8"/>
    </row>
    <row r="36" spans="1:6" ht="15.75" customHeight="1" x14ac:dyDescent="0.4">
      <c r="A36" s="7" t="s">
        <v>650</v>
      </c>
      <c r="B36" s="4" t="s">
        <v>57</v>
      </c>
      <c r="C36" s="4" t="s">
        <v>47</v>
      </c>
      <c r="D36" s="10" t="str">
        <f t="shared" si="0"/>
        <v>Banking_Portal</v>
      </c>
      <c r="E36" s="8" t="s">
        <v>1522</v>
      </c>
      <c r="F36" s="8"/>
    </row>
    <row r="37" spans="1:6" ht="14.6" x14ac:dyDescent="0.4">
      <c r="A37" s="7" t="s">
        <v>666</v>
      </c>
      <c r="B37" s="4" t="s">
        <v>667</v>
      </c>
      <c r="C37" s="4" t="s">
        <v>47</v>
      </c>
      <c r="D37" s="10" t="str">
        <f t="shared" si="0"/>
        <v>Banking_Portal</v>
      </c>
      <c r="E37" s="8" t="s">
        <v>1522</v>
      </c>
      <c r="F37" s="8"/>
    </row>
    <row r="38" spans="1:6" ht="14.6" x14ac:dyDescent="0.4">
      <c r="A38" s="7" t="s">
        <v>711</v>
      </c>
      <c r="B38" s="4" t="s">
        <v>448</v>
      </c>
      <c r="C38" s="4" t="s">
        <v>47</v>
      </c>
      <c r="D38" s="10" t="str">
        <f t="shared" si="0"/>
        <v>Banking_Portal</v>
      </c>
      <c r="E38" s="8" t="s">
        <v>1522</v>
      </c>
      <c r="F38" s="8"/>
    </row>
    <row r="39" spans="1:6" ht="14.6" x14ac:dyDescent="0.4">
      <c r="A39" s="7" t="s">
        <v>713</v>
      </c>
      <c r="B39" s="4" t="s">
        <v>714</v>
      </c>
      <c r="C39" s="4" t="s">
        <v>47</v>
      </c>
      <c r="D39" s="10" t="str">
        <f t="shared" si="0"/>
        <v>Banking_Portal</v>
      </c>
      <c r="E39" s="8" t="s">
        <v>1522</v>
      </c>
      <c r="F39" s="8"/>
    </row>
    <row r="40" spans="1:6" ht="14.6" x14ac:dyDescent="0.4">
      <c r="A40" s="7" t="s">
        <v>753</v>
      </c>
      <c r="B40" s="4" t="s">
        <v>439</v>
      </c>
      <c r="C40" s="4" t="s">
        <v>47</v>
      </c>
      <c r="D40" s="10" t="str">
        <f t="shared" si="0"/>
        <v>Banking_Portal</v>
      </c>
      <c r="E40" s="8" t="s">
        <v>1522</v>
      </c>
      <c r="F40" s="8"/>
    </row>
    <row r="41" spans="1:6" ht="14.6" x14ac:dyDescent="0.4">
      <c r="A41" s="7" t="s">
        <v>771</v>
      </c>
      <c r="B41" s="4" t="s">
        <v>224</v>
      </c>
      <c r="C41" s="4" t="s">
        <v>47</v>
      </c>
      <c r="D41" s="10" t="str">
        <f t="shared" si="0"/>
        <v>Banking_Portal</v>
      </c>
      <c r="E41" s="8" t="s">
        <v>1522</v>
      </c>
      <c r="F41" s="8"/>
    </row>
    <row r="42" spans="1:6" ht="14.6" x14ac:dyDescent="0.4">
      <c r="A42" s="7" t="s">
        <v>826</v>
      </c>
      <c r="B42" s="4" t="s">
        <v>383</v>
      </c>
      <c r="C42" s="4" t="s">
        <v>47</v>
      </c>
      <c r="D42" s="10" t="str">
        <f t="shared" si="0"/>
        <v>Banking_Portal</v>
      </c>
      <c r="E42" s="8" t="s">
        <v>1522</v>
      </c>
      <c r="F42" s="8"/>
    </row>
    <row r="43" spans="1:6" ht="14.6" x14ac:dyDescent="0.4">
      <c r="A43" s="7" t="s">
        <v>836</v>
      </c>
      <c r="B43" s="4" t="s">
        <v>263</v>
      </c>
      <c r="C43" s="4" t="s">
        <v>47</v>
      </c>
      <c r="D43" s="10" t="str">
        <f t="shared" si="0"/>
        <v>Banking_Portal</v>
      </c>
      <c r="E43" s="8" t="s">
        <v>1522</v>
      </c>
      <c r="F43" s="8"/>
    </row>
    <row r="44" spans="1:6" ht="14.6" x14ac:dyDescent="0.4">
      <c r="A44" s="7" t="s">
        <v>840</v>
      </c>
      <c r="B44" s="4" t="s">
        <v>356</v>
      </c>
      <c r="C44" s="4" t="s">
        <v>47</v>
      </c>
      <c r="D44" s="10" t="str">
        <f t="shared" si="0"/>
        <v>Banking_Portal</v>
      </c>
      <c r="E44" s="8" t="s">
        <v>1522</v>
      </c>
      <c r="F44" s="8"/>
    </row>
    <row r="45" spans="1:6" ht="14.6" x14ac:dyDescent="0.4">
      <c r="A45" s="7" t="s">
        <v>855</v>
      </c>
      <c r="B45" s="4" t="s">
        <v>856</v>
      </c>
      <c r="C45" s="4" t="s">
        <v>47</v>
      </c>
      <c r="D45" s="10" t="str">
        <f t="shared" si="0"/>
        <v>Banking_Portal</v>
      </c>
      <c r="E45" s="8" t="s">
        <v>1522</v>
      </c>
      <c r="F45" s="8"/>
    </row>
    <row r="46" spans="1:6" ht="14.6" x14ac:dyDescent="0.4">
      <c r="A46" s="7" t="s">
        <v>862</v>
      </c>
      <c r="B46" s="4" t="s">
        <v>291</v>
      </c>
      <c r="C46" s="4" t="s">
        <v>47</v>
      </c>
      <c r="D46" s="10" t="str">
        <f t="shared" si="0"/>
        <v>Banking_Portal</v>
      </c>
      <c r="E46" s="8" t="s">
        <v>1522</v>
      </c>
      <c r="F46" s="8"/>
    </row>
    <row r="47" spans="1:6" ht="14.6" x14ac:dyDescent="0.4">
      <c r="A47" s="7" t="s">
        <v>898</v>
      </c>
      <c r="B47" s="4" t="s">
        <v>38</v>
      </c>
      <c r="C47" s="4" t="s">
        <v>47</v>
      </c>
      <c r="D47" s="10" t="str">
        <f t="shared" si="0"/>
        <v>Banking_Portal</v>
      </c>
      <c r="E47" s="8" t="s">
        <v>1522</v>
      </c>
      <c r="F47" s="8"/>
    </row>
    <row r="48" spans="1:6" ht="14.6" x14ac:dyDescent="0.4">
      <c r="A48" s="7" t="s">
        <v>911</v>
      </c>
      <c r="B48" s="4" t="s">
        <v>545</v>
      </c>
      <c r="C48" s="4" t="s">
        <v>47</v>
      </c>
      <c r="D48" s="10" t="str">
        <f t="shared" si="0"/>
        <v>Banking_Portal</v>
      </c>
      <c r="E48" s="8" t="s">
        <v>1522</v>
      </c>
      <c r="F48" s="8"/>
    </row>
    <row r="49" spans="1:6" ht="14.6" x14ac:dyDescent="0.4">
      <c r="A49" s="7" t="s">
        <v>932</v>
      </c>
      <c r="B49" s="4" t="s">
        <v>490</v>
      </c>
      <c r="C49" s="4" t="s">
        <v>47</v>
      </c>
      <c r="D49" s="10" t="str">
        <f t="shared" si="0"/>
        <v>Banking_Portal</v>
      </c>
      <c r="E49" s="8" t="s">
        <v>1522</v>
      </c>
      <c r="F49" s="8"/>
    </row>
    <row r="50" spans="1:6" ht="14.6" x14ac:dyDescent="0.4">
      <c r="A50" s="7" t="s">
        <v>934</v>
      </c>
      <c r="B50" s="4" t="s">
        <v>701</v>
      </c>
      <c r="C50" s="4" t="s">
        <v>47</v>
      </c>
      <c r="D50" s="10" t="str">
        <f t="shared" si="0"/>
        <v>Banking_Portal</v>
      </c>
      <c r="E50" s="8" t="s">
        <v>1522</v>
      </c>
      <c r="F50" s="8"/>
    </row>
    <row r="51" spans="1:6" ht="14.6" x14ac:dyDescent="0.4">
      <c r="A51" s="7" t="s">
        <v>942</v>
      </c>
      <c r="B51" s="4" t="s">
        <v>747</v>
      </c>
      <c r="C51" s="4" t="s">
        <v>47</v>
      </c>
      <c r="D51" s="10" t="str">
        <f t="shared" si="0"/>
        <v>Banking_Portal</v>
      </c>
      <c r="E51" s="8" t="s">
        <v>1522</v>
      </c>
      <c r="F51" s="8"/>
    </row>
    <row r="52" spans="1:6" ht="14.6" x14ac:dyDescent="0.4">
      <c r="A52" s="7" t="s">
        <v>980</v>
      </c>
      <c r="B52" s="4" t="s">
        <v>391</v>
      </c>
      <c r="C52" s="4" t="s">
        <v>47</v>
      </c>
      <c r="D52" s="10" t="str">
        <f t="shared" si="0"/>
        <v>Banking_Portal</v>
      </c>
      <c r="E52" s="8" t="s">
        <v>1522</v>
      </c>
      <c r="F52" s="8"/>
    </row>
    <row r="53" spans="1:6" ht="14.6" x14ac:dyDescent="0.4">
      <c r="A53" s="7" t="s">
        <v>1013</v>
      </c>
      <c r="B53" s="4" t="s">
        <v>519</v>
      </c>
      <c r="C53" s="4" t="s">
        <v>47</v>
      </c>
      <c r="D53" s="10" t="str">
        <f t="shared" si="0"/>
        <v>Banking_Portal</v>
      </c>
      <c r="E53" s="8" t="s">
        <v>1522</v>
      </c>
      <c r="F53" s="8"/>
    </row>
    <row r="54" spans="1:6" ht="14.6" x14ac:dyDescent="0.4">
      <c r="A54" s="7" t="s">
        <v>1015</v>
      </c>
      <c r="B54" s="4" t="s">
        <v>1016</v>
      </c>
      <c r="C54" s="4" t="s">
        <v>47</v>
      </c>
      <c r="D54" s="10" t="str">
        <f t="shared" si="0"/>
        <v>Banking_Portal</v>
      </c>
      <c r="E54" s="8" t="s">
        <v>1522</v>
      </c>
      <c r="F54" s="8"/>
    </row>
    <row r="55" spans="1:6" ht="14.6" x14ac:dyDescent="0.4">
      <c r="A55" s="7" t="s">
        <v>1017</v>
      </c>
      <c r="B55" s="4" t="s">
        <v>667</v>
      </c>
      <c r="C55" s="4" t="s">
        <v>47</v>
      </c>
      <c r="D55" s="10" t="str">
        <f t="shared" si="0"/>
        <v>Banking_Portal</v>
      </c>
      <c r="E55" s="8" t="s">
        <v>1522</v>
      </c>
      <c r="F55" s="8"/>
    </row>
    <row r="56" spans="1:6" ht="14.6" x14ac:dyDescent="0.4">
      <c r="A56" s="7" t="s">
        <v>1041</v>
      </c>
      <c r="B56" s="4" t="s">
        <v>1038</v>
      </c>
      <c r="C56" s="4" t="s">
        <v>47</v>
      </c>
      <c r="D56" s="10" t="str">
        <f t="shared" si="0"/>
        <v>Banking_Portal</v>
      </c>
      <c r="E56" s="8" t="s">
        <v>1522</v>
      </c>
      <c r="F56" s="8"/>
    </row>
    <row r="57" spans="1:6" ht="14.6" x14ac:dyDescent="0.4">
      <c r="A57" s="7" t="s">
        <v>1046</v>
      </c>
      <c r="B57" s="4" t="s">
        <v>1047</v>
      </c>
      <c r="C57" s="4" t="s">
        <v>47</v>
      </c>
      <c r="D57" s="10" t="str">
        <f t="shared" si="0"/>
        <v>Banking_Portal</v>
      </c>
      <c r="E57" s="8" t="s">
        <v>1522</v>
      </c>
      <c r="F57" s="8"/>
    </row>
    <row r="58" spans="1:6" ht="14.6" x14ac:dyDescent="0.4">
      <c r="A58" s="7" t="s">
        <v>1057</v>
      </c>
      <c r="B58" s="4" t="s">
        <v>1038</v>
      </c>
      <c r="C58" s="4" t="s">
        <v>47</v>
      </c>
      <c r="D58" s="10" t="str">
        <f t="shared" si="0"/>
        <v>Banking_Portal</v>
      </c>
      <c r="E58" s="8" t="s">
        <v>1522</v>
      </c>
      <c r="F58" s="8"/>
    </row>
    <row r="59" spans="1:6" ht="14.6" x14ac:dyDescent="0.4">
      <c r="A59" s="7" t="s">
        <v>1086</v>
      </c>
      <c r="B59" s="4" t="s">
        <v>1087</v>
      </c>
      <c r="C59" s="4" t="s">
        <v>47</v>
      </c>
      <c r="D59" s="10" t="str">
        <f t="shared" si="0"/>
        <v>Banking_Portal</v>
      </c>
      <c r="E59" s="8" t="s">
        <v>1522</v>
      </c>
      <c r="F59" s="8"/>
    </row>
    <row r="60" spans="1:6" ht="14.6" x14ac:dyDescent="0.4">
      <c r="A60" s="7" t="s">
        <v>1133</v>
      </c>
      <c r="B60" s="4" t="s">
        <v>1080</v>
      </c>
      <c r="C60" s="4" t="s">
        <v>47</v>
      </c>
      <c r="D60" s="10" t="str">
        <f t="shared" si="0"/>
        <v>Banking_Portal</v>
      </c>
      <c r="E60" s="8" t="s">
        <v>1522</v>
      </c>
      <c r="F60" s="8"/>
    </row>
    <row r="61" spans="1:6" ht="14.6" x14ac:dyDescent="0.4">
      <c r="A61" s="7" t="s">
        <v>1141</v>
      </c>
      <c r="B61" s="4" t="s">
        <v>1038</v>
      </c>
      <c r="C61" s="4" t="s">
        <v>47</v>
      </c>
      <c r="D61" s="10" t="str">
        <f t="shared" si="0"/>
        <v>Banking_Portal</v>
      </c>
      <c r="E61" s="8" t="s">
        <v>1522</v>
      </c>
      <c r="F61" s="8"/>
    </row>
    <row r="62" spans="1:6" ht="14.6" x14ac:dyDescent="0.4">
      <c r="A62" s="7" t="s">
        <v>1232</v>
      </c>
      <c r="B62" s="4" t="s">
        <v>1176</v>
      </c>
      <c r="C62" s="4" t="s">
        <v>47</v>
      </c>
      <c r="D62" s="10" t="str">
        <f t="shared" si="0"/>
        <v>Banking_Portal</v>
      </c>
      <c r="E62" s="8" t="s">
        <v>1522</v>
      </c>
      <c r="F62" s="8"/>
    </row>
    <row r="63" spans="1:6" ht="14.6" x14ac:dyDescent="0.4">
      <c r="A63" s="7" t="s">
        <v>1273</v>
      </c>
      <c r="B63" s="4" t="s">
        <v>1256</v>
      </c>
      <c r="C63" s="4" t="s">
        <v>47</v>
      </c>
      <c r="D63" s="10" t="str">
        <f t="shared" si="0"/>
        <v>Banking_Portal</v>
      </c>
      <c r="E63" s="8" t="s">
        <v>1522</v>
      </c>
      <c r="F63" s="8"/>
    </row>
    <row r="64" spans="1:6" ht="14.6" x14ac:dyDescent="0.4">
      <c r="A64" s="7" t="s">
        <v>1276</v>
      </c>
      <c r="B64" s="4" t="s">
        <v>1262</v>
      </c>
      <c r="C64" s="4" t="s">
        <v>47</v>
      </c>
      <c r="D64" s="10" t="str">
        <f t="shared" si="0"/>
        <v>Banking_Portal</v>
      </c>
      <c r="E64" s="8" t="s">
        <v>1522</v>
      </c>
      <c r="F64" s="8"/>
    </row>
    <row r="65" spans="1:6" ht="14.6" x14ac:dyDescent="0.4">
      <c r="A65" s="7" t="s">
        <v>1286</v>
      </c>
      <c r="B65" s="4" t="s">
        <v>1256</v>
      </c>
      <c r="C65" s="4" t="s">
        <v>47</v>
      </c>
      <c r="D65" s="10" t="str">
        <f t="shared" si="0"/>
        <v>Banking_Portal</v>
      </c>
      <c r="E65" s="8" t="s">
        <v>1522</v>
      </c>
      <c r="F65" s="8"/>
    </row>
    <row r="66" spans="1:6" ht="14.6" x14ac:dyDescent="0.4">
      <c r="A66" s="7" t="s">
        <v>1292</v>
      </c>
      <c r="B66" s="4" t="s">
        <v>1258</v>
      </c>
      <c r="C66" s="4" t="s">
        <v>47</v>
      </c>
      <c r="D66" s="10" t="str">
        <f t="shared" si="0"/>
        <v>Banking_Portal</v>
      </c>
      <c r="E66" s="8" t="s">
        <v>1522</v>
      </c>
      <c r="F66" s="8"/>
    </row>
    <row r="67" spans="1:6" ht="14.6" x14ac:dyDescent="0.4">
      <c r="A67" s="7" t="s">
        <v>1312</v>
      </c>
      <c r="B67" s="4" t="s">
        <v>1256</v>
      </c>
      <c r="C67" s="4" t="s">
        <v>47</v>
      </c>
      <c r="D67" s="10" t="str">
        <f t="shared" si="0"/>
        <v>Banking_Portal</v>
      </c>
      <c r="E67" s="8" t="s">
        <v>1522</v>
      </c>
      <c r="F67" s="8"/>
    </row>
    <row r="68" spans="1:6" ht="14.6" x14ac:dyDescent="0.4">
      <c r="A68" s="7" t="s">
        <v>1322</v>
      </c>
      <c r="B68" s="4" t="s">
        <v>1268</v>
      </c>
      <c r="C68" s="4" t="s">
        <v>47</v>
      </c>
      <c r="D68" s="10" t="str">
        <f t="shared" si="0"/>
        <v>Banking_Portal</v>
      </c>
      <c r="E68" s="8" t="s">
        <v>1522</v>
      </c>
      <c r="F68" s="8"/>
    </row>
    <row r="69" spans="1:6" ht="14.6" x14ac:dyDescent="0.4">
      <c r="A69" s="7" t="s">
        <v>1338</v>
      </c>
      <c r="B69" s="4" t="s">
        <v>1262</v>
      </c>
      <c r="C69" s="4" t="s">
        <v>47</v>
      </c>
      <c r="D69" s="10" t="str">
        <f t="shared" si="0"/>
        <v>Banking_Portal</v>
      </c>
      <c r="E69" s="8" t="s">
        <v>1522</v>
      </c>
      <c r="F69" s="8"/>
    </row>
    <row r="70" spans="1:6" ht="14.6" x14ac:dyDescent="0.4">
      <c r="A70" s="7" t="s">
        <v>1381</v>
      </c>
      <c r="B70" s="4" t="s">
        <v>1355</v>
      </c>
      <c r="C70" s="4" t="s">
        <v>47</v>
      </c>
      <c r="D70" s="10" t="str">
        <f t="shared" si="0"/>
        <v>Banking_Portal</v>
      </c>
      <c r="E70" s="8" t="s">
        <v>1522</v>
      </c>
      <c r="F70" s="8"/>
    </row>
    <row r="71" spans="1:6" ht="14.6" x14ac:dyDescent="0.4">
      <c r="A71" s="7" t="s">
        <v>1408</v>
      </c>
      <c r="B71" s="4" t="s">
        <v>1361</v>
      </c>
      <c r="C71" s="4" t="s">
        <v>47</v>
      </c>
      <c r="D71" s="10" t="str">
        <f t="shared" si="0"/>
        <v>Banking_Portal</v>
      </c>
      <c r="E71" s="8" t="s">
        <v>1522</v>
      </c>
      <c r="F71" s="8"/>
    </row>
    <row r="72" spans="1:6" ht="14.6" x14ac:dyDescent="0.4">
      <c r="A72" s="7" t="s">
        <v>1416</v>
      </c>
      <c r="B72" s="4" t="s">
        <v>1359</v>
      </c>
      <c r="C72" s="4" t="s">
        <v>47</v>
      </c>
      <c r="D72" s="10" t="str">
        <f t="shared" si="0"/>
        <v>Banking_Portal</v>
      </c>
      <c r="E72" s="8" t="s">
        <v>1522</v>
      </c>
      <c r="F72" s="8"/>
    </row>
    <row r="73" spans="1:6" ht="14.6" x14ac:dyDescent="0.4">
      <c r="A73" s="7" t="s">
        <v>1453</v>
      </c>
      <c r="B73" s="4" t="s">
        <v>1449</v>
      </c>
      <c r="C73" s="4" t="s">
        <v>47</v>
      </c>
      <c r="D73" s="10" t="str">
        <f t="shared" si="0"/>
        <v>Banking_Portal</v>
      </c>
      <c r="E73" s="8" t="s">
        <v>1522</v>
      </c>
      <c r="F73" s="8"/>
    </row>
    <row r="74" spans="1:6" ht="14.6" x14ac:dyDescent="0.4">
      <c r="A74" s="7" t="s">
        <v>1455</v>
      </c>
      <c r="B74" s="4" t="s">
        <v>1449</v>
      </c>
      <c r="C74" s="4" t="s">
        <v>47</v>
      </c>
      <c r="D74" s="10" t="str">
        <f t="shared" si="0"/>
        <v>Banking_Portal</v>
      </c>
      <c r="E74" s="8" t="s">
        <v>1522</v>
      </c>
      <c r="F74" s="8"/>
    </row>
    <row r="75" spans="1:6" ht="14.6" x14ac:dyDescent="0.4">
      <c r="A75" s="7" t="s">
        <v>1456</v>
      </c>
      <c r="B75" s="4" t="s">
        <v>1427</v>
      </c>
      <c r="C75" s="4" t="s">
        <v>47</v>
      </c>
      <c r="D75" s="10" t="str">
        <f t="shared" si="0"/>
        <v>Banking_Portal</v>
      </c>
      <c r="E75" s="8" t="s">
        <v>1522</v>
      </c>
      <c r="F75" s="8"/>
    </row>
    <row r="76" spans="1:6" ht="14.6" x14ac:dyDescent="0.4">
      <c r="A76" s="7" t="s">
        <v>1459</v>
      </c>
      <c r="B76" s="4" t="s">
        <v>1429</v>
      </c>
      <c r="C76" s="4" t="s">
        <v>47</v>
      </c>
      <c r="D76" s="10" t="str">
        <f t="shared" si="0"/>
        <v>Banking_Portal</v>
      </c>
      <c r="E76" s="8" t="s">
        <v>1522</v>
      </c>
      <c r="F76" s="8"/>
    </row>
    <row r="77" spans="1:6" ht="14.6" x14ac:dyDescent="0.4">
      <c r="A77" s="7" t="s">
        <v>1460</v>
      </c>
      <c r="B77" s="4" t="s">
        <v>1429</v>
      </c>
      <c r="C77" s="4" t="s">
        <v>47</v>
      </c>
      <c r="D77" s="10" t="str">
        <f t="shared" si="0"/>
        <v>Banking_Portal</v>
      </c>
      <c r="E77" s="8" t="s">
        <v>1522</v>
      </c>
      <c r="F77" s="8"/>
    </row>
    <row r="78" spans="1:6" ht="14.6" x14ac:dyDescent="0.4">
      <c r="A78" s="7" t="s">
        <v>1461</v>
      </c>
      <c r="B78" s="4" t="s">
        <v>1427</v>
      </c>
      <c r="C78" s="4" t="s">
        <v>47</v>
      </c>
      <c r="D78" s="10" t="str">
        <f t="shared" si="0"/>
        <v>Banking_Portal</v>
      </c>
      <c r="E78" s="8" t="s">
        <v>1522</v>
      </c>
      <c r="F78" s="8"/>
    </row>
    <row r="79" spans="1:6" ht="14.6" x14ac:dyDescent="0.4">
      <c r="A79" s="7" t="s">
        <v>1465</v>
      </c>
      <c r="B79" s="4" t="s">
        <v>1427</v>
      </c>
      <c r="C79" s="4" t="s">
        <v>47</v>
      </c>
      <c r="D79" s="10" t="str">
        <f t="shared" si="0"/>
        <v>Banking_Portal</v>
      </c>
      <c r="E79" s="8" t="s">
        <v>1522</v>
      </c>
      <c r="F79" s="8"/>
    </row>
    <row r="80" spans="1:6" ht="14.6" x14ac:dyDescent="0.4">
      <c r="A80" s="7" t="s">
        <v>1472</v>
      </c>
      <c r="B80" s="4" t="s">
        <v>1473</v>
      </c>
      <c r="C80" s="4" t="s">
        <v>47</v>
      </c>
      <c r="D80" s="10" t="str">
        <f t="shared" si="0"/>
        <v>Banking_Portal</v>
      </c>
      <c r="E80" s="8" t="s">
        <v>1522</v>
      </c>
      <c r="F80" s="8"/>
    </row>
    <row r="81" spans="1:6" ht="14.6" x14ac:dyDescent="0.4">
      <c r="A81" s="7" t="s">
        <v>1484</v>
      </c>
      <c r="B81" s="4" t="s">
        <v>1475</v>
      </c>
      <c r="C81" s="4" t="s">
        <v>47</v>
      </c>
      <c r="D81" s="10" t="str">
        <f t="shared" si="0"/>
        <v>Banking_Portal</v>
      </c>
      <c r="E81" s="8" t="s">
        <v>1522</v>
      </c>
      <c r="F81" s="8"/>
    </row>
    <row r="82" spans="1:6" ht="14.6" x14ac:dyDescent="0.4">
      <c r="A82" s="7" t="s">
        <v>1487</v>
      </c>
      <c r="B82" s="4" t="s">
        <v>1473</v>
      </c>
      <c r="C82" s="4" t="s">
        <v>47</v>
      </c>
      <c r="D82" s="10" t="str">
        <f t="shared" si="0"/>
        <v>Banking_Portal</v>
      </c>
      <c r="E82" s="8" t="s">
        <v>1522</v>
      </c>
      <c r="F82" s="8"/>
    </row>
    <row r="83" spans="1:6" ht="14.6" x14ac:dyDescent="0.4">
      <c r="A83" s="7" t="s">
        <v>1497</v>
      </c>
      <c r="B83" s="4" t="s">
        <v>1498</v>
      </c>
      <c r="C83" s="4" t="s">
        <v>47</v>
      </c>
      <c r="D83" s="10" t="str">
        <f t="shared" si="0"/>
        <v>Banking_Portal</v>
      </c>
      <c r="E83" s="8" t="s">
        <v>1522</v>
      </c>
      <c r="F83" s="8"/>
    </row>
    <row r="84" spans="1:6" ht="14.6" x14ac:dyDescent="0.4">
      <c r="A84" s="7" t="s">
        <v>1504</v>
      </c>
      <c r="B84" s="4" t="s">
        <v>1505</v>
      </c>
      <c r="C84" s="4" t="s">
        <v>47</v>
      </c>
      <c r="D84" s="10" t="str">
        <f t="shared" si="0"/>
        <v>Banking_Portal</v>
      </c>
      <c r="E84" s="8" t="s">
        <v>1522</v>
      </c>
      <c r="F84" s="8"/>
    </row>
    <row r="85" spans="1:6" ht="14.6" x14ac:dyDescent="0.4">
      <c r="A85" s="7" t="s">
        <v>1506</v>
      </c>
      <c r="B85" s="4" t="s">
        <v>1498</v>
      </c>
      <c r="C85" s="4" t="s">
        <v>47</v>
      </c>
      <c r="D85" s="10" t="str">
        <f t="shared" si="0"/>
        <v>Banking_Portal</v>
      </c>
      <c r="E85" s="8" t="s">
        <v>1522</v>
      </c>
      <c r="F85" s="8"/>
    </row>
    <row r="86" spans="1:6" ht="14.6" x14ac:dyDescent="0.4">
      <c r="A86" s="7" t="s">
        <v>1515</v>
      </c>
      <c r="B86" s="4" t="s">
        <v>1498</v>
      </c>
      <c r="C86" s="4" t="s">
        <v>47</v>
      </c>
      <c r="D86" s="10" t="str">
        <f t="shared" si="0"/>
        <v>Banking_Portal</v>
      </c>
      <c r="E86" s="8" t="s">
        <v>1522</v>
      </c>
      <c r="F86" s="8"/>
    </row>
    <row r="87" spans="1:6" ht="14.6" x14ac:dyDescent="0.4">
      <c r="A87" s="7" t="s">
        <v>19</v>
      </c>
      <c r="B87" s="4" t="s">
        <v>20</v>
      </c>
      <c r="C87" s="4" t="s">
        <v>21</v>
      </c>
      <c r="D87" s="10" t="str">
        <f t="shared" si="0"/>
        <v>Credit_Processing_System</v>
      </c>
      <c r="E87" s="8" t="s">
        <v>1522</v>
      </c>
      <c r="F87" s="8" t="s">
        <v>1537</v>
      </c>
    </row>
    <row r="88" spans="1:6" ht="14.6" x14ac:dyDescent="0.4">
      <c r="A88" s="7" t="s">
        <v>35</v>
      </c>
      <c r="B88" s="4" t="s">
        <v>36</v>
      </c>
      <c r="C88" s="4" t="s">
        <v>21</v>
      </c>
      <c r="D88" s="10" t="str">
        <f t="shared" si="0"/>
        <v>Credit_Processing_System</v>
      </c>
      <c r="E88" s="8" t="s">
        <v>1522</v>
      </c>
      <c r="F88" s="8"/>
    </row>
    <row r="89" spans="1:6" ht="14.6" x14ac:dyDescent="0.4">
      <c r="A89" s="7" t="s">
        <v>152</v>
      </c>
      <c r="B89" s="4" t="s">
        <v>11</v>
      </c>
      <c r="C89" s="4" t="s">
        <v>21</v>
      </c>
      <c r="D89" s="10" t="str">
        <f t="shared" si="0"/>
        <v>Credit_Processing_System</v>
      </c>
      <c r="E89" s="8" t="s">
        <v>1522</v>
      </c>
      <c r="F89" s="8"/>
    </row>
    <row r="90" spans="1:6" ht="14.6" x14ac:dyDescent="0.4">
      <c r="A90" s="7" t="s">
        <v>220</v>
      </c>
      <c r="B90" s="4" t="s">
        <v>221</v>
      </c>
      <c r="C90" s="4" t="s">
        <v>21</v>
      </c>
      <c r="D90" s="10" t="str">
        <f t="shared" si="0"/>
        <v>Credit_Processing_System</v>
      </c>
      <c r="E90" s="8" t="s">
        <v>1522</v>
      </c>
      <c r="F90" s="8"/>
    </row>
    <row r="91" spans="1:6" ht="14.6" x14ac:dyDescent="0.4">
      <c r="A91" s="7" t="s">
        <v>237</v>
      </c>
      <c r="B91" s="4" t="s">
        <v>238</v>
      </c>
      <c r="C91" s="4" t="s">
        <v>21</v>
      </c>
      <c r="D91" s="10" t="str">
        <f t="shared" si="0"/>
        <v>Credit_Processing_System</v>
      </c>
      <c r="E91" s="8" t="s">
        <v>1522</v>
      </c>
      <c r="F91" s="8"/>
    </row>
    <row r="92" spans="1:6" ht="14.6" x14ac:dyDescent="0.4">
      <c r="A92" s="7" t="s">
        <v>332</v>
      </c>
      <c r="B92" s="4" t="s">
        <v>333</v>
      </c>
      <c r="C92" s="4" t="s">
        <v>21</v>
      </c>
      <c r="D92" s="10" t="str">
        <f t="shared" si="0"/>
        <v>Credit_Processing_System</v>
      </c>
      <c r="E92" s="8" t="s">
        <v>1522</v>
      </c>
      <c r="F92" s="8"/>
    </row>
    <row r="93" spans="1:6" ht="14.6" x14ac:dyDescent="0.4">
      <c r="A93" s="7" t="s">
        <v>376</v>
      </c>
      <c r="B93" s="4" t="s">
        <v>377</v>
      </c>
      <c r="C93" s="4" t="s">
        <v>21</v>
      </c>
      <c r="D93" s="10" t="str">
        <f t="shared" si="0"/>
        <v>Credit_Processing_System</v>
      </c>
      <c r="E93" s="8" t="s">
        <v>1522</v>
      </c>
      <c r="F93" s="8"/>
    </row>
    <row r="94" spans="1:6" ht="14.6" x14ac:dyDescent="0.4">
      <c r="A94" s="7" t="s">
        <v>380</v>
      </c>
      <c r="B94" s="4" t="s">
        <v>114</v>
      </c>
      <c r="C94" s="4" t="s">
        <v>21</v>
      </c>
      <c r="D94" s="10" t="str">
        <f t="shared" si="0"/>
        <v>Credit_Processing_System</v>
      </c>
      <c r="E94" s="8" t="s">
        <v>1522</v>
      </c>
      <c r="F94" s="8"/>
    </row>
    <row r="95" spans="1:6" ht="14.6" x14ac:dyDescent="0.4">
      <c r="A95" s="7" t="s">
        <v>387</v>
      </c>
      <c r="B95" s="4" t="s">
        <v>82</v>
      </c>
      <c r="C95" s="4" t="s">
        <v>21</v>
      </c>
      <c r="D95" s="10" t="str">
        <f t="shared" si="0"/>
        <v>Credit_Processing_System</v>
      </c>
      <c r="E95" s="8" t="s">
        <v>1522</v>
      </c>
      <c r="F95" s="8"/>
    </row>
    <row r="96" spans="1:6" ht="14.6" x14ac:dyDescent="0.4">
      <c r="A96" s="7" t="s">
        <v>420</v>
      </c>
      <c r="B96" s="4" t="s">
        <v>421</v>
      </c>
      <c r="C96" s="4" t="s">
        <v>21</v>
      </c>
      <c r="D96" s="10" t="str">
        <f t="shared" si="0"/>
        <v>Credit_Processing_System</v>
      </c>
      <c r="E96" s="8" t="s">
        <v>1522</v>
      </c>
      <c r="F96" s="8"/>
    </row>
    <row r="97" spans="1:6" ht="14.6" x14ac:dyDescent="0.4">
      <c r="A97" s="7" t="s">
        <v>434</v>
      </c>
      <c r="B97" s="4" t="s">
        <v>101</v>
      </c>
      <c r="C97" s="4" t="s">
        <v>21</v>
      </c>
      <c r="D97" s="10" t="str">
        <f t="shared" si="0"/>
        <v>Credit_Processing_System</v>
      </c>
      <c r="E97" s="8" t="s">
        <v>1522</v>
      </c>
      <c r="F97" s="8"/>
    </row>
    <row r="98" spans="1:6" ht="14.6" x14ac:dyDescent="0.4">
      <c r="A98" s="7" t="s">
        <v>452</v>
      </c>
      <c r="B98" s="4" t="s">
        <v>215</v>
      </c>
      <c r="C98" s="4" t="s">
        <v>21</v>
      </c>
      <c r="D98" s="10" t="str">
        <f t="shared" si="0"/>
        <v>Credit_Processing_System</v>
      </c>
      <c r="E98" s="8" t="s">
        <v>1522</v>
      </c>
      <c r="F98" s="8"/>
    </row>
    <row r="99" spans="1:6" ht="14.6" x14ac:dyDescent="0.4">
      <c r="A99" s="7" t="s">
        <v>469</v>
      </c>
      <c r="B99" s="4" t="s">
        <v>470</v>
      </c>
      <c r="C99" s="4" t="s">
        <v>21</v>
      </c>
      <c r="D99" s="10" t="str">
        <f t="shared" si="0"/>
        <v>Credit_Processing_System</v>
      </c>
      <c r="E99" s="8" t="s">
        <v>1522</v>
      </c>
      <c r="F99" s="8"/>
    </row>
    <row r="100" spans="1:6" ht="14.6" x14ac:dyDescent="0.4">
      <c r="A100" s="7" t="s">
        <v>491</v>
      </c>
      <c r="B100" s="4" t="s">
        <v>492</v>
      </c>
      <c r="C100" s="4" t="s">
        <v>21</v>
      </c>
      <c r="D100" s="10" t="str">
        <f t="shared" si="0"/>
        <v>Credit_Processing_System</v>
      </c>
      <c r="E100" s="8" t="s">
        <v>1522</v>
      </c>
      <c r="F100" s="8"/>
    </row>
    <row r="101" spans="1:6" ht="14.6" x14ac:dyDescent="0.4">
      <c r="A101" s="7" t="s">
        <v>512</v>
      </c>
      <c r="B101" s="4" t="s">
        <v>318</v>
      </c>
      <c r="C101" s="4" t="s">
        <v>21</v>
      </c>
      <c r="D101" s="10" t="str">
        <f t="shared" si="0"/>
        <v>Credit_Processing_System</v>
      </c>
      <c r="E101" s="8" t="s">
        <v>1522</v>
      </c>
      <c r="F101" s="8"/>
    </row>
    <row r="102" spans="1:6" ht="14.6" x14ac:dyDescent="0.4">
      <c r="A102" s="7" t="s">
        <v>521</v>
      </c>
      <c r="B102" s="4" t="s">
        <v>522</v>
      </c>
      <c r="C102" s="4" t="s">
        <v>21</v>
      </c>
      <c r="D102" s="10" t="str">
        <f t="shared" si="0"/>
        <v>Credit_Processing_System</v>
      </c>
      <c r="E102" s="8" t="s">
        <v>1522</v>
      </c>
      <c r="F102" s="8"/>
    </row>
    <row r="103" spans="1:6" ht="14.6" x14ac:dyDescent="0.4">
      <c r="A103" s="7" t="s">
        <v>536</v>
      </c>
      <c r="B103" s="4" t="s">
        <v>537</v>
      </c>
      <c r="C103" s="4" t="s">
        <v>21</v>
      </c>
      <c r="D103" s="10" t="str">
        <f t="shared" si="0"/>
        <v>Credit_Processing_System</v>
      </c>
      <c r="E103" s="8" t="s">
        <v>1522</v>
      </c>
      <c r="F103" s="8"/>
    </row>
    <row r="104" spans="1:6" ht="14.6" x14ac:dyDescent="0.4">
      <c r="A104" s="7" t="s">
        <v>555</v>
      </c>
      <c r="B104" s="4" t="s">
        <v>506</v>
      </c>
      <c r="C104" s="4" t="s">
        <v>21</v>
      </c>
      <c r="D104" s="10" t="str">
        <f t="shared" si="0"/>
        <v>Credit_Processing_System</v>
      </c>
      <c r="E104" s="8" t="s">
        <v>1522</v>
      </c>
      <c r="F104" s="8"/>
    </row>
    <row r="105" spans="1:6" ht="14.6" x14ac:dyDescent="0.4">
      <c r="A105" s="7" t="s">
        <v>577</v>
      </c>
      <c r="B105" s="4" t="s">
        <v>578</v>
      </c>
      <c r="C105" s="4" t="s">
        <v>21</v>
      </c>
      <c r="D105" s="10" t="str">
        <f t="shared" si="0"/>
        <v>Credit_Processing_System</v>
      </c>
      <c r="E105" s="8" t="s">
        <v>1522</v>
      </c>
      <c r="F105" s="8"/>
    </row>
    <row r="106" spans="1:6" ht="14.6" x14ac:dyDescent="0.4">
      <c r="A106" s="7" t="s">
        <v>591</v>
      </c>
      <c r="B106" s="4" t="s">
        <v>46</v>
      </c>
      <c r="C106" s="4" t="s">
        <v>21</v>
      </c>
      <c r="D106" s="10" t="str">
        <f t="shared" si="0"/>
        <v>Credit_Processing_System</v>
      </c>
      <c r="E106" s="8" t="s">
        <v>1522</v>
      </c>
      <c r="F106" s="8"/>
    </row>
    <row r="107" spans="1:6" ht="14.6" x14ac:dyDescent="0.4">
      <c r="A107" s="7" t="s">
        <v>594</v>
      </c>
      <c r="B107" s="4" t="s">
        <v>595</v>
      </c>
      <c r="C107" s="4" t="s">
        <v>21</v>
      </c>
      <c r="D107" s="10" t="str">
        <f t="shared" si="0"/>
        <v>Credit_Processing_System</v>
      </c>
      <c r="E107" s="8" t="s">
        <v>1522</v>
      </c>
      <c r="F107" s="8"/>
    </row>
    <row r="108" spans="1:6" ht="14.6" x14ac:dyDescent="0.4">
      <c r="A108" s="7" t="s">
        <v>611</v>
      </c>
      <c r="B108" s="4" t="s">
        <v>612</v>
      </c>
      <c r="C108" s="4" t="s">
        <v>21</v>
      </c>
      <c r="D108" s="10" t="str">
        <f t="shared" si="0"/>
        <v>Credit_Processing_System</v>
      </c>
      <c r="E108" s="8" t="s">
        <v>1522</v>
      </c>
      <c r="F108" s="8"/>
    </row>
    <row r="109" spans="1:6" ht="14.6" x14ac:dyDescent="0.4">
      <c r="A109" s="7" t="s">
        <v>633</v>
      </c>
      <c r="B109" s="4" t="s">
        <v>634</v>
      </c>
      <c r="C109" s="4" t="s">
        <v>21</v>
      </c>
      <c r="D109" s="10" t="str">
        <f t="shared" si="0"/>
        <v>Credit_Processing_System</v>
      </c>
      <c r="E109" s="8" t="s">
        <v>1522</v>
      </c>
      <c r="F109" s="8"/>
    </row>
    <row r="110" spans="1:6" ht="14.6" x14ac:dyDescent="0.4">
      <c r="A110" s="7" t="s">
        <v>657</v>
      </c>
      <c r="B110" s="4" t="s">
        <v>658</v>
      </c>
      <c r="C110" s="4" t="s">
        <v>21</v>
      </c>
      <c r="D110" s="10" t="str">
        <f t="shared" si="0"/>
        <v>Credit_Processing_System</v>
      </c>
      <c r="E110" s="8" t="s">
        <v>1522</v>
      </c>
      <c r="F110" s="8"/>
    </row>
    <row r="111" spans="1:6" ht="14.6" x14ac:dyDescent="0.4">
      <c r="A111" s="7" t="s">
        <v>685</v>
      </c>
      <c r="B111" s="4" t="s">
        <v>250</v>
      </c>
      <c r="C111" s="4" t="s">
        <v>21</v>
      </c>
      <c r="D111" s="10" t="str">
        <f t="shared" si="0"/>
        <v>Credit_Processing_System</v>
      </c>
      <c r="E111" s="8" t="s">
        <v>1522</v>
      </c>
      <c r="F111" s="8"/>
    </row>
    <row r="112" spans="1:6" ht="14.6" x14ac:dyDescent="0.4">
      <c r="A112" s="7" t="s">
        <v>720</v>
      </c>
      <c r="B112" s="4" t="s">
        <v>128</v>
      </c>
      <c r="C112" s="4" t="s">
        <v>21</v>
      </c>
      <c r="D112" s="10" t="str">
        <f t="shared" si="0"/>
        <v>Credit_Processing_System</v>
      </c>
      <c r="E112" s="8" t="s">
        <v>1522</v>
      </c>
      <c r="F112" s="8"/>
    </row>
    <row r="113" spans="1:6" ht="14.6" x14ac:dyDescent="0.4">
      <c r="A113" s="7" t="s">
        <v>730</v>
      </c>
      <c r="B113" s="4" t="s">
        <v>139</v>
      </c>
      <c r="C113" s="4" t="s">
        <v>21</v>
      </c>
      <c r="D113" s="10" t="str">
        <f t="shared" si="0"/>
        <v>Credit_Processing_System</v>
      </c>
      <c r="E113" s="8" t="s">
        <v>1522</v>
      </c>
      <c r="F113" s="8"/>
    </row>
    <row r="114" spans="1:6" ht="14.6" x14ac:dyDescent="0.4">
      <c r="A114" s="7" t="s">
        <v>737</v>
      </c>
      <c r="B114" s="4" t="s">
        <v>738</v>
      </c>
      <c r="C114" s="4" t="s">
        <v>21</v>
      </c>
      <c r="D114" s="10" t="str">
        <f t="shared" si="0"/>
        <v>Credit_Processing_System</v>
      </c>
      <c r="E114" s="8" t="s">
        <v>1522</v>
      </c>
      <c r="F114" s="8"/>
    </row>
    <row r="115" spans="1:6" ht="14.6" x14ac:dyDescent="0.4">
      <c r="A115" s="7" t="s">
        <v>748</v>
      </c>
      <c r="B115" s="4" t="s">
        <v>699</v>
      </c>
      <c r="C115" s="4" t="s">
        <v>21</v>
      </c>
      <c r="D115" s="10" t="str">
        <f t="shared" si="0"/>
        <v>Credit_Processing_System</v>
      </c>
      <c r="E115" s="8" t="s">
        <v>1522</v>
      </c>
      <c r="F115" s="8"/>
    </row>
    <row r="116" spans="1:6" ht="14.6" x14ac:dyDescent="0.4">
      <c r="A116" s="7" t="s">
        <v>763</v>
      </c>
      <c r="B116" s="4" t="s">
        <v>522</v>
      </c>
      <c r="C116" s="4" t="s">
        <v>21</v>
      </c>
      <c r="D116" s="10" t="str">
        <f t="shared" si="0"/>
        <v>Credit_Processing_System</v>
      </c>
      <c r="E116" s="8" t="s">
        <v>1522</v>
      </c>
      <c r="F116" s="8"/>
    </row>
    <row r="117" spans="1:6" ht="14.6" x14ac:dyDescent="0.4">
      <c r="A117" s="7" t="s">
        <v>783</v>
      </c>
      <c r="B117" s="4" t="s">
        <v>682</v>
      </c>
      <c r="C117" s="4" t="s">
        <v>21</v>
      </c>
      <c r="D117" s="10" t="str">
        <f t="shared" si="0"/>
        <v>Credit_Processing_System</v>
      </c>
      <c r="E117" s="8" t="s">
        <v>1522</v>
      </c>
      <c r="F117" s="8"/>
    </row>
    <row r="118" spans="1:6" ht="14.6" x14ac:dyDescent="0.4">
      <c r="A118" s="7" t="s">
        <v>794</v>
      </c>
      <c r="B118" s="4" t="s">
        <v>795</v>
      </c>
      <c r="C118" s="4" t="s">
        <v>21</v>
      </c>
      <c r="D118" s="10" t="str">
        <f t="shared" si="0"/>
        <v>Credit_Processing_System</v>
      </c>
      <c r="E118" s="8" t="s">
        <v>1522</v>
      </c>
      <c r="F118" s="8"/>
    </row>
    <row r="119" spans="1:6" ht="14.6" x14ac:dyDescent="0.4">
      <c r="A119" s="7" t="s">
        <v>796</v>
      </c>
      <c r="B119" s="4" t="s">
        <v>671</v>
      </c>
      <c r="C119" s="4" t="s">
        <v>21</v>
      </c>
      <c r="D119" s="10" t="str">
        <f t="shared" si="0"/>
        <v>Credit_Processing_System</v>
      </c>
      <c r="E119" s="8" t="s">
        <v>1522</v>
      </c>
      <c r="F119" s="8"/>
    </row>
    <row r="120" spans="1:6" ht="14.6" x14ac:dyDescent="0.4">
      <c r="A120" s="7" t="s">
        <v>805</v>
      </c>
      <c r="B120" s="4" t="s">
        <v>369</v>
      </c>
      <c r="C120" s="4" t="s">
        <v>21</v>
      </c>
      <c r="D120" s="10" t="str">
        <f t="shared" si="0"/>
        <v>Credit_Processing_System</v>
      </c>
      <c r="E120" s="8" t="s">
        <v>1522</v>
      </c>
      <c r="F120" s="8"/>
    </row>
    <row r="121" spans="1:6" ht="14.6" x14ac:dyDescent="0.4">
      <c r="A121" s="7" t="s">
        <v>813</v>
      </c>
      <c r="B121" s="4" t="s">
        <v>154</v>
      </c>
      <c r="C121" s="4" t="s">
        <v>21</v>
      </c>
      <c r="D121" s="10" t="str">
        <f t="shared" si="0"/>
        <v>Credit_Processing_System</v>
      </c>
      <c r="E121" s="8" t="s">
        <v>1522</v>
      </c>
      <c r="F121" s="8"/>
    </row>
    <row r="122" spans="1:6" ht="14.6" x14ac:dyDescent="0.4">
      <c r="A122" s="7" t="s">
        <v>825</v>
      </c>
      <c r="B122" s="4" t="s">
        <v>426</v>
      </c>
      <c r="C122" s="4" t="s">
        <v>21</v>
      </c>
      <c r="D122" s="10" t="str">
        <f t="shared" si="0"/>
        <v>Credit_Processing_System</v>
      </c>
      <c r="E122" s="8" t="s">
        <v>1522</v>
      </c>
      <c r="F122" s="8"/>
    </row>
    <row r="123" spans="1:6" ht="14.6" x14ac:dyDescent="0.4">
      <c r="A123" s="7" t="s">
        <v>912</v>
      </c>
      <c r="B123" s="4" t="s">
        <v>316</v>
      </c>
      <c r="C123" s="4" t="s">
        <v>21</v>
      </c>
      <c r="D123" s="10" t="str">
        <f t="shared" si="0"/>
        <v>Credit_Processing_System</v>
      </c>
      <c r="E123" s="8" t="s">
        <v>1522</v>
      </c>
      <c r="F123" s="8"/>
    </row>
    <row r="124" spans="1:6" ht="14.6" x14ac:dyDescent="0.4">
      <c r="A124" s="7" t="s">
        <v>916</v>
      </c>
      <c r="B124" s="4" t="s">
        <v>464</v>
      </c>
      <c r="C124" s="4" t="s">
        <v>21</v>
      </c>
      <c r="D124" s="10" t="str">
        <f t="shared" si="0"/>
        <v>Credit_Processing_System</v>
      </c>
      <c r="E124" s="8" t="s">
        <v>1522</v>
      </c>
      <c r="F124" s="8"/>
    </row>
    <row r="125" spans="1:6" ht="14.6" x14ac:dyDescent="0.4">
      <c r="A125" s="7" t="s">
        <v>958</v>
      </c>
      <c r="B125" s="4" t="s">
        <v>259</v>
      </c>
      <c r="C125" s="4" t="s">
        <v>21</v>
      </c>
      <c r="D125" s="10" t="str">
        <f t="shared" si="0"/>
        <v>Credit_Processing_System</v>
      </c>
      <c r="E125" s="8" t="s">
        <v>1522</v>
      </c>
      <c r="F125" s="8"/>
    </row>
    <row r="126" spans="1:6" ht="14.6" x14ac:dyDescent="0.4">
      <c r="A126" s="7" t="s">
        <v>965</v>
      </c>
      <c r="B126" s="4" t="s">
        <v>126</v>
      </c>
      <c r="C126" s="4" t="s">
        <v>21</v>
      </c>
      <c r="D126" s="10" t="str">
        <f t="shared" si="0"/>
        <v>Credit_Processing_System</v>
      </c>
      <c r="E126" s="8" t="s">
        <v>1522</v>
      </c>
      <c r="F126" s="8"/>
    </row>
    <row r="127" spans="1:6" ht="14.6" x14ac:dyDescent="0.4">
      <c r="A127" s="7" t="s">
        <v>985</v>
      </c>
      <c r="B127" s="4" t="s">
        <v>369</v>
      </c>
      <c r="C127" s="4" t="s">
        <v>21</v>
      </c>
      <c r="D127" s="10" t="str">
        <f t="shared" si="0"/>
        <v>Credit_Processing_System</v>
      </c>
      <c r="E127" s="8" t="s">
        <v>1522</v>
      </c>
      <c r="F127" s="8"/>
    </row>
    <row r="128" spans="1:6" ht="14.6" x14ac:dyDescent="0.4">
      <c r="A128" s="7" t="s">
        <v>1003</v>
      </c>
      <c r="B128" s="4" t="s">
        <v>60</v>
      </c>
      <c r="C128" s="4" t="s">
        <v>21</v>
      </c>
      <c r="D128" s="10" t="str">
        <f t="shared" si="0"/>
        <v>Credit_Processing_System</v>
      </c>
      <c r="E128" s="8" t="s">
        <v>1522</v>
      </c>
      <c r="F128" s="8"/>
    </row>
    <row r="129" spans="1:6" ht="14.6" x14ac:dyDescent="0.4">
      <c r="A129" s="7" t="s">
        <v>1011</v>
      </c>
      <c r="B129" s="4" t="s">
        <v>643</v>
      </c>
      <c r="C129" s="4" t="s">
        <v>21</v>
      </c>
      <c r="D129" s="10" t="str">
        <f t="shared" si="0"/>
        <v>Credit_Processing_System</v>
      </c>
      <c r="E129" s="8" t="s">
        <v>1522</v>
      </c>
      <c r="F129" s="8"/>
    </row>
    <row r="130" spans="1:6" ht="14.6" x14ac:dyDescent="0.4">
      <c r="A130" s="7" t="s">
        <v>1039</v>
      </c>
      <c r="B130" s="4" t="s">
        <v>1040</v>
      </c>
      <c r="C130" s="4" t="s">
        <v>21</v>
      </c>
      <c r="D130" s="10" t="str">
        <f t="shared" si="0"/>
        <v>Credit_Processing_System</v>
      </c>
      <c r="E130" s="8" t="s">
        <v>1522</v>
      </c>
      <c r="F130" s="8"/>
    </row>
    <row r="131" spans="1:6" ht="14.6" x14ac:dyDescent="0.4">
      <c r="A131" s="7" t="s">
        <v>1068</v>
      </c>
      <c r="B131" s="4" t="s">
        <v>1033</v>
      </c>
      <c r="C131" s="4" t="s">
        <v>21</v>
      </c>
      <c r="D131" s="10" t="str">
        <f t="shared" si="0"/>
        <v>Credit_Processing_System</v>
      </c>
      <c r="E131" s="8" t="s">
        <v>1522</v>
      </c>
      <c r="F131" s="8"/>
    </row>
    <row r="132" spans="1:6" ht="14.6" x14ac:dyDescent="0.4">
      <c r="A132" s="7" t="s">
        <v>1089</v>
      </c>
      <c r="B132" s="4" t="s">
        <v>1062</v>
      </c>
      <c r="C132" s="4" t="s">
        <v>21</v>
      </c>
      <c r="D132" s="10" t="str">
        <f t="shared" si="0"/>
        <v>Credit_Processing_System</v>
      </c>
      <c r="E132" s="8" t="s">
        <v>1522</v>
      </c>
      <c r="F132" s="8"/>
    </row>
    <row r="133" spans="1:6" ht="14.6" x14ac:dyDescent="0.4">
      <c r="A133" s="7" t="s">
        <v>1091</v>
      </c>
      <c r="B133" s="4" t="s">
        <v>1031</v>
      </c>
      <c r="C133" s="4" t="s">
        <v>21</v>
      </c>
      <c r="D133" s="10" t="str">
        <f t="shared" si="0"/>
        <v>Credit_Processing_System</v>
      </c>
      <c r="E133" s="8" t="s">
        <v>1522</v>
      </c>
      <c r="F133" s="8"/>
    </row>
    <row r="134" spans="1:6" ht="14.6" x14ac:dyDescent="0.4">
      <c r="A134" s="7" t="s">
        <v>1100</v>
      </c>
      <c r="B134" s="4" t="s">
        <v>1070</v>
      </c>
      <c r="C134" s="4" t="s">
        <v>21</v>
      </c>
      <c r="D134" s="10" t="str">
        <f t="shared" si="0"/>
        <v>Credit_Processing_System</v>
      </c>
      <c r="E134" s="8" t="s">
        <v>1522</v>
      </c>
      <c r="F134" s="8"/>
    </row>
    <row r="135" spans="1:6" ht="14.6" x14ac:dyDescent="0.4">
      <c r="A135" s="7" t="s">
        <v>1109</v>
      </c>
      <c r="B135" s="4" t="s">
        <v>1029</v>
      </c>
      <c r="C135" s="4" t="s">
        <v>21</v>
      </c>
      <c r="D135" s="10" t="str">
        <f t="shared" si="0"/>
        <v>Credit_Processing_System</v>
      </c>
      <c r="E135" s="8" t="s">
        <v>1522</v>
      </c>
      <c r="F135" s="8"/>
    </row>
    <row r="136" spans="1:6" ht="14.6" x14ac:dyDescent="0.4">
      <c r="A136" s="7" t="s">
        <v>1110</v>
      </c>
      <c r="B136" s="4" t="s">
        <v>1051</v>
      </c>
      <c r="C136" s="4" t="s">
        <v>21</v>
      </c>
      <c r="D136" s="10" t="str">
        <f t="shared" si="0"/>
        <v>Credit_Processing_System</v>
      </c>
      <c r="E136" s="8" t="s">
        <v>1522</v>
      </c>
      <c r="F136" s="8"/>
    </row>
    <row r="137" spans="1:6" ht="14.6" x14ac:dyDescent="0.4">
      <c r="A137" s="7" t="s">
        <v>1112</v>
      </c>
      <c r="B137" s="4" t="s">
        <v>1029</v>
      </c>
      <c r="C137" s="4" t="s">
        <v>21</v>
      </c>
      <c r="D137" s="10" t="str">
        <f t="shared" si="0"/>
        <v>Credit_Processing_System</v>
      </c>
      <c r="E137" s="8" t="s">
        <v>1522</v>
      </c>
      <c r="F137" s="8"/>
    </row>
    <row r="138" spans="1:6" ht="14.6" x14ac:dyDescent="0.4">
      <c r="A138" s="7" t="s">
        <v>1124</v>
      </c>
      <c r="B138" s="4" t="s">
        <v>1085</v>
      </c>
      <c r="C138" s="4" t="s">
        <v>21</v>
      </c>
      <c r="D138" s="10" t="str">
        <f t="shared" si="0"/>
        <v>Credit_Processing_System</v>
      </c>
      <c r="E138" s="8" t="s">
        <v>1522</v>
      </c>
      <c r="F138" s="8"/>
    </row>
    <row r="139" spans="1:6" ht="14.6" x14ac:dyDescent="0.4">
      <c r="A139" s="7" t="s">
        <v>1125</v>
      </c>
      <c r="B139" s="4" t="s">
        <v>1031</v>
      </c>
      <c r="C139" s="4" t="s">
        <v>21</v>
      </c>
      <c r="D139" s="10" t="str">
        <f t="shared" si="0"/>
        <v>Credit_Processing_System</v>
      </c>
      <c r="E139" s="8" t="s">
        <v>1522</v>
      </c>
      <c r="F139" s="8"/>
    </row>
    <row r="140" spans="1:6" ht="14.6" x14ac:dyDescent="0.4">
      <c r="A140" s="7" t="s">
        <v>1138</v>
      </c>
      <c r="B140" s="4" t="s">
        <v>1040</v>
      </c>
      <c r="C140" s="4" t="s">
        <v>21</v>
      </c>
      <c r="D140" s="10" t="str">
        <f t="shared" si="0"/>
        <v>Credit_Processing_System</v>
      </c>
      <c r="E140" s="8" t="s">
        <v>1522</v>
      </c>
      <c r="F140" s="8"/>
    </row>
    <row r="141" spans="1:6" ht="14.6" x14ac:dyDescent="0.4">
      <c r="A141" s="7" t="s">
        <v>1166</v>
      </c>
      <c r="B141" s="4" t="s">
        <v>1167</v>
      </c>
      <c r="C141" s="4" t="s">
        <v>21</v>
      </c>
      <c r="D141" s="10" t="str">
        <f t="shared" si="0"/>
        <v>Credit_Processing_System</v>
      </c>
      <c r="E141" s="8" t="s">
        <v>1522</v>
      </c>
      <c r="F141" s="8"/>
    </row>
    <row r="142" spans="1:6" ht="14.6" x14ac:dyDescent="0.4">
      <c r="A142" s="7" t="s">
        <v>1168</v>
      </c>
      <c r="B142" s="4" t="s">
        <v>1169</v>
      </c>
      <c r="C142" s="4" t="s">
        <v>21</v>
      </c>
      <c r="D142" s="10" t="str">
        <f t="shared" si="0"/>
        <v>Credit_Processing_System</v>
      </c>
      <c r="E142" s="8" t="s">
        <v>1522</v>
      </c>
      <c r="F142" s="8"/>
    </row>
    <row r="143" spans="1:6" ht="14.6" x14ac:dyDescent="0.4">
      <c r="A143" s="7" t="s">
        <v>1184</v>
      </c>
      <c r="B143" s="4" t="s">
        <v>1183</v>
      </c>
      <c r="C143" s="4" t="s">
        <v>21</v>
      </c>
      <c r="D143" s="10" t="str">
        <f t="shared" si="0"/>
        <v>Credit_Processing_System</v>
      </c>
      <c r="E143" s="8" t="s">
        <v>1522</v>
      </c>
      <c r="F143" s="8"/>
    </row>
    <row r="144" spans="1:6" ht="14.6" x14ac:dyDescent="0.4">
      <c r="A144" s="7" t="s">
        <v>1212</v>
      </c>
      <c r="B144" s="4" t="s">
        <v>1145</v>
      </c>
      <c r="C144" s="4" t="s">
        <v>21</v>
      </c>
      <c r="D144" s="10" t="str">
        <f t="shared" si="0"/>
        <v>Credit_Processing_System</v>
      </c>
      <c r="E144" s="8" t="s">
        <v>1522</v>
      </c>
      <c r="F144" s="8"/>
    </row>
    <row r="145" spans="1:6" ht="14.6" x14ac:dyDescent="0.4">
      <c r="A145" s="7" t="s">
        <v>1218</v>
      </c>
      <c r="B145" s="4" t="s">
        <v>1162</v>
      </c>
      <c r="C145" s="4" t="s">
        <v>21</v>
      </c>
      <c r="D145" s="10" t="str">
        <f t="shared" si="0"/>
        <v>Credit_Processing_System</v>
      </c>
      <c r="E145" s="8" t="s">
        <v>1522</v>
      </c>
      <c r="F145" s="8"/>
    </row>
    <row r="146" spans="1:6" ht="14.6" x14ac:dyDescent="0.4">
      <c r="A146" s="7" t="s">
        <v>1233</v>
      </c>
      <c r="B146" s="4" t="s">
        <v>1225</v>
      </c>
      <c r="C146" s="4" t="s">
        <v>21</v>
      </c>
      <c r="D146" s="10" t="str">
        <f t="shared" si="0"/>
        <v>Credit_Processing_System</v>
      </c>
      <c r="E146" s="8" t="s">
        <v>1522</v>
      </c>
      <c r="F146" s="8"/>
    </row>
    <row r="147" spans="1:6" ht="14.6" x14ac:dyDescent="0.4">
      <c r="A147" s="7" t="s">
        <v>1235</v>
      </c>
      <c r="B147" s="4" t="s">
        <v>1178</v>
      </c>
      <c r="C147" s="4" t="s">
        <v>21</v>
      </c>
      <c r="D147" s="10" t="str">
        <f t="shared" si="0"/>
        <v>Credit_Processing_System</v>
      </c>
      <c r="E147" s="8" t="s">
        <v>1522</v>
      </c>
      <c r="F147" s="8"/>
    </row>
    <row r="148" spans="1:6" ht="14.6" x14ac:dyDescent="0.4">
      <c r="A148" s="7" t="s">
        <v>1255</v>
      </c>
      <c r="B148" s="4" t="s">
        <v>1256</v>
      </c>
      <c r="C148" s="4" t="s">
        <v>21</v>
      </c>
      <c r="D148" s="10" t="str">
        <f t="shared" si="0"/>
        <v>Credit_Processing_System</v>
      </c>
      <c r="E148" s="8" t="s">
        <v>1522</v>
      </c>
      <c r="F148" s="8"/>
    </row>
    <row r="149" spans="1:6" ht="14.6" x14ac:dyDescent="0.4">
      <c r="A149" s="7" t="s">
        <v>1266</v>
      </c>
      <c r="B149" s="4" t="s">
        <v>1256</v>
      </c>
      <c r="C149" s="4" t="s">
        <v>21</v>
      </c>
      <c r="D149" s="10" t="str">
        <f t="shared" si="0"/>
        <v>Credit_Processing_System</v>
      </c>
      <c r="E149" s="8" t="s">
        <v>1522</v>
      </c>
      <c r="F149" s="8"/>
    </row>
    <row r="150" spans="1:6" ht="14.6" x14ac:dyDescent="0.4">
      <c r="A150" s="7" t="s">
        <v>1267</v>
      </c>
      <c r="B150" s="4" t="s">
        <v>1268</v>
      </c>
      <c r="C150" s="4" t="s">
        <v>21</v>
      </c>
      <c r="D150" s="10" t="str">
        <f t="shared" si="0"/>
        <v>Credit_Processing_System</v>
      </c>
      <c r="E150" s="8" t="s">
        <v>1522</v>
      </c>
      <c r="F150" s="8"/>
    </row>
    <row r="151" spans="1:6" ht="14.6" x14ac:dyDescent="0.4">
      <c r="A151" s="7" t="s">
        <v>1295</v>
      </c>
      <c r="B151" s="4" t="s">
        <v>1256</v>
      </c>
      <c r="C151" s="4" t="s">
        <v>21</v>
      </c>
      <c r="D151" s="10" t="str">
        <f t="shared" si="0"/>
        <v>Credit_Processing_System</v>
      </c>
      <c r="E151" s="8" t="s">
        <v>1522</v>
      </c>
      <c r="F151" s="8"/>
    </row>
    <row r="152" spans="1:6" ht="14.6" x14ac:dyDescent="0.4">
      <c r="A152" s="7" t="s">
        <v>1317</v>
      </c>
      <c r="B152" s="4" t="s">
        <v>1258</v>
      </c>
      <c r="C152" s="4" t="s">
        <v>21</v>
      </c>
      <c r="D152" s="10" t="str">
        <f t="shared" si="0"/>
        <v>Credit_Processing_System</v>
      </c>
      <c r="E152" s="8" t="s">
        <v>1522</v>
      </c>
      <c r="F152" s="8"/>
    </row>
    <row r="153" spans="1:6" ht="14.6" x14ac:dyDescent="0.4">
      <c r="A153" s="7" t="s">
        <v>1326</v>
      </c>
      <c r="B153" s="4" t="s">
        <v>1258</v>
      </c>
      <c r="C153" s="4" t="s">
        <v>21</v>
      </c>
      <c r="D153" s="10" t="str">
        <f t="shared" si="0"/>
        <v>Credit_Processing_System</v>
      </c>
      <c r="E153" s="8" t="s">
        <v>1522</v>
      </c>
      <c r="F153" s="8"/>
    </row>
    <row r="154" spans="1:6" ht="14.6" x14ac:dyDescent="0.4">
      <c r="A154" s="7" t="s">
        <v>1343</v>
      </c>
      <c r="B154" s="4" t="s">
        <v>1256</v>
      </c>
      <c r="C154" s="4" t="s">
        <v>21</v>
      </c>
      <c r="D154" s="10" t="str">
        <f t="shared" si="0"/>
        <v>Credit_Processing_System</v>
      </c>
      <c r="E154" s="8" t="s">
        <v>1522</v>
      </c>
      <c r="F154" s="8"/>
    </row>
    <row r="155" spans="1:6" ht="14.6" x14ac:dyDescent="0.4">
      <c r="A155" s="7" t="s">
        <v>1417</v>
      </c>
      <c r="B155" s="4" t="s">
        <v>1355</v>
      </c>
      <c r="C155" s="4" t="s">
        <v>21</v>
      </c>
      <c r="D155" s="10" t="str">
        <f t="shared" si="0"/>
        <v>Credit_Processing_System</v>
      </c>
      <c r="E155" s="8" t="s">
        <v>1522</v>
      </c>
      <c r="F155" s="8"/>
    </row>
    <row r="156" spans="1:6" ht="14.6" x14ac:dyDescent="0.4">
      <c r="A156" s="7" t="s">
        <v>1419</v>
      </c>
      <c r="B156" s="4" t="s">
        <v>1376</v>
      </c>
      <c r="C156" s="4" t="s">
        <v>21</v>
      </c>
      <c r="D156" s="10" t="str">
        <f t="shared" si="0"/>
        <v>Credit_Processing_System</v>
      </c>
      <c r="E156" s="8" t="s">
        <v>1522</v>
      </c>
      <c r="F156" s="8"/>
    </row>
    <row r="157" spans="1:6" ht="14.6" x14ac:dyDescent="0.4">
      <c r="A157" s="7" t="s">
        <v>1430</v>
      </c>
      <c r="B157" s="4" t="s">
        <v>1429</v>
      </c>
      <c r="C157" s="4" t="s">
        <v>21</v>
      </c>
      <c r="D157" s="10" t="str">
        <f t="shared" si="0"/>
        <v>Credit_Processing_System</v>
      </c>
      <c r="E157" s="8" t="s">
        <v>1522</v>
      </c>
      <c r="F157" s="8"/>
    </row>
    <row r="158" spans="1:6" ht="14.6" x14ac:dyDescent="0.4">
      <c r="A158" s="7" t="s">
        <v>1451</v>
      </c>
      <c r="B158" s="4" t="s">
        <v>1429</v>
      </c>
      <c r="C158" s="4" t="s">
        <v>21</v>
      </c>
      <c r="D158" s="10" t="str">
        <f t="shared" si="0"/>
        <v>Credit_Processing_System</v>
      </c>
      <c r="E158" s="8" t="s">
        <v>1522</v>
      </c>
      <c r="F158" s="8"/>
    </row>
    <row r="159" spans="1:6" ht="14.6" x14ac:dyDescent="0.4">
      <c r="A159" s="7" t="s">
        <v>1476</v>
      </c>
      <c r="B159" s="4" t="s">
        <v>1473</v>
      </c>
      <c r="C159" s="4" t="s">
        <v>21</v>
      </c>
      <c r="D159" s="10" t="str">
        <f t="shared" si="0"/>
        <v>Credit_Processing_System</v>
      </c>
      <c r="E159" s="8" t="s">
        <v>1522</v>
      </c>
      <c r="F159" s="8"/>
    </row>
    <row r="160" spans="1:6" ht="14.6" x14ac:dyDescent="0.4">
      <c r="A160" s="7" t="s">
        <v>27</v>
      </c>
      <c r="B160" s="4" t="s">
        <v>28</v>
      </c>
      <c r="C160" s="4" t="s">
        <v>29</v>
      </c>
      <c r="D160" s="10" t="str">
        <f t="shared" si="0"/>
        <v>Fleet_Management_System</v>
      </c>
      <c r="E160" s="8" t="s">
        <v>1522</v>
      </c>
      <c r="F160" s="8" t="s">
        <v>1538</v>
      </c>
    </row>
    <row r="161" spans="1:6" ht="14.6" x14ac:dyDescent="0.4">
      <c r="A161" s="7" t="s">
        <v>69</v>
      </c>
      <c r="B161" s="4" t="s">
        <v>70</v>
      </c>
      <c r="C161" s="4" t="s">
        <v>29</v>
      </c>
      <c r="D161" s="10" t="str">
        <f t="shared" si="0"/>
        <v>Fleet_Management_System</v>
      </c>
      <c r="E161" s="8" t="s">
        <v>1522</v>
      </c>
      <c r="F161" s="8"/>
    </row>
    <row r="162" spans="1:6" ht="14.6" x14ac:dyDescent="0.4">
      <c r="A162" s="7" t="s">
        <v>96</v>
      </c>
      <c r="B162" s="4" t="s">
        <v>8</v>
      </c>
      <c r="C162" s="4" t="s">
        <v>29</v>
      </c>
      <c r="D162" s="10" t="str">
        <f t="shared" si="0"/>
        <v>Fleet_Management_System</v>
      </c>
      <c r="E162" s="8" t="s">
        <v>1522</v>
      </c>
      <c r="F162" s="8"/>
    </row>
    <row r="163" spans="1:6" ht="14.6" x14ac:dyDescent="0.4">
      <c r="A163" s="7" t="s">
        <v>100</v>
      </c>
      <c r="B163" s="4" t="s">
        <v>101</v>
      </c>
      <c r="C163" s="4" t="s">
        <v>29</v>
      </c>
      <c r="D163" s="10" t="str">
        <f t="shared" si="0"/>
        <v>Fleet_Management_System</v>
      </c>
      <c r="E163" s="8" t="s">
        <v>1522</v>
      </c>
      <c r="F163" s="8"/>
    </row>
    <row r="164" spans="1:6" ht="14.6" x14ac:dyDescent="0.4">
      <c r="A164" s="7" t="s">
        <v>121</v>
      </c>
      <c r="B164" s="4" t="s">
        <v>122</v>
      </c>
      <c r="C164" s="4" t="s">
        <v>29</v>
      </c>
      <c r="D164" s="10" t="str">
        <f t="shared" si="0"/>
        <v>Fleet_Management_System</v>
      </c>
      <c r="E164" s="8" t="s">
        <v>1522</v>
      </c>
      <c r="F164" s="8"/>
    </row>
    <row r="165" spans="1:6" ht="14.6" x14ac:dyDescent="0.4">
      <c r="A165" s="7" t="s">
        <v>157</v>
      </c>
      <c r="B165" s="4" t="s">
        <v>158</v>
      </c>
      <c r="C165" s="4" t="s">
        <v>29</v>
      </c>
      <c r="D165" s="10" t="str">
        <f t="shared" si="0"/>
        <v>Fleet_Management_System</v>
      </c>
      <c r="E165" s="8" t="s">
        <v>1522</v>
      </c>
      <c r="F165" s="8"/>
    </row>
    <row r="166" spans="1:6" ht="14.6" x14ac:dyDescent="0.4">
      <c r="A166" s="7" t="s">
        <v>165</v>
      </c>
      <c r="B166" s="4" t="s">
        <v>95</v>
      </c>
      <c r="C166" s="4" t="s">
        <v>29</v>
      </c>
      <c r="D166" s="10" t="str">
        <f t="shared" si="0"/>
        <v>Fleet_Management_System</v>
      </c>
      <c r="E166" s="8" t="s">
        <v>1522</v>
      </c>
      <c r="F166" s="8"/>
    </row>
    <row r="167" spans="1:6" ht="14.6" x14ac:dyDescent="0.4">
      <c r="A167" s="7" t="s">
        <v>226</v>
      </c>
      <c r="B167" s="4" t="s">
        <v>227</v>
      </c>
      <c r="C167" s="4" t="s">
        <v>29</v>
      </c>
      <c r="D167" s="10" t="str">
        <f t="shared" si="0"/>
        <v>Fleet_Management_System</v>
      </c>
      <c r="E167" s="8" t="s">
        <v>1522</v>
      </c>
      <c r="F167" s="8"/>
    </row>
    <row r="168" spans="1:6" ht="14.6" x14ac:dyDescent="0.4">
      <c r="A168" s="7" t="s">
        <v>253</v>
      </c>
      <c r="B168" s="4" t="s">
        <v>254</v>
      </c>
      <c r="C168" s="4" t="s">
        <v>29</v>
      </c>
      <c r="D168" s="10" t="str">
        <f t="shared" si="0"/>
        <v>Fleet_Management_System</v>
      </c>
      <c r="E168" s="8" t="s">
        <v>1522</v>
      </c>
      <c r="F168" s="8"/>
    </row>
    <row r="169" spans="1:6" ht="14.6" x14ac:dyDescent="0.4">
      <c r="A169" s="7" t="s">
        <v>264</v>
      </c>
      <c r="B169" s="4" t="s">
        <v>193</v>
      </c>
      <c r="C169" s="4" t="s">
        <v>29</v>
      </c>
      <c r="D169" s="10" t="str">
        <f t="shared" si="0"/>
        <v>Fleet_Management_System</v>
      </c>
      <c r="E169" s="8" t="s">
        <v>1522</v>
      </c>
      <c r="F169" s="8"/>
    </row>
    <row r="170" spans="1:6" ht="14.6" x14ac:dyDescent="0.4">
      <c r="A170" s="7" t="s">
        <v>295</v>
      </c>
      <c r="B170" s="4" t="s">
        <v>296</v>
      </c>
      <c r="C170" s="4" t="s">
        <v>29</v>
      </c>
      <c r="D170" s="10" t="str">
        <f t="shared" si="0"/>
        <v>Fleet_Management_System</v>
      </c>
      <c r="E170" s="8" t="s">
        <v>1522</v>
      </c>
      <c r="F170" s="8"/>
    </row>
    <row r="171" spans="1:6" ht="14.6" x14ac:dyDescent="0.4">
      <c r="A171" s="7" t="s">
        <v>299</v>
      </c>
      <c r="B171" s="4" t="s">
        <v>300</v>
      </c>
      <c r="C171" s="4" t="s">
        <v>29</v>
      </c>
      <c r="D171" s="10" t="str">
        <f t="shared" si="0"/>
        <v>Fleet_Management_System</v>
      </c>
      <c r="E171" s="8" t="s">
        <v>1522</v>
      </c>
      <c r="F171" s="8"/>
    </row>
    <row r="172" spans="1:6" ht="14.6" x14ac:dyDescent="0.4">
      <c r="A172" s="7" t="s">
        <v>302</v>
      </c>
      <c r="B172" s="4" t="s">
        <v>303</v>
      </c>
      <c r="C172" s="4" t="s">
        <v>29</v>
      </c>
      <c r="D172" s="10" t="str">
        <f t="shared" si="0"/>
        <v>Fleet_Management_System</v>
      </c>
      <c r="E172" s="8" t="s">
        <v>1522</v>
      </c>
      <c r="F172" s="8"/>
    </row>
    <row r="173" spans="1:6" ht="14.6" x14ac:dyDescent="0.4">
      <c r="A173" s="7" t="s">
        <v>319</v>
      </c>
      <c r="B173" s="4" t="s">
        <v>103</v>
      </c>
      <c r="C173" s="4" t="s">
        <v>29</v>
      </c>
      <c r="D173" s="10" t="str">
        <f t="shared" si="0"/>
        <v>Fleet_Management_System</v>
      </c>
      <c r="E173" s="8" t="s">
        <v>1522</v>
      </c>
      <c r="F173" s="8"/>
    </row>
    <row r="174" spans="1:6" ht="14.6" x14ac:dyDescent="0.4">
      <c r="A174" s="7" t="s">
        <v>355</v>
      </c>
      <c r="B174" s="4" t="s">
        <v>356</v>
      </c>
      <c r="C174" s="4" t="s">
        <v>29</v>
      </c>
      <c r="D174" s="10" t="str">
        <f t="shared" si="0"/>
        <v>Fleet_Management_System</v>
      </c>
      <c r="E174" s="8" t="s">
        <v>1522</v>
      </c>
      <c r="F174" s="8"/>
    </row>
    <row r="175" spans="1:6" ht="14.6" x14ac:dyDescent="0.4">
      <c r="A175" s="7" t="s">
        <v>385</v>
      </c>
      <c r="B175" s="4" t="s">
        <v>252</v>
      </c>
      <c r="C175" s="4" t="s">
        <v>29</v>
      </c>
      <c r="D175" s="10" t="str">
        <f t="shared" si="0"/>
        <v>Fleet_Management_System</v>
      </c>
      <c r="E175" s="8" t="s">
        <v>1522</v>
      </c>
      <c r="F175" s="8"/>
    </row>
    <row r="176" spans="1:6" ht="14.6" x14ac:dyDescent="0.4">
      <c r="A176" s="7" t="s">
        <v>394</v>
      </c>
      <c r="B176" s="4" t="s">
        <v>395</v>
      </c>
      <c r="C176" s="4" t="s">
        <v>29</v>
      </c>
      <c r="D176" s="10" t="str">
        <f t="shared" si="0"/>
        <v>Fleet_Management_System</v>
      </c>
      <c r="E176" s="8" t="s">
        <v>1522</v>
      </c>
      <c r="F176" s="8"/>
    </row>
    <row r="177" spans="1:6" ht="14.6" x14ac:dyDescent="0.4">
      <c r="A177" s="7" t="s">
        <v>405</v>
      </c>
      <c r="B177" s="4" t="s">
        <v>406</v>
      </c>
      <c r="C177" s="4" t="s">
        <v>29</v>
      </c>
      <c r="D177" s="10" t="str">
        <f t="shared" si="0"/>
        <v>Fleet_Management_System</v>
      </c>
      <c r="E177" s="8" t="s">
        <v>1522</v>
      </c>
      <c r="F177" s="8"/>
    </row>
    <row r="178" spans="1:6" ht="14.6" x14ac:dyDescent="0.4">
      <c r="A178" s="7" t="s">
        <v>449</v>
      </c>
      <c r="B178" s="4" t="s">
        <v>67</v>
      </c>
      <c r="C178" s="4" t="s">
        <v>29</v>
      </c>
      <c r="D178" s="10" t="str">
        <f t="shared" si="0"/>
        <v>Fleet_Management_System</v>
      </c>
      <c r="E178" s="8" t="s">
        <v>1522</v>
      </c>
      <c r="F178" s="8"/>
    </row>
    <row r="179" spans="1:6" ht="14.6" x14ac:dyDescent="0.4">
      <c r="A179" s="7" t="s">
        <v>465</v>
      </c>
      <c r="B179" s="4" t="s">
        <v>377</v>
      </c>
      <c r="C179" s="4" t="s">
        <v>29</v>
      </c>
      <c r="D179" s="10" t="str">
        <f t="shared" si="0"/>
        <v>Fleet_Management_System</v>
      </c>
      <c r="E179" s="8" t="s">
        <v>1522</v>
      </c>
      <c r="F179" s="8"/>
    </row>
    <row r="180" spans="1:6" ht="14.6" x14ac:dyDescent="0.4">
      <c r="A180" s="7" t="s">
        <v>501</v>
      </c>
      <c r="B180" s="4" t="s">
        <v>14</v>
      </c>
      <c r="C180" s="4" t="s">
        <v>29</v>
      </c>
      <c r="D180" s="10" t="str">
        <f t="shared" si="0"/>
        <v>Fleet_Management_System</v>
      </c>
      <c r="E180" s="8" t="s">
        <v>1522</v>
      </c>
      <c r="F180" s="8"/>
    </row>
    <row r="181" spans="1:6" ht="14.6" x14ac:dyDescent="0.4">
      <c r="A181" s="7" t="s">
        <v>510</v>
      </c>
      <c r="B181" s="4" t="s">
        <v>511</v>
      </c>
      <c r="C181" s="4" t="s">
        <v>29</v>
      </c>
      <c r="D181" s="10" t="str">
        <f t="shared" si="0"/>
        <v>Fleet_Management_System</v>
      </c>
      <c r="E181" s="8" t="s">
        <v>1522</v>
      </c>
      <c r="F181" s="8"/>
    </row>
    <row r="182" spans="1:6" ht="14.6" x14ac:dyDescent="0.4">
      <c r="A182" s="7" t="s">
        <v>526</v>
      </c>
      <c r="B182" s="4" t="s">
        <v>82</v>
      </c>
      <c r="C182" s="4" t="s">
        <v>29</v>
      </c>
      <c r="D182" s="10" t="str">
        <f t="shared" si="0"/>
        <v>Fleet_Management_System</v>
      </c>
      <c r="E182" s="8" t="s">
        <v>1522</v>
      </c>
      <c r="F182" s="8"/>
    </row>
    <row r="183" spans="1:6" ht="14.6" x14ac:dyDescent="0.4">
      <c r="A183" s="7" t="s">
        <v>563</v>
      </c>
      <c r="B183" s="4" t="s">
        <v>564</v>
      </c>
      <c r="C183" s="4" t="s">
        <v>29</v>
      </c>
      <c r="D183" s="10" t="str">
        <f t="shared" si="0"/>
        <v>Fleet_Management_System</v>
      </c>
      <c r="E183" s="8" t="s">
        <v>1522</v>
      </c>
      <c r="F183" s="8"/>
    </row>
    <row r="184" spans="1:6" ht="14.6" x14ac:dyDescent="0.4">
      <c r="A184" s="7" t="s">
        <v>585</v>
      </c>
      <c r="B184" s="4" t="s">
        <v>586</v>
      </c>
      <c r="C184" s="4" t="s">
        <v>29</v>
      </c>
      <c r="D184" s="10" t="str">
        <f t="shared" si="0"/>
        <v>Fleet_Management_System</v>
      </c>
      <c r="E184" s="8" t="s">
        <v>1522</v>
      </c>
      <c r="F184" s="8"/>
    </row>
    <row r="185" spans="1:6" ht="14.6" x14ac:dyDescent="0.4">
      <c r="A185" s="7" t="s">
        <v>627</v>
      </c>
      <c r="B185" s="4" t="s">
        <v>26</v>
      </c>
      <c r="C185" s="4" t="s">
        <v>29</v>
      </c>
      <c r="D185" s="10" t="str">
        <f t="shared" si="0"/>
        <v>Fleet_Management_System</v>
      </c>
      <c r="E185" s="8" t="s">
        <v>1522</v>
      </c>
      <c r="F185" s="8"/>
    </row>
    <row r="186" spans="1:6" ht="14.6" x14ac:dyDescent="0.4">
      <c r="A186" s="7" t="s">
        <v>659</v>
      </c>
      <c r="B186" s="4" t="s">
        <v>406</v>
      </c>
      <c r="C186" s="4" t="s">
        <v>29</v>
      </c>
      <c r="D186" s="10" t="str">
        <f t="shared" si="0"/>
        <v>Fleet_Management_System</v>
      </c>
      <c r="E186" s="8" t="s">
        <v>1522</v>
      </c>
      <c r="F186" s="8"/>
    </row>
    <row r="187" spans="1:6" ht="14.6" x14ac:dyDescent="0.4">
      <c r="A187" s="7" t="s">
        <v>673</v>
      </c>
      <c r="B187" s="4" t="s">
        <v>259</v>
      </c>
      <c r="C187" s="4" t="s">
        <v>29</v>
      </c>
      <c r="D187" s="10" t="str">
        <f t="shared" si="0"/>
        <v>Fleet_Management_System</v>
      </c>
      <c r="E187" s="8" t="s">
        <v>1522</v>
      </c>
      <c r="F187" s="8"/>
    </row>
    <row r="188" spans="1:6" ht="14.6" x14ac:dyDescent="0.4">
      <c r="A188" s="7" t="s">
        <v>688</v>
      </c>
      <c r="B188" s="4" t="s">
        <v>617</v>
      </c>
      <c r="C188" s="4" t="s">
        <v>29</v>
      </c>
      <c r="D188" s="10" t="str">
        <f t="shared" si="0"/>
        <v>Fleet_Management_System</v>
      </c>
      <c r="E188" s="8" t="s">
        <v>1522</v>
      </c>
      <c r="F188" s="8"/>
    </row>
    <row r="189" spans="1:6" ht="14.6" x14ac:dyDescent="0.4">
      <c r="A189" s="7" t="s">
        <v>710</v>
      </c>
      <c r="B189" s="4" t="s">
        <v>284</v>
      </c>
      <c r="C189" s="4" t="s">
        <v>29</v>
      </c>
      <c r="D189" s="10" t="str">
        <f t="shared" si="0"/>
        <v>Fleet_Management_System</v>
      </c>
      <c r="E189" s="8" t="s">
        <v>1522</v>
      </c>
      <c r="F189" s="8"/>
    </row>
    <row r="190" spans="1:6" ht="14.6" x14ac:dyDescent="0.4">
      <c r="A190" s="7" t="s">
        <v>716</v>
      </c>
      <c r="B190" s="4" t="s">
        <v>717</v>
      </c>
      <c r="C190" s="4" t="s">
        <v>29</v>
      </c>
      <c r="D190" s="10" t="str">
        <f t="shared" si="0"/>
        <v>Fleet_Management_System</v>
      </c>
      <c r="E190" s="8" t="s">
        <v>1522</v>
      </c>
      <c r="F190" s="8"/>
    </row>
    <row r="191" spans="1:6" ht="14.6" x14ac:dyDescent="0.4">
      <c r="A191" s="7" t="s">
        <v>726</v>
      </c>
      <c r="B191" s="4" t="s">
        <v>727</v>
      </c>
      <c r="C191" s="4" t="s">
        <v>29</v>
      </c>
      <c r="D191" s="10" t="str">
        <f t="shared" si="0"/>
        <v>Fleet_Management_System</v>
      </c>
      <c r="E191" s="8" t="s">
        <v>1522</v>
      </c>
      <c r="F191" s="8"/>
    </row>
    <row r="192" spans="1:6" ht="14.6" x14ac:dyDescent="0.4">
      <c r="A192" s="7" t="s">
        <v>728</v>
      </c>
      <c r="B192" s="4" t="s">
        <v>5</v>
      </c>
      <c r="C192" s="4" t="s">
        <v>29</v>
      </c>
      <c r="D192" s="10" t="str">
        <f t="shared" si="0"/>
        <v>Fleet_Management_System</v>
      </c>
      <c r="E192" s="8" t="s">
        <v>1522</v>
      </c>
      <c r="F192" s="8"/>
    </row>
    <row r="193" spans="1:6" ht="14.6" x14ac:dyDescent="0.4">
      <c r="A193" s="7" t="s">
        <v>742</v>
      </c>
      <c r="B193" s="4" t="s">
        <v>419</v>
      </c>
      <c r="C193" s="4" t="s">
        <v>29</v>
      </c>
      <c r="D193" s="10" t="str">
        <f t="shared" si="0"/>
        <v>Fleet_Management_System</v>
      </c>
      <c r="E193" s="8" t="s">
        <v>1522</v>
      </c>
      <c r="F193" s="8"/>
    </row>
    <row r="194" spans="1:6" ht="14.6" x14ac:dyDescent="0.4">
      <c r="A194" s="7" t="s">
        <v>744</v>
      </c>
      <c r="B194" s="4" t="s">
        <v>28</v>
      </c>
      <c r="C194" s="4" t="s">
        <v>29</v>
      </c>
      <c r="D194" s="10" t="str">
        <f t="shared" si="0"/>
        <v>Fleet_Management_System</v>
      </c>
      <c r="E194" s="8" t="s">
        <v>1522</v>
      </c>
      <c r="F194" s="8"/>
    </row>
    <row r="195" spans="1:6" ht="14.6" x14ac:dyDescent="0.4">
      <c r="A195" s="7" t="s">
        <v>745</v>
      </c>
      <c r="B195" s="4" t="s">
        <v>42</v>
      </c>
      <c r="C195" s="4" t="s">
        <v>29</v>
      </c>
      <c r="D195" s="10" t="str">
        <f t="shared" si="0"/>
        <v>Fleet_Management_System</v>
      </c>
      <c r="E195" s="8" t="s">
        <v>1522</v>
      </c>
      <c r="F195" s="8"/>
    </row>
    <row r="196" spans="1:6" ht="14.6" x14ac:dyDescent="0.4">
      <c r="A196" s="7" t="s">
        <v>780</v>
      </c>
      <c r="B196" s="4" t="s">
        <v>112</v>
      </c>
      <c r="C196" s="4" t="s">
        <v>29</v>
      </c>
      <c r="D196" s="10" t="str">
        <f t="shared" si="0"/>
        <v>Fleet_Management_System</v>
      </c>
      <c r="E196" s="8" t="s">
        <v>1522</v>
      </c>
      <c r="F196" s="8"/>
    </row>
    <row r="197" spans="1:6" ht="14.6" x14ac:dyDescent="0.4">
      <c r="A197" s="7" t="s">
        <v>785</v>
      </c>
      <c r="B197" s="4" t="s">
        <v>176</v>
      </c>
      <c r="C197" s="4" t="s">
        <v>29</v>
      </c>
      <c r="D197" s="10" t="str">
        <f t="shared" si="0"/>
        <v>Fleet_Management_System</v>
      </c>
      <c r="E197" s="8" t="s">
        <v>1522</v>
      </c>
      <c r="F197" s="8"/>
    </row>
    <row r="198" spans="1:6" ht="14.6" x14ac:dyDescent="0.4">
      <c r="A198" s="7" t="s">
        <v>843</v>
      </c>
      <c r="B198" s="4" t="s">
        <v>456</v>
      </c>
      <c r="C198" s="4" t="s">
        <v>29</v>
      </c>
      <c r="D198" s="10" t="str">
        <f t="shared" si="0"/>
        <v>Fleet_Management_System</v>
      </c>
      <c r="E198" s="8" t="s">
        <v>1522</v>
      </c>
      <c r="F198" s="8"/>
    </row>
    <row r="199" spans="1:6" ht="14.6" x14ac:dyDescent="0.4">
      <c r="A199" s="7" t="s">
        <v>850</v>
      </c>
      <c r="B199" s="4" t="s">
        <v>60</v>
      </c>
      <c r="C199" s="4" t="s">
        <v>29</v>
      </c>
      <c r="D199" s="10" t="str">
        <f t="shared" si="0"/>
        <v>Fleet_Management_System</v>
      </c>
      <c r="E199" s="8" t="s">
        <v>1522</v>
      </c>
      <c r="F199" s="8"/>
    </row>
    <row r="200" spans="1:6" ht="14.6" x14ac:dyDescent="0.4">
      <c r="A200" s="7" t="s">
        <v>857</v>
      </c>
      <c r="B200" s="4" t="s">
        <v>300</v>
      </c>
      <c r="C200" s="4" t="s">
        <v>29</v>
      </c>
      <c r="D200" s="10" t="str">
        <f t="shared" si="0"/>
        <v>Fleet_Management_System</v>
      </c>
      <c r="E200" s="8" t="s">
        <v>1522</v>
      </c>
      <c r="F200" s="8"/>
    </row>
    <row r="201" spans="1:6" ht="14.6" x14ac:dyDescent="0.4">
      <c r="A201" s="7" t="s">
        <v>859</v>
      </c>
      <c r="B201" s="4" t="s">
        <v>141</v>
      </c>
      <c r="C201" s="4" t="s">
        <v>29</v>
      </c>
      <c r="D201" s="10" t="str">
        <f t="shared" si="0"/>
        <v>Fleet_Management_System</v>
      </c>
      <c r="E201" s="8" t="s">
        <v>1522</v>
      </c>
      <c r="F201" s="8"/>
    </row>
    <row r="202" spans="1:6" ht="14.6" x14ac:dyDescent="0.4">
      <c r="A202" s="7" t="s">
        <v>870</v>
      </c>
      <c r="B202" s="4" t="s">
        <v>78</v>
      </c>
      <c r="C202" s="4" t="s">
        <v>29</v>
      </c>
      <c r="D202" s="10" t="str">
        <f t="shared" si="0"/>
        <v>Fleet_Management_System</v>
      </c>
      <c r="E202" s="8" t="s">
        <v>1522</v>
      </c>
      <c r="F202" s="8"/>
    </row>
    <row r="203" spans="1:6" ht="14.6" x14ac:dyDescent="0.4">
      <c r="A203" s="7" t="s">
        <v>877</v>
      </c>
      <c r="B203" s="4" t="s">
        <v>522</v>
      </c>
      <c r="C203" s="4" t="s">
        <v>29</v>
      </c>
      <c r="D203" s="10" t="str">
        <f t="shared" si="0"/>
        <v>Fleet_Management_System</v>
      </c>
      <c r="E203" s="8" t="s">
        <v>1522</v>
      </c>
      <c r="F203" s="8"/>
    </row>
    <row r="204" spans="1:6" ht="14.6" x14ac:dyDescent="0.4">
      <c r="A204" s="7" t="s">
        <v>891</v>
      </c>
      <c r="B204" s="4" t="s">
        <v>892</v>
      </c>
      <c r="C204" s="4" t="s">
        <v>29</v>
      </c>
      <c r="D204" s="10" t="str">
        <f t="shared" si="0"/>
        <v>Fleet_Management_System</v>
      </c>
      <c r="E204" s="8" t="s">
        <v>1522</v>
      </c>
      <c r="F204" s="8"/>
    </row>
    <row r="205" spans="1:6" ht="14.6" x14ac:dyDescent="0.4">
      <c r="A205" s="7" t="s">
        <v>895</v>
      </c>
      <c r="B205" s="4" t="s">
        <v>105</v>
      </c>
      <c r="C205" s="4" t="s">
        <v>29</v>
      </c>
      <c r="D205" s="10" t="str">
        <f t="shared" si="0"/>
        <v>Fleet_Management_System</v>
      </c>
      <c r="E205" s="8" t="s">
        <v>1522</v>
      </c>
      <c r="F205" s="8"/>
    </row>
    <row r="206" spans="1:6" ht="14.6" x14ac:dyDescent="0.4">
      <c r="A206" s="7" t="s">
        <v>897</v>
      </c>
      <c r="B206" s="4" t="s">
        <v>511</v>
      </c>
      <c r="C206" s="4" t="s">
        <v>29</v>
      </c>
      <c r="D206" s="10" t="str">
        <f t="shared" si="0"/>
        <v>Fleet_Management_System</v>
      </c>
      <c r="E206" s="8" t="s">
        <v>1522</v>
      </c>
      <c r="F206" s="8"/>
    </row>
    <row r="207" spans="1:6" ht="14.6" x14ac:dyDescent="0.4">
      <c r="A207" s="7" t="s">
        <v>924</v>
      </c>
      <c r="B207" s="4" t="s">
        <v>694</v>
      </c>
      <c r="C207" s="4" t="s">
        <v>29</v>
      </c>
      <c r="D207" s="10" t="str">
        <f t="shared" si="0"/>
        <v>Fleet_Management_System</v>
      </c>
      <c r="E207" s="8" t="s">
        <v>1522</v>
      </c>
      <c r="F207" s="8"/>
    </row>
    <row r="208" spans="1:6" ht="14.6" x14ac:dyDescent="0.4">
      <c r="A208" s="7" t="s">
        <v>949</v>
      </c>
      <c r="B208" s="4" t="s">
        <v>892</v>
      </c>
      <c r="C208" s="4" t="s">
        <v>29</v>
      </c>
      <c r="D208" s="10" t="str">
        <f t="shared" si="0"/>
        <v>Fleet_Management_System</v>
      </c>
      <c r="E208" s="8" t="s">
        <v>1522</v>
      </c>
      <c r="F208" s="8"/>
    </row>
    <row r="209" spans="1:6" ht="14.6" x14ac:dyDescent="0.4">
      <c r="A209" s="7" t="s">
        <v>989</v>
      </c>
      <c r="B209" s="4" t="s">
        <v>311</v>
      </c>
      <c r="C209" s="4" t="s">
        <v>29</v>
      </c>
      <c r="D209" s="10" t="str">
        <f t="shared" si="0"/>
        <v>Fleet_Management_System</v>
      </c>
      <c r="E209" s="8" t="s">
        <v>1522</v>
      </c>
      <c r="F209" s="8"/>
    </row>
    <row r="210" spans="1:6" ht="14.6" x14ac:dyDescent="0.4">
      <c r="A210" s="7" t="s">
        <v>998</v>
      </c>
      <c r="B210" s="4" t="s">
        <v>374</v>
      </c>
      <c r="C210" s="4" t="s">
        <v>29</v>
      </c>
      <c r="D210" s="10" t="str">
        <f t="shared" si="0"/>
        <v>Fleet_Management_System</v>
      </c>
      <c r="E210" s="8" t="s">
        <v>1522</v>
      </c>
      <c r="F210" s="8"/>
    </row>
    <row r="211" spans="1:6" ht="14.6" x14ac:dyDescent="0.4">
      <c r="A211" s="7" t="s">
        <v>1010</v>
      </c>
      <c r="B211" s="4" t="s">
        <v>413</v>
      </c>
      <c r="C211" s="4" t="s">
        <v>29</v>
      </c>
      <c r="D211" s="10" t="str">
        <f t="shared" si="0"/>
        <v>Fleet_Management_System</v>
      </c>
      <c r="E211" s="8" t="s">
        <v>1522</v>
      </c>
      <c r="F211" s="8"/>
    </row>
    <row r="212" spans="1:6" ht="14.6" x14ac:dyDescent="0.4">
      <c r="A212" s="7" t="s">
        <v>1058</v>
      </c>
      <c r="B212" s="4" t="s">
        <v>1038</v>
      </c>
      <c r="C212" s="4" t="s">
        <v>29</v>
      </c>
      <c r="D212" s="10" t="str">
        <f t="shared" si="0"/>
        <v>Fleet_Management_System</v>
      </c>
      <c r="E212" s="8" t="s">
        <v>1522</v>
      </c>
      <c r="F212" s="8"/>
    </row>
    <row r="213" spans="1:6" ht="14.6" x14ac:dyDescent="0.4">
      <c r="A213" s="7" t="s">
        <v>1104</v>
      </c>
      <c r="B213" s="4" t="s">
        <v>1047</v>
      </c>
      <c r="C213" s="4" t="s">
        <v>29</v>
      </c>
      <c r="D213" s="10" t="str">
        <f t="shared" si="0"/>
        <v>Fleet_Management_System</v>
      </c>
      <c r="E213" s="8" t="s">
        <v>1522</v>
      </c>
      <c r="F213" s="8"/>
    </row>
    <row r="214" spans="1:6" ht="14.6" x14ac:dyDescent="0.4">
      <c r="A214" s="7" t="s">
        <v>1126</v>
      </c>
      <c r="B214" s="4" t="s">
        <v>1102</v>
      </c>
      <c r="C214" s="4" t="s">
        <v>29</v>
      </c>
      <c r="D214" s="10" t="str">
        <f t="shared" si="0"/>
        <v>Fleet_Management_System</v>
      </c>
      <c r="E214" s="8" t="s">
        <v>1522</v>
      </c>
      <c r="F214" s="8"/>
    </row>
    <row r="215" spans="1:6" ht="14.6" x14ac:dyDescent="0.4">
      <c r="A215" s="7" t="s">
        <v>1144</v>
      </c>
      <c r="B215" s="4" t="s">
        <v>1145</v>
      </c>
      <c r="C215" s="4" t="s">
        <v>29</v>
      </c>
      <c r="D215" s="10" t="str">
        <f t="shared" si="0"/>
        <v>Fleet_Management_System</v>
      </c>
      <c r="E215" s="8" t="s">
        <v>1522</v>
      </c>
      <c r="F215" s="8"/>
    </row>
    <row r="216" spans="1:6" ht="14.6" x14ac:dyDescent="0.4">
      <c r="A216" s="7" t="s">
        <v>1148</v>
      </c>
      <c r="B216" s="4" t="s">
        <v>1149</v>
      </c>
      <c r="C216" s="4" t="s">
        <v>29</v>
      </c>
      <c r="D216" s="10" t="str">
        <f t="shared" si="0"/>
        <v>Fleet_Management_System</v>
      </c>
      <c r="E216" s="8" t="s">
        <v>1522</v>
      </c>
      <c r="F216" s="8"/>
    </row>
    <row r="217" spans="1:6" ht="14.6" x14ac:dyDescent="0.4">
      <c r="A217" s="7" t="s">
        <v>1153</v>
      </c>
      <c r="B217" s="4" t="s">
        <v>1154</v>
      </c>
      <c r="C217" s="4" t="s">
        <v>29</v>
      </c>
      <c r="D217" s="10" t="str">
        <f t="shared" si="0"/>
        <v>Fleet_Management_System</v>
      </c>
      <c r="E217" s="8" t="s">
        <v>1522</v>
      </c>
      <c r="F217" s="8"/>
    </row>
    <row r="218" spans="1:6" ht="14.6" x14ac:dyDescent="0.4">
      <c r="A218" s="7" t="s">
        <v>1171</v>
      </c>
      <c r="B218" s="4" t="s">
        <v>1167</v>
      </c>
      <c r="C218" s="4" t="s">
        <v>29</v>
      </c>
      <c r="D218" s="10" t="str">
        <f t="shared" si="0"/>
        <v>Fleet_Management_System</v>
      </c>
      <c r="E218" s="8" t="s">
        <v>1522</v>
      </c>
      <c r="F218" s="8"/>
    </row>
    <row r="219" spans="1:6" ht="14.6" x14ac:dyDescent="0.4">
      <c r="A219" s="7" t="s">
        <v>1177</v>
      </c>
      <c r="B219" s="4" t="s">
        <v>1178</v>
      </c>
      <c r="C219" s="4" t="s">
        <v>29</v>
      </c>
      <c r="D219" s="10" t="str">
        <f t="shared" si="0"/>
        <v>Fleet_Management_System</v>
      </c>
      <c r="E219" s="8" t="s">
        <v>1522</v>
      </c>
      <c r="F219" s="8"/>
    </row>
    <row r="220" spans="1:6" ht="14.6" x14ac:dyDescent="0.4">
      <c r="A220" s="7" t="s">
        <v>1180</v>
      </c>
      <c r="B220" s="4" t="s">
        <v>1167</v>
      </c>
      <c r="C220" s="4" t="s">
        <v>29</v>
      </c>
      <c r="D220" s="10" t="str">
        <f t="shared" si="0"/>
        <v>Fleet_Management_System</v>
      </c>
      <c r="E220" s="8" t="s">
        <v>1522</v>
      </c>
      <c r="F220" s="8"/>
    </row>
    <row r="221" spans="1:6" ht="14.6" x14ac:dyDescent="0.4">
      <c r="A221" s="7" t="s">
        <v>1194</v>
      </c>
      <c r="B221" s="4" t="s">
        <v>1158</v>
      </c>
      <c r="C221" s="4" t="s">
        <v>29</v>
      </c>
      <c r="D221" s="10" t="str">
        <f t="shared" si="0"/>
        <v>Fleet_Management_System</v>
      </c>
      <c r="E221" s="8" t="s">
        <v>1522</v>
      </c>
      <c r="F221" s="8"/>
    </row>
    <row r="222" spans="1:6" ht="14.6" x14ac:dyDescent="0.4">
      <c r="A222" s="7" t="s">
        <v>1195</v>
      </c>
      <c r="B222" s="4" t="s">
        <v>1167</v>
      </c>
      <c r="C222" s="4" t="s">
        <v>29</v>
      </c>
      <c r="D222" s="10" t="str">
        <f t="shared" si="0"/>
        <v>Fleet_Management_System</v>
      </c>
      <c r="E222" s="8" t="s">
        <v>1522</v>
      </c>
      <c r="F222" s="8"/>
    </row>
    <row r="223" spans="1:6" ht="14.6" x14ac:dyDescent="0.4">
      <c r="A223" s="7" t="s">
        <v>1207</v>
      </c>
      <c r="B223" s="4" t="s">
        <v>1156</v>
      </c>
      <c r="C223" s="4" t="s">
        <v>29</v>
      </c>
      <c r="D223" s="10" t="str">
        <f t="shared" si="0"/>
        <v>Fleet_Management_System</v>
      </c>
      <c r="E223" s="8" t="s">
        <v>1522</v>
      </c>
      <c r="F223" s="8"/>
    </row>
    <row r="224" spans="1:6" ht="14.6" x14ac:dyDescent="0.4">
      <c r="A224" s="7" t="s">
        <v>1251</v>
      </c>
      <c r="B224" s="4" t="s">
        <v>1167</v>
      </c>
      <c r="C224" s="4" t="s">
        <v>29</v>
      </c>
      <c r="D224" s="10" t="str">
        <f t="shared" si="0"/>
        <v>Fleet_Management_System</v>
      </c>
      <c r="E224" s="8" t="s">
        <v>1522</v>
      </c>
      <c r="F224" s="8"/>
    </row>
    <row r="225" spans="1:6" ht="14.6" x14ac:dyDescent="0.4">
      <c r="A225" s="7" t="s">
        <v>1254</v>
      </c>
      <c r="B225" s="4" t="s">
        <v>1145</v>
      </c>
      <c r="C225" s="4" t="s">
        <v>29</v>
      </c>
      <c r="D225" s="10" t="str">
        <f t="shared" si="0"/>
        <v>Fleet_Management_System</v>
      </c>
      <c r="E225" s="8" t="s">
        <v>1522</v>
      </c>
      <c r="F225" s="8"/>
    </row>
    <row r="226" spans="1:6" ht="14.6" x14ac:dyDescent="0.4">
      <c r="A226" s="7" t="s">
        <v>1272</v>
      </c>
      <c r="B226" s="4" t="s">
        <v>1256</v>
      </c>
      <c r="C226" s="4" t="s">
        <v>29</v>
      </c>
      <c r="D226" s="10" t="str">
        <f t="shared" si="0"/>
        <v>Fleet_Management_System</v>
      </c>
      <c r="E226" s="8" t="s">
        <v>1522</v>
      </c>
      <c r="F226" s="8"/>
    </row>
    <row r="227" spans="1:6" ht="14.6" x14ac:dyDescent="0.4">
      <c r="A227" s="7" t="s">
        <v>1289</v>
      </c>
      <c r="B227" s="4" t="s">
        <v>1258</v>
      </c>
      <c r="C227" s="4" t="s">
        <v>29</v>
      </c>
      <c r="D227" s="10" t="str">
        <f t="shared" si="0"/>
        <v>Fleet_Management_System</v>
      </c>
      <c r="E227" s="8" t="s">
        <v>1522</v>
      </c>
      <c r="F227" s="8"/>
    </row>
    <row r="228" spans="1:6" ht="14.6" x14ac:dyDescent="0.4">
      <c r="A228" s="7" t="s">
        <v>1290</v>
      </c>
      <c r="B228" s="4" t="s">
        <v>1256</v>
      </c>
      <c r="C228" s="4" t="s">
        <v>29</v>
      </c>
      <c r="D228" s="10" t="str">
        <f t="shared" si="0"/>
        <v>Fleet_Management_System</v>
      </c>
      <c r="E228" s="8" t="s">
        <v>1522</v>
      </c>
      <c r="F228" s="8"/>
    </row>
    <row r="229" spans="1:6" ht="14.6" x14ac:dyDescent="0.4">
      <c r="A229" s="7" t="s">
        <v>1372</v>
      </c>
      <c r="B229" s="4" t="s">
        <v>1355</v>
      </c>
      <c r="C229" s="4" t="s">
        <v>29</v>
      </c>
      <c r="D229" s="10" t="str">
        <f t="shared" si="0"/>
        <v>Fleet_Management_System</v>
      </c>
      <c r="E229" s="8" t="s">
        <v>1522</v>
      </c>
      <c r="F229" s="8"/>
    </row>
    <row r="230" spans="1:6" ht="14.6" x14ac:dyDescent="0.4">
      <c r="A230" s="7" t="s">
        <v>1410</v>
      </c>
      <c r="B230" s="4" t="s">
        <v>1355</v>
      </c>
      <c r="C230" s="4" t="s">
        <v>29</v>
      </c>
      <c r="D230" s="10" t="str">
        <f t="shared" si="0"/>
        <v>Fleet_Management_System</v>
      </c>
      <c r="E230" s="8" t="s">
        <v>1522</v>
      </c>
      <c r="F230" s="8"/>
    </row>
    <row r="231" spans="1:6" ht="14.6" x14ac:dyDescent="0.4">
      <c r="A231" s="7" t="s">
        <v>1436</v>
      </c>
      <c r="B231" s="4" t="s">
        <v>1437</v>
      </c>
      <c r="C231" s="4" t="s">
        <v>29</v>
      </c>
      <c r="D231" s="10" t="str">
        <f t="shared" si="0"/>
        <v>Fleet_Management_System</v>
      </c>
      <c r="E231" s="8" t="s">
        <v>1522</v>
      </c>
      <c r="F231" s="8"/>
    </row>
    <row r="232" spans="1:6" ht="14.6" x14ac:dyDescent="0.4">
      <c r="A232" s="7" t="s">
        <v>1444</v>
      </c>
      <c r="B232" s="4" t="s">
        <v>1427</v>
      </c>
      <c r="C232" s="4" t="s">
        <v>29</v>
      </c>
      <c r="D232" s="10" t="str">
        <f t="shared" si="0"/>
        <v>Fleet_Management_System</v>
      </c>
      <c r="E232" s="8" t="s">
        <v>1522</v>
      </c>
      <c r="F232" s="8"/>
    </row>
    <row r="233" spans="1:6" ht="14.6" x14ac:dyDescent="0.4">
      <c r="A233" s="7" t="s">
        <v>1446</v>
      </c>
      <c r="B233" s="4" t="s">
        <v>1429</v>
      </c>
      <c r="C233" s="4" t="s">
        <v>29</v>
      </c>
      <c r="D233" s="10" t="str">
        <f t="shared" si="0"/>
        <v>Fleet_Management_System</v>
      </c>
      <c r="E233" s="8" t="s">
        <v>1522</v>
      </c>
      <c r="F233" s="8"/>
    </row>
    <row r="234" spans="1:6" ht="14.6" x14ac:dyDescent="0.4">
      <c r="A234" s="7" t="s">
        <v>1447</v>
      </c>
      <c r="B234" s="4" t="s">
        <v>1429</v>
      </c>
      <c r="C234" s="4" t="s">
        <v>29</v>
      </c>
      <c r="D234" s="10" t="str">
        <f t="shared" si="0"/>
        <v>Fleet_Management_System</v>
      </c>
      <c r="E234" s="8" t="s">
        <v>1522</v>
      </c>
      <c r="F234" s="8"/>
    </row>
    <row r="235" spans="1:6" ht="14.6" x14ac:dyDescent="0.4">
      <c r="A235" s="7" t="s">
        <v>1513</v>
      </c>
      <c r="B235" s="4" t="s">
        <v>1498</v>
      </c>
      <c r="C235" s="4" t="s">
        <v>29</v>
      </c>
      <c r="D235" s="10" t="str">
        <f t="shared" si="0"/>
        <v>Fleet_Management_System</v>
      </c>
      <c r="E235" s="8" t="s">
        <v>1522</v>
      </c>
      <c r="F235" s="8"/>
    </row>
    <row r="236" spans="1:6" ht="14.6" x14ac:dyDescent="0.4">
      <c r="A236" s="7" t="s">
        <v>1517</v>
      </c>
      <c r="B236" s="4" t="s">
        <v>1505</v>
      </c>
      <c r="C236" s="4" t="s">
        <v>29</v>
      </c>
      <c r="D236" s="10" t="str">
        <f t="shared" si="0"/>
        <v>Fleet_Management_System</v>
      </c>
      <c r="E236" s="8" t="s">
        <v>1522</v>
      </c>
      <c r="F236" s="8"/>
    </row>
    <row r="237" spans="1:6" ht="14.6" x14ac:dyDescent="0.4">
      <c r="A237" s="7" t="s">
        <v>16</v>
      </c>
      <c r="B237" s="4" t="s">
        <v>17</v>
      </c>
      <c r="C237" s="4" t="s">
        <v>18</v>
      </c>
      <c r="D237" s="10" t="str">
        <f t="shared" si="0"/>
        <v>Hospital_Management_System</v>
      </c>
      <c r="E237" s="8" t="s">
        <v>1522</v>
      </c>
      <c r="F237" s="8" t="s">
        <v>1539</v>
      </c>
    </row>
    <row r="238" spans="1:6" ht="14.6" x14ac:dyDescent="0.4">
      <c r="A238" s="7" t="s">
        <v>48</v>
      </c>
      <c r="B238" s="4" t="s">
        <v>49</v>
      </c>
      <c r="C238" s="4" t="s">
        <v>18</v>
      </c>
      <c r="D238" s="10" t="str">
        <f t="shared" si="0"/>
        <v>Hospital_Management_System</v>
      </c>
      <c r="E238" s="8" t="s">
        <v>1522</v>
      </c>
      <c r="F238" s="8"/>
    </row>
    <row r="239" spans="1:6" ht="14.6" x14ac:dyDescent="0.4">
      <c r="A239" s="7" t="s">
        <v>71</v>
      </c>
      <c r="B239" s="4" t="s">
        <v>72</v>
      </c>
      <c r="C239" s="4" t="s">
        <v>18</v>
      </c>
      <c r="D239" s="10" t="str">
        <f t="shared" si="0"/>
        <v>Hospital_Management_System</v>
      </c>
      <c r="E239" s="8" t="s">
        <v>1522</v>
      </c>
      <c r="F239" s="8"/>
    </row>
    <row r="240" spans="1:6" ht="14.6" x14ac:dyDescent="0.4">
      <c r="A240" s="7" t="s">
        <v>92</v>
      </c>
      <c r="B240" s="4" t="s">
        <v>93</v>
      </c>
      <c r="C240" s="4" t="s">
        <v>18</v>
      </c>
      <c r="D240" s="10" t="str">
        <f t="shared" si="0"/>
        <v>Hospital_Management_System</v>
      </c>
      <c r="E240" s="8" t="s">
        <v>1522</v>
      </c>
      <c r="F240" s="8"/>
    </row>
    <row r="241" spans="1:6" ht="14.6" x14ac:dyDescent="0.4">
      <c r="A241" s="7" t="s">
        <v>113</v>
      </c>
      <c r="B241" s="4" t="s">
        <v>114</v>
      </c>
      <c r="C241" s="4" t="s">
        <v>18</v>
      </c>
      <c r="D241" s="10" t="str">
        <f t="shared" si="0"/>
        <v>Hospital_Management_System</v>
      </c>
      <c r="E241" s="8" t="s">
        <v>1522</v>
      </c>
      <c r="F241" s="8"/>
    </row>
    <row r="242" spans="1:6" ht="14.6" x14ac:dyDescent="0.4">
      <c r="A242" s="7" t="s">
        <v>179</v>
      </c>
      <c r="B242" s="4" t="s">
        <v>180</v>
      </c>
      <c r="C242" s="4" t="s">
        <v>18</v>
      </c>
      <c r="D242" s="10" t="str">
        <f t="shared" si="0"/>
        <v>Hospital_Management_System</v>
      </c>
      <c r="E242" s="8" t="s">
        <v>1522</v>
      </c>
      <c r="F242" s="8"/>
    </row>
    <row r="243" spans="1:6" ht="14.6" x14ac:dyDescent="0.4">
      <c r="A243" s="7" t="s">
        <v>201</v>
      </c>
      <c r="B243" s="4" t="s">
        <v>202</v>
      </c>
      <c r="C243" s="4" t="s">
        <v>18</v>
      </c>
      <c r="D243" s="10" t="str">
        <f t="shared" si="0"/>
        <v>Hospital_Management_System</v>
      </c>
      <c r="E243" s="8" t="s">
        <v>1522</v>
      </c>
      <c r="F243" s="8"/>
    </row>
    <row r="244" spans="1:6" ht="14.6" x14ac:dyDescent="0.4">
      <c r="A244" s="7" t="s">
        <v>228</v>
      </c>
      <c r="B244" s="4" t="s">
        <v>133</v>
      </c>
      <c r="C244" s="4" t="s">
        <v>18</v>
      </c>
      <c r="D244" s="10" t="str">
        <f t="shared" si="0"/>
        <v>Hospital_Management_System</v>
      </c>
      <c r="E244" s="8" t="s">
        <v>1522</v>
      </c>
      <c r="F244" s="8"/>
    </row>
    <row r="245" spans="1:6" ht="14.6" x14ac:dyDescent="0.4">
      <c r="A245" s="7" t="s">
        <v>249</v>
      </c>
      <c r="B245" s="4" t="s">
        <v>250</v>
      </c>
      <c r="C245" s="4" t="s">
        <v>18</v>
      </c>
      <c r="D245" s="10" t="str">
        <f t="shared" si="0"/>
        <v>Hospital_Management_System</v>
      </c>
      <c r="E245" s="8" t="s">
        <v>1522</v>
      </c>
      <c r="F245" s="8"/>
    </row>
    <row r="246" spans="1:6" ht="14.6" x14ac:dyDescent="0.4">
      <c r="A246" s="7" t="s">
        <v>270</v>
      </c>
      <c r="B246" s="4" t="s">
        <v>191</v>
      </c>
      <c r="C246" s="4" t="s">
        <v>18</v>
      </c>
      <c r="D246" s="10" t="str">
        <f t="shared" si="0"/>
        <v>Hospital_Management_System</v>
      </c>
      <c r="E246" s="8" t="s">
        <v>1522</v>
      </c>
      <c r="F246" s="8"/>
    </row>
    <row r="247" spans="1:6" ht="14.6" x14ac:dyDescent="0.4">
      <c r="A247" s="7" t="s">
        <v>293</v>
      </c>
      <c r="B247" s="4" t="s">
        <v>294</v>
      </c>
      <c r="C247" s="4" t="s">
        <v>18</v>
      </c>
      <c r="D247" s="10" t="str">
        <f t="shared" si="0"/>
        <v>Hospital_Management_System</v>
      </c>
      <c r="E247" s="8" t="s">
        <v>1522</v>
      </c>
      <c r="F247" s="8"/>
    </row>
    <row r="248" spans="1:6" ht="14.6" x14ac:dyDescent="0.4">
      <c r="A248" s="7" t="s">
        <v>342</v>
      </c>
      <c r="B248" s="4" t="s">
        <v>343</v>
      </c>
      <c r="C248" s="4" t="s">
        <v>18</v>
      </c>
      <c r="D248" s="10" t="str">
        <f t="shared" si="0"/>
        <v>Hospital_Management_System</v>
      </c>
      <c r="E248" s="8" t="s">
        <v>1522</v>
      </c>
      <c r="F248" s="8"/>
    </row>
    <row r="249" spans="1:6" ht="14.6" x14ac:dyDescent="0.4">
      <c r="A249" s="7" t="s">
        <v>350</v>
      </c>
      <c r="B249" s="4" t="s">
        <v>351</v>
      </c>
      <c r="C249" s="4" t="s">
        <v>18</v>
      </c>
      <c r="D249" s="10" t="str">
        <f t="shared" si="0"/>
        <v>Hospital_Management_System</v>
      </c>
      <c r="E249" s="8" t="s">
        <v>1522</v>
      </c>
      <c r="F249" s="8"/>
    </row>
    <row r="250" spans="1:6" ht="14.6" x14ac:dyDescent="0.4">
      <c r="A250" s="7" t="s">
        <v>368</v>
      </c>
      <c r="B250" s="4" t="s">
        <v>369</v>
      </c>
      <c r="C250" s="4" t="s">
        <v>18</v>
      </c>
      <c r="D250" s="10" t="str">
        <f t="shared" si="0"/>
        <v>Hospital_Management_System</v>
      </c>
      <c r="E250" s="8" t="s">
        <v>1522</v>
      </c>
      <c r="F250" s="8"/>
    </row>
    <row r="251" spans="1:6" ht="14.6" x14ac:dyDescent="0.4">
      <c r="A251" s="7" t="s">
        <v>384</v>
      </c>
      <c r="B251" s="4" t="s">
        <v>363</v>
      </c>
      <c r="C251" s="4" t="s">
        <v>18</v>
      </c>
      <c r="D251" s="10" t="str">
        <f t="shared" si="0"/>
        <v>Hospital_Management_System</v>
      </c>
      <c r="E251" s="8" t="s">
        <v>1522</v>
      </c>
      <c r="F251" s="8"/>
    </row>
    <row r="252" spans="1:6" ht="14.6" x14ac:dyDescent="0.4">
      <c r="A252" s="7" t="s">
        <v>393</v>
      </c>
      <c r="B252" s="4" t="s">
        <v>291</v>
      </c>
      <c r="C252" s="4" t="s">
        <v>18</v>
      </c>
      <c r="D252" s="10" t="str">
        <f t="shared" si="0"/>
        <v>Hospital_Management_System</v>
      </c>
      <c r="E252" s="8" t="s">
        <v>1522</v>
      </c>
      <c r="F252" s="8"/>
    </row>
    <row r="253" spans="1:6" ht="14.6" x14ac:dyDescent="0.4">
      <c r="A253" s="7" t="s">
        <v>422</v>
      </c>
      <c r="B253" s="4" t="s">
        <v>40</v>
      </c>
      <c r="C253" s="4" t="s">
        <v>18</v>
      </c>
      <c r="D253" s="10" t="str">
        <f t="shared" si="0"/>
        <v>Hospital_Management_System</v>
      </c>
      <c r="E253" s="8" t="s">
        <v>1522</v>
      </c>
      <c r="F253" s="8"/>
    </row>
    <row r="254" spans="1:6" ht="14.6" x14ac:dyDescent="0.4">
      <c r="A254" s="7" t="s">
        <v>440</v>
      </c>
      <c r="B254" s="4" t="s">
        <v>70</v>
      </c>
      <c r="C254" s="4" t="s">
        <v>18</v>
      </c>
      <c r="D254" s="10" t="str">
        <f t="shared" si="0"/>
        <v>Hospital_Management_System</v>
      </c>
      <c r="E254" s="8" t="s">
        <v>1522</v>
      </c>
      <c r="F254" s="8"/>
    </row>
    <row r="255" spans="1:6" ht="14.6" x14ac:dyDescent="0.4">
      <c r="A255" s="7" t="s">
        <v>443</v>
      </c>
      <c r="B255" s="4" t="s">
        <v>444</v>
      </c>
      <c r="C255" s="4" t="s">
        <v>18</v>
      </c>
      <c r="D255" s="10" t="str">
        <f t="shared" si="0"/>
        <v>Hospital_Management_System</v>
      </c>
      <c r="E255" s="8" t="s">
        <v>1522</v>
      </c>
      <c r="F255" s="8"/>
    </row>
    <row r="256" spans="1:6" ht="14.6" x14ac:dyDescent="0.4">
      <c r="A256" s="7" t="s">
        <v>483</v>
      </c>
      <c r="B256" s="4" t="s">
        <v>209</v>
      </c>
      <c r="C256" s="4" t="s">
        <v>18</v>
      </c>
      <c r="D256" s="10" t="str">
        <f t="shared" si="0"/>
        <v>Hospital_Management_System</v>
      </c>
      <c r="E256" s="8" t="s">
        <v>1522</v>
      </c>
      <c r="F256" s="8"/>
    </row>
    <row r="257" spans="1:6" ht="14.6" x14ac:dyDescent="0.4">
      <c r="A257" s="7" t="s">
        <v>530</v>
      </c>
      <c r="B257" s="4" t="s">
        <v>28</v>
      </c>
      <c r="C257" s="4" t="s">
        <v>18</v>
      </c>
      <c r="D257" s="10" t="str">
        <f t="shared" si="0"/>
        <v>Hospital_Management_System</v>
      </c>
      <c r="E257" s="8" t="s">
        <v>1522</v>
      </c>
      <c r="F257" s="8"/>
    </row>
    <row r="258" spans="1:6" ht="14.6" x14ac:dyDescent="0.4">
      <c r="A258" s="7" t="s">
        <v>546</v>
      </c>
      <c r="B258" s="4" t="s">
        <v>259</v>
      </c>
      <c r="C258" s="4" t="s">
        <v>18</v>
      </c>
      <c r="D258" s="10" t="str">
        <f t="shared" si="0"/>
        <v>Hospital_Management_System</v>
      </c>
      <c r="E258" s="8" t="s">
        <v>1522</v>
      </c>
      <c r="F258" s="8"/>
    </row>
    <row r="259" spans="1:6" ht="14.6" x14ac:dyDescent="0.4">
      <c r="A259" s="7" t="s">
        <v>547</v>
      </c>
      <c r="B259" s="4" t="s">
        <v>548</v>
      </c>
      <c r="C259" s="4" t="s">
        <v>18</v>
      </c>
      <c r="D259" s="10" t="str">
        <f t="shared" si="0"/>
        <v>Hospital_Management_System</v>
      </c>
      <c r="E259" s="8" t="s">
        <v>1522</v>
      </c>
      <c r="F259" s="8"/>
    </row>
    <row r="260" spans="1:6" ht="14.6" x14ac:dyDescent="0.4">
      <c r="A260" s="7" t="s">
        <v>579</v>
      </c>
      <c r="B260" s="4" t="s">
        <v>369</v>
      </c>
      <c r="C260" s="4" t="s">
        <v>18</v>
      </c>
      <c r="D260" s="10" t="str">
        <f t="shared" si="0"/>
        <v>Hospital_Management_System</v>
      </c>
      <c r="E260" s="8" t="s">
        <v>1522</v>
      </c>
      <c r="F260" s="8"/>
    </row>
    <row r="261" spans="1:6" ht="14.6" x14ac:dyDescent="0.4">
      <c r="A261" s="7" t="s">
        <v>580</v>
      </c>
      <c r="B261" s="4" t="s">
        <v>545</v>
      </c>
      <c r="C261" s="4" t="s">
        <v>18</v>
      </c>
      <c r="D261" s="10" t="str">
        <f t="shared" si="0"/>
        <v>Hospital_Management_System</v>
      </c>
      <c r="E261" s="8" t="s">
        <v>1522</v>
      </c>
      <c r="F261" s="8"/>
    </row>
    <row r="262" spans="1:6" ht="14.6" x14ac:dyDescent="0.4">
      <c r="A262" s="7" t="s">
        <v>592</v>
      </c>
      <c r="B262" s="4" t="s">
        <v>593</v>
      </c>
      <c r="C262" s="4" t="s">
        <v>18</v>
      </c>
      <c r="D262" s="10" t="str">
        <f t="shared" si="0"/>
        <v>Hospital_Management_System</v>
      </c>
      <c r="E262" s="8" t="s">
        <v>1522</v>
      </c>
      <c r="F262" s="8"/>
    </row>
    <row r="263" spans="1:6" ht="14.6" x14ac:dyDescent="0.4">
      <c r="A263" s="7" t="s">
        <v>628</v>
      </c>
      <c r="B263" s="4" t="s">
        <v>240</v>
      </c>
      <c r="C263" s="4" t="s">
        <v>18</v>
      </c>
      <c r="D263" s="10" t="str">
        <f t="shared" si="0"/>
        <v>Hospital_Management_System</v>
      </c>
      <c r="E263" s="8" t="s">
        <v>1522</v>
      </c>
      <c r="F263" s="8"/>
    </row>
    <row r="264" spans="1:6" ht="14.6" x14ac:dyDescent="0.4">
      <c r="A264" s="7" t="s">
        <v>629</v>
      </c>
      <c r="B264" s="4" t="s">
        <v>257</v>
      </c>
      <c r="C264" s="4" t="s">
        <v>18</v>
      </c>
      <c r="D264" s="10" t="str">
        <f t="shared" si="0"/>
        <v>Hospital_Management_System</v>
      </c>
      <c r="E264" s="8" t="s">
        <v>1522</v>
      </c>
      <c r="F264" s="8"/>
    </row>
    <row r="265" spans="1:6" ht="14.6" x14ac:dyDescent="0.4">
      <c r="A265" s="7" t="s">
        <v>639</v>
      </c>
      <c r="B265" s="4" t="s">
        <v>280</v>
      </c>
      <c r="C265" s="4" t="s">
        <v>18</v>
      </c>
      <c r="D265" s="10" t="str">
        <f t="shared" si="0"/>
        <v>Hospital_Management_System</v>
      </c>
      <c r="E265" s="8" t="s">
        <v>1522</v>
      </c>
      <c r="F265" s="8"/>
    </row>
    <row r="266" spans="1:6" ht="14.6" x14ac:dyDescent="0.4">
      <c r="A266" s="7" t="s">
        <v>642</v>
      </c>
      <c r="B266" s="4" t="s">
        <v>643</v>
      </c>
      <c r="C266" s="4" t="s">
        <v>18</v>
      </c>
      <c r="D266" s="10" t="str">
        <f t="shared" si="0"/>
        <v>Hospital_Management_System</v>
      </c>
      <c r="E266" s="8" t="s">
        <v>1522</v>
      </c>
      <c r="F266" s="8"/>
    </row>
    <row r="267" spans="1:6" ht="14.6" x14ac:dyDescent="0.4">
      <c r="A267" s="7" t="s">
        <v>664</v>
      </c>
      <c r="B267" s="4" t="s">
        <v>112</v>
      </c>
      <c r="C267" s="4" t="s">
        <v>18</v>
      </c>
      <c r="D267" s="10" t="str">
        <f t="shared" si="0"/>
        <v>Hospital_Management_System</v>
      </c>
      <c r="E267" s="8" t="s">
        <v>1522</v>
      </c>
      <c r="F267" s="8"/>
    </row>
    <row r="268" spans="1:6" ht="14.6" x14ac:dyDescent="0.4">
      <c r="A268" s="7" t="s">
        <v>676</v>
      </c>
      <c r="B268" s="4" t="s">
        <v>98</v>
      </c>
      <c r="C268" s="4" t="s">
        <v>18</v>
      </c>
      <c r="D268" s="10" t="str">
        <f t="shared" si="0"/>
        <v>Hospital_Management_System</v>
      </c>
      <c r="E268" s="8" t="s">
        <v>1522</v>
      </c>
      <c r="F268" s="8"/>
    </row>
    <row r="269" spans="1:6" ht="14.6" x14ac:dyDescent="0.4">
      <c r="A269" s="7" t="s">
        <v>678</v>
      </c>
      <c r="B269" s="4" t="s">
        <v>679</v>
      </c>
      <c r="C269" s="4" t="s">
        <v>18</v>
      </c>
      <c r="D269" s="10" t="str">
        <f t="shared" si="0"/>
        <v>Hospital_Management_System</v>
      </c>
      <c r="E269" s="8" t="s">
        <v>1522</v>
      </c>
      <c r="F269" s="8"/>
    </row>
    <row r="270" spans="1:6" ht="14.6" x14ac:dyDescent="0.4">
      <c r="A270" s="7" t="s">
        <v>700</v>
      </c>
      <c r="B270" s="4" t="s">
        <v>701</v>
      </c>
      <c r="C270" s="4" t="s">
        <v>18</v>
      </c>
      <c r="D270" s="10" t="str">
        <f t="shared" si="0"/>
        <v>Hospital_Management_System</v>
      </c>
      <c r="E270" s="8" t="s">
        <v>1522</v>
      </c>
      <c r="F270" s="8"/>
    </row>
    <row r="271" spans="1:6" ht="14.6" x14ac:dyDescent="0.4">
      <c r="A271" s="7" t="s">
        <v>722</v>
      </c>
      <c r="B271" s="4" t="s">
        <v>191</v>
      </c>
      <c r="C271" s="4" t="s">
        <v>18</v>
      </c>
      <c r="D271" s="10" t="str">
        <f t="shared" si="0"/>
        <v>Hospital_Management_System</v>
      </c>
      <c r="E271" s="8" t="s">
        <v>1522</v>
      </c>
      <c r="F271" s="8"/>
    </row>
    <row r="272" spans="1:6" ht="14.6" x14ac:dyDescent="0.4">
      <c r="A272" s="7" t="s">
        <v>756</v>
      </c>
      <c r="B272" s="4" t="s">
        <v>757</v>
      </c>
      <c r="C272" s="4" t="s">
        <v>18</v>
      </c>
      <c r="D272" s="10" t="str">
        <f t="shared" si="0"/>
        <v>Hospital_Management_System</v>
      </c>
      <c r="E272" s="8" t="s">
        <v>1522</v>
      </c>
      <c r="F272" s="8"/>
    </row>
    <row r="273" spans="1:6" ht="14.6" x14ac:dyDescent="0.4">
      <c r="A273" s="7" t="s">
        <v>769</v>
      </c>
      <c r="B273" s="4" t="s">
        <v>74</v>
      </c>
      <c r="C273" s="4" t="s">
        <v>18</v>
      </c>
      <c r="D273" s="10" t="str">
        <f t="shared" si="0"/>
        <v>Hospital_Management_System</v>
      </c>
      <c r="E273" s="8" t="s">
        <v>1522</v>
      </c>
      <c r="F273" s="8"/>
    </row>
    <row r="274" spans="1:6" ht="14.6" x14ac:dyDescent="0.4">
      <c r="A274" s="7" t="s">
        <v>814</v>
      </c>
      <c r="B274" s="4" t="s">
        <v>259</v>
      </c>
      <c r="C274" s="4" t="s">
        <v>18</v>
      </c>
      <c r="D274" s="10" t="str">
        <f t="shared" si="0"/>
        <v>Hospital_Management_System</v>
      </c>
      <c r="E274" s="8" t="s">
        <v>1522</v>
      </c>
      <c r="F274" s="8"/>
    </row>
    <row r="275" spans="1:6" ht="14.6" x14ac:dyDescent="0.4">
      <c r="A275" s="7" t="s">
        <v>838</v>
      </c>
      <c r="B275" s="4" t="s">
        <v>839</v>
      </c>
      <c r="C275" s="4" t="s">
        <v>18</v>
      </c>
      <c r="D275" s="10" t="str">
        <f t="shared" si="0"/>
        <v>Hospital_Management_System</v>
      </c>
      <c r="E275" s="8" t="s">
        <v>1522</v>
      </c>
      <c r="F275" s="8"/>
    </row>
    <row r="276" spans="1:6" ht="14.6" x14ac:dyDescent="0.4">
      <c r="A276" s="7" t="s">
        <v>875</v>
      </c>
      <c r="B276" s="4" t="s">
        <v>542</v>
      </c>
      <c r="C276" s="4" t="s">
        <v>18</v>
      </c>
      <c r="D276" s="10" t="str">
        <f t="shared" si="0"/>
        <v>Hospital_Management_System</v>
      </c>
      <c r="E276" s="8" t="s">
        <v>1522</v>
      </c>
      <c r="F276" s="8"/>
    </row>
    <row r="277" spans="1:6" ht="14.6" x14ac:dyDescent="0.4">
      <c r="A277" s="7" t="s">
        <v>885</v>
      </c>
      <c r="B277" s="4" t="s">
        <v>593</v>
      </c>
      <c r="C277" s="4" t="s">
        <v>18</v>
      </c>
      <c r="D277" s="10" t="str">
        <f t="shared" si="0"/>
        <v>Hospital_Management_System</v>
      </c>
      <c r="E277" s="8" t="s">
        <v>1522</v>
      </c>
      <c r="F277" s="8"/>
    </row>
    <row r="278" spans="1:6" ht="14.6" x14ac:dyDescent="0.4">
      <c r="A278" s="7" t="s">
        <v>918</v>
      </c>
      <c r="B278" s="4" t="s">
        <v>919</v>
      </c>
      <c r="C278" s="4" t="s">
        <v>18</v>
      </c>
      <c r="D278" s="10" t="str">
        <f t="shared" si="0"/>
        <v>Hospital_Management_System</v>
      </c>
      <c r="E278" s="8" t="s">
        <v>1522</v>
      </c>
      <c r="F278" s="8"/>
    </row>
    <row r="279" spans="1:6" ht="14.6" x14ac:dyDescent="0.4">
      <c r="A279" s="7" t="s">
        <v>948</v>
      </c>
      <c r="B279" s="4" t="s">
        <v>259</v>
      </c>
      <c r="C279" s="4" t="s">
        <v>18</v>
      </c>
      <c r="D279" s="10" t="str">
        <f t="shared" si="0"/>
        <v>Hospital_Management_System</v>
      </c>
      <c r="E279" s="8" t="s">
        <v>1522</v>
      </c>
      <c r="F279" s="8"/>
    </row>
    <row r="280" spans="1:6" ht="14.6" x14ac:dyDescent="0.4">
      <c r="A280" s="7" t="s">
        <v>952</v>
      </c>
      <c r="B280" s="4" t="s">
        <v>141</v>
      </c>
      <c r="C280" s="4" t="s">
        <v>18</v>
      </c>
      <c r="D280" s="10" t="str">
        <f t="shared" si="0"/>
        <v>Hospital_Management_System</v>
      </c>
      <c r="E280" s="8" t="s">
        <v>1522</v>
      </c>
      <c r="F280" s="8"/>
    </row>
    <row r="281" spans="1:6" ht="14.6" x14ac:dyDescent="0.4">
      <c r="A281" s="7" t="s">
        <v>969</v>
      </c>
      <c r="B281" s="4" t="s">
        <v>57</v>
      </c>
      <c r="C281" s="4" t="s">
        <v>18</v>
      </c>
      <c r="D281" s="10" t="str">
        <f t="shared" si="0"/>
        <v>Hospital_Management_System</v>
      </c>
      <c r="E281" s="8" t="s">
        <v>1522</v>
      </c>
      <c r="F281" s="8"/>
    </row>
    <row r="282" spans="1:6" ht="14.6" x14ac:dyDescent="0.4">
      <c r="A282" s="7" t="s">
        <v>975</v>
      </c>
      <c r="B282" s="4" t="s">
        <v>171</v>
      </c>
      <c r="C282" s="4" t="s">
        <v>18</v>
      </c>
      <c r="D282" s="10" t="str">
        <f t="shared" si="0"/>
        <v>Hospital_Management_System</v>
      </c>
      <c r="E282" s="8" t="s">
        <v>1522</v>
      </c>
      <c r="F282" s="8"/>
    </row>
    <row r="283" spans="1:6" ht="14.6" x14ac:dyDescent="0.4">
      <c r="A283" s="7" t="s">
        <v>986</v>
      </c>
      <c r="B283" s="4" t="s">
        <v>554</v>
      </c>
      <c r="C283" s="4" t="s">
        <v>18</v>
      </c>
      <c r="D283" s="10" t="str">
        <f t="shared" si="0"/>
        <v>Hospital_Management_System</v>
      </c>
      <c r="E283" s="8" t="s">
        <v>1522</v>
      </c>
      <c r="F283" s="8"/>
    </row>
    <row r="284" spans="1:6" ht="14.6" x14ac:dyDescent="0.4">
      <c r="A284" s="7" t="s">
        <v>988</v>
      </c>
      <c r="B284" s="4" t="s">
        <v>383</v>
      </c>
      <c r="C284" s="4" t="s">
        <v>18</v>
      </c>
      <c r="D284" s="10" t="str">
        <f t="shared" si="0"/>
        <v>Hospital_Management_System</v>
      </c>
      <c r="E284" s="8" t="s">
        <v>1522</v>
      </c>
      <c r="F284" s="8"/>
    </row>
    <row r="285" spans="1:6" ht="14.6" x14ac:dyDescent="0.4">
      <c r="A285" s="7" t="s">
        <v>993</v>
      </c>
      <c r="B285" s="4" t="s">
        <v>135</v>
      </c>
      <c r="C285" s="4" t="s">
        <v>18</v>
      </c>
      <c r="D285" s="10" t="str">
        <f t="shared" si="0"/>
        <v>Hospital_Management_System</v>
      </c>
      <c r="E285" s="8" t="s">
        <v>1522</v>
      </c>
      <c r="F285" s="8"/>
    </row>
    <row r="286" spans="1:6" ht="14.6" x14ac:dyDescent="0.4">
      <c r="A286" s="7" t="s">
        <v>1005</v>
      </c>
      <c r="B286" s="4" t="s">
        <v>62</v>
      </c>
      <c r="C286" s="4" t="s">
        <v>18</v>
      </c>
      <c r="D286" s="10" t="str">
        <f t="shared" si="0"/>
        <v>Hospital_Management_System</v>
      </c>
      <c r="E286" s="8" t="s">
        <v>1522</v>
      </c>
      <c r="F286" s="8"/>
    </row>
    <row r="287" spans="1:6" ht="14.6" x14ac:dyDescent="0.4">
      <c r="A287" s="7" t="s">
        <v>1023</v>
      </c>
      <c r="B287" s="4" t="s">
        <v>511</v>
      </c>
      <c r="C287" s="4" t="s">
        <v>18</v>
      </c>
      <c r="D287" s="10" t="str">
        <f t="shared" si="0"/>
        <v>Hospital_Management_System</v>
      </c>
      <c r="E287" s="8" t="s">
        <v>1522</v>
      </c>
      <c r="F287" s="8"/>
    </row>
    <row r="288" spans="1:6" ht="14.6" x14ac:dyDescent="0.4">
      <c r="A288" s="7" t="s">
        <v>1064</v>
      </c>
      <c r="B288" s="4" t="s">
        <v>1060</v>
      </c>
      <c r="C288" s="4" t="s">
        <v>18</v>
      </c>
      <c r="D288" s="10" t="str">
        <f t="shared" si="0"/>
        <v>Hospital_Management_System</v>
      </c>
      <c r="E288" s="8" t="s">
        <v>1522</v>
      </c>
      <c r="F288" s="8"/>
    </row>
    <row r="289" spans="1:6" ht="14.6" x14ac:dyDescent="0.4">
      <c r="A289" s="7" t="s">
        <v>1065</v>
      </c>
      <c r="B289" s="4" t="s">
        <v>1062</v>
      </c>
      <c r="C289" s="4" t="s">
        <v>18</v>
      </c>
      <c r="D289" s="10" t="str">
        <f t="shared" si="0"/>
        <v>Hospital_Management_System</v>
      </c>
      <c r="E289" s="8" t="s">
        <v>1522</v>
      </c>
      <c r="F289" s="8"/>
    </row>
    <row r="290" spans="1:6" ht="14.6" x14ac:dyDescent="0.4">
      <c r="A290" s="7" t="s">
        <v>1081</v>
      </c>
      <c r="B290" s="4" t="s">
        <v>1080</v>
      </c>
      <c r="C290" s="4" t="s">
        <v>18</v>
      </c>
      <c r="D290" s="10" t="str">
        <f t="shared" si="0"/>
        <v>Hospital_Management_System</v>
      </c>
      <c r="E290" s="8" t="s">
        <v>1522</v>
      </c>
      <c r="F290" s="8"/>
    </row>
    <row r="291" spans="1:6" ht="14.6" x14ac:dyDescent="0.4">
      <c r="A291" s="7" t="s">
        <v>1090</v>
      </c>
      <c r="B291" s="4" t="s">
        <v>1087</v>
      </c>
      <c r="C291" s="4" t="s">
        <v>18</v>
      </c>
      <c r="D291" s="10" t="str">
        <f t="shared" si="0"/>
        <v>Hospital_Management_System</v>
      </c>
      <c r="E291" s="8" t="s">
        <v>1522</v>
      </c>
      <c r="F291" s="8"/>
    </row>
    <row r="292" spans="1:6" ht="14.6" x14ac:dyDescent="0.4">
      <c r="A292" s="7" t="s">
        <v>1092</v>
      </c>
      <c r="B292" s="4" t="s">
        <v>1067</v>
      </c>
      <c r="C292" s="4" t="s">
        <v>18</v>
      </c>
      <c r="D292" s="10" t="str">
        <f t="shared" si="0"/>
        <v>Hospital_Management_System</v>
      </c>
      <c r="E292" s="8" t="s">
        <v>1522</v>
      </c>
      <c r="F292" s="8"/>
    </row>
    <row r="293" spans="1:6" ht="14.6" x14ac:dyDescent="0.4">
      <c r="A293" s="7" t="s">
        <v>1117</v>
      </c>
      <c r="B293" s="4" t="s">
        <v>1045</v>
      </c>
      <c r="C293" s="4" t="s">
        <v>18</v>
      </c>
      <c r="D293" s="10" t="str">
        <f t="shared" si="0"/>
        <v>Hospital_Management_System</v>
      </c>
      <c r="E293" s="8" t="s">
        <v>1522</v>
      </c>
      <c r="F293" s="8"/>
    </row>
    <row r="294" spans="1:6" ht="14.6" x14ac:dyDescent="0.4">
      <c r="A294" s="7" t="s">
        <v>1134</v>
      </c>
      <c r="B294" s="4" t="s">
        <v>1070</v>
      </c>
      <c r="C294" s="4" t="s">
        <v>18</v>
      </c>
      <c r="D294" s="10" t="str">
        <f t="shared" si="0"/>
        <v>Hospital_Management_System</v>
      </c>
      <c r="E294" s="8" t="s">
        <v>1522</v>
      </c>
      <c r="F294" s="8"/>
    </row>
    <row r="295" spans="1:6" ht="14.6" x14ac:dyDescent="0.4">
      <c r="A295" s="7" t="s">
        <v>1150</v>
      </c>
      <c r="B295" s="4" t="s">
        <v>1151</v>
      </c>
      <c r="C295" s="4" t="s">
        <v>18</v>
      </c>
      <c r="D295" s="10" t="str">
        <f t="shared" si="0"/>
        <v>Hospital_Management_System</v>
      </c>
      <c r="E295" s="8" t="s">
        <v>1522</v>
      </c>
      <c r="F295" s="8"/>
    </row>
    <row r="296" spans="1:6" ht="14.6" x14ac:dyDescent="0.4">
      <c r="A296" s="7" t="s">
        <v>1174</v>
      </c>
      <c r="B296" s="4" t="s">
        <v>1167</v>
      </c>
      <c r="C296" s="4" t="s">
        <v>18</v>
      </c>
      <c r="D296" s="10" t="str">
        <f t="shared" si="0"/>
        <v>Hospital_Management_System</v>
      </c>
      <c r="E296" s="8" t="s">
        <v>1522</v>
      </c>
      <c r="F296" s="8"/>
    </row>
    <row r="297" spans="1:6" ht="14.6" x14ac:dyDescent="0.4">
      <c r="A297" s="7" t="s">
        <v>1175</v>
      </c>
      <c r="B297" s="4" t="s">
        <v>1176</v>
      </c>
      <c r="C297" s="4" t="s">
        <v>18</v>
      </c>
      <c r="D297" s="10" t="str">
        <f t="shared" si="0"/>
        <v>Hospital_Management_System</v>
      </c>
      <c r="E297" s="8" t="s">
        <v>1522</v>
      </c>
      <c r="F297" s="8"/>
    </row>
    <row r="298" spans="1:6" ht="14.6" x14ac:dyDescent="0.4">
      <c r="A298" s="7" t="s">
        <v>1199</v>
      </c>
      <c r="B298" s="4" t="s">
        <v>1200</v>
      </c>
      <c r="C298" s="4" t="s">
        <v>18</v>
      </c>
      <c r="D298" s="10" t="str">
        <f t="shared" si="0"/>
        <v>Hospital_Management_System</v>
      </c>
      <c r="E298" s="8" t="s">
        <v>1522</v>
      </c>
      <c r="F298" s="8"/>
    </row>
    <row r="299" spans="1:6" ht="14.6" x14ac:dyDescent="0.4">
      <c r="A299" s="7" t="s">
        <v>1216</v>
      </c>
      <c r="B299" s="4" t="s">
        <v>1217</v>
      </c>
      <c r="C299" s="4" t="s">
        <v>18</v>
      </c>
      <c r="D299" s="10" t="str">
        <f t="shared" si="0"/>
        <v>Hospital_Management_System</v>
      </c>
      <c r="E299" s="8" t="s">
        <v>1522</v>
      </c>
      <c r="F299" s="8"/>
    </row>
    <row r="300" spans="1:6" ht="14.6" x14ac:dyDescent="0.4">
      <c r="A300" s="7" t="s">
        <v>1221</v>
      </c>
      <c r="B300" s="4" t="s">
        <v>1167</v>
      </c>
      <c r="C300" s="4" t="s">
        <v>18</v>
      </c>
      <c r="D300" s="10" t="str">
        <f t="shared" si="0"/>
        <v>Hospital_Management_System</v>
      </c>
      <c r="E300" s="8" t="s">
        <v>1522</v>
      </c>
      <c r="F300" s="8"/>
    </row>
    <row r="301" spans="1:6" ht="14.6" x14ac:dyDescent="0.4">
      <c r="A301" s="7" t="s">
        <v>1227</v>
      </c>
      <c r="B301" s="4" t="s">
        <v>1217</v>
      </c>
      <c r="C301" s="4" t="s">
        <v>18</v>
      </c>
      <c r="D301" s="10" t="str">
        <f t="shared" si="0"/>
        <v>Hospital_Management_System</v>
      </c>
      <c r="E301" s="8" t="s">
        <v>1522</v>
      </c>
      <c r="F301" s="8"/>
    </row>
    <row r="302" spans="1:6" ht="14.6" x14ac:dyDescent="0.4">
      <c r="A302" s="7" t="s">
        <v>1229</v>
      </c>
      <c r="B302" s="4" t="s">
        <v>1225</v>
      </c>
      <c r="C302" s="4" t="s">
        <v>18</v>
      </c>
      <c r="D302" s="10" t="str">
        <f t="shared" si="0"/>
        <v>Hospital_Management_System</v>
      </c>
      <c r="E302" s="8" t="s">
        <v>1522</v>
      </c>
      <c r="F302" s="8"/>
    </row>
    <row r="303" spans="1:6" ht="14.6" x14ac:dyDescent="0.4">
      <c r="A303" s="7" t="s">
        <v>1236</v>
      </c>
      <c r="B303" s="4" t="s">
        <v>1176</v>
      </c>
      <c r="C303" s="4" t="s">
        <v>18</v>
      </c>
      <c r="D303" s="10" t="str">
        <f t="shared" si="0"/>
        <v>Hospital_Management_System</v>
      </c>
      <c r="E303" s="8" t="s">
        <v>1522</v>
      </c>
      <c r="F303" s="8"/>
    </row>
    <row r="304" spans="1:6" ht="14.6" x14ac:dyDescent="0.4">
      <c r="A304" s="7" t="s">
        <v>1238</v>
      </c>
      <c r="B304" s="4" t="s">
        <v>1167</v>
      </c>
      <c r="C304" s="4" t="s">
        <v>18</v>
      </c>
      <c r="D304" s="10" t="str">
        <f t="shared" si="0"/>
        <v>Hospital_Management_System</v>
      </c>
      <c r="E304" s="8" t="s">
        <v>1522</v>
      </c>
      <c r="F304" s="8"/>
    </row>
    <row r="305" spans="1:6" ht="14.6" x14ac:dyDescent="0.4">
      <c r="A305" s="7" t="s">
        <v>1280</v>
      </c>
      <c r="B305" s="4" t="s">
        <v>1268</v>
      </c>
      <c r="C305" s="4" t="s">
        <v>18</v>
      </c>
      <c r="D305" s="10" t="str">
        <f t="shared" si="0"/>
        <v>Hospital_Management_System</v>
      </c>
      <c r="E305" s="8" t="s">
        <v>1522</v>
      </c>
      <c r="F305" s="8"/>
    </row>
    <row r="306" spans="1:6" ht="14.6" x14ac:dyDescent="0.4">
      <c r="A306" s="7" t="s">
        <v>1281</v>
      </c>
      <c r="B306" s="4" t="s">
        <v>1268</v>
      </c>
      <c r="C306" s="4" t="s">
        <v>18</v>
      </c>
      <c r="D306" s="10" t="str">
        <f t="shared" si="0"/>
        <v>Hospital_Management_System</v>
      </c>
      <c r="E306" s="8" t="s">
        <v>1522</v>
      </c>
      <c r="F306" s="8"/>
    </row>
    <row r="307" spans="1:6" ht="14.6" x14ac:dyDescent="0.4">
      <c r="A307" s="7" t="s">
        <v>1294</v>
      </c>
      <c r="B307" s="4" t="s">
        <v>1256</v>
      </c>
      <c r="C307" s="4" t="s">
        <v>18</v>
      </c>
      <c r="D307" s="10" t="str">
        <f t="shared" si="0"/>
        <v>Hospital_Management_System</v>
      </c>
      <c r="E307" s="8" t="s">
        <v>1522</v>
      </c>
      <c r="F307" s="8"/>
    </row>
    <row r="308" spans="1:6" ht="14.6" x14ac:dyDescent="0.4">
      <c r="A308" s="7" t="s">
        <v>1336</v>
      </c>
      <c r="B308" s="4" t="s">
        <v>1262</v>
      </c>
      <c r="C308" s="4" t="s">
        <v>18</v>
      </c>
      <c r="D308" s="10" t="str">
        <f t="shared" si="0"/>
        <v>Hospital_Management_System</v>
      </c>
      <c r="E308" s="8" t="s">
        <v>1522</v>
      </c>
      <c r="F308" s="8"/>
    </row>
    <row r="309" spans="1:6" ht="14.6" x14ac:dyDescent="0.4">
      <c r="A309" s="7" t="s">
        <v>1364</v>
      </c>
      <c r="B309" s="4" t="s">
        <v>1347</v>
      </c>
      <c r="C309" s="4" t="s">
        <v>18</v>
      </c>
      <c r="D309" s="10" t="str">
        <f t="shared" si="0"/>
        <v>Hospital_Management_System</v>
      </c>
      <c r="E309" s="8" t="s">
        <v>1522</v>
      </c>
      <c r="F309" s="8"/>
    </row>
    <row r="310" spans="1:6" ht="14.6" x14ac:dyDescent="0.4">
      <c r="A310" s="7" t="s">
        <v>1371</v>
      </c>
      <c r="B310" s="4" t="s">
        <v>1355</v>
      </c>
      <c r="C310" s="4" t="s">
        <v>18</v>
      </c>
      <c r="D310" s="10" t="str">
        <f t="shared" si="0"/>
        <v>Hospital_Management_System</v>
      </c>
      <c r="E310" s="8" t="s">
        <v>1522</v>
      </c>
      <c r="F310" s="8"/>
    </row>
    <row r="311" spans="1:6" ht="14.6" x14ac:dyDescent="0.4">
      <c r="A311" s="7" t="s">
        <v>1395</v>
      </c>
      <c r="B311" s="4" t="s">
        <v>1355</v>
      </c>
      <c r="C311" s="4" t="s">
        <v>18</v>
      </c>
      <c r="D311" s="10" t="str">
        <f t="shared" si="0"/>
        <v>Hospital_Management_System</v>
      </c>
      <c r="E311" s="8" t="s">
        <v>1522</v>
      </c>
      <c r="F311" s="8"/>
    </row>
    <row r="312" spans="1:6" ht="14.6" x14ac:dyDescent="0.4">
      <c r="A312" s="7" t="s">
        <v>1402</v>
      </c>
      <c r="B312" s="4" t="s">
        <v>1355</v>
      </c>
      <c r="C312" s="4" t="s">
        <v>18</v>
      </c>
      <c r="D312" s="10" t="str">
        <f t="shared" si="0"/>
        <v>Hospital_Management_System</v>
      </c>
      <c r="E312" s="8" t="s">
        <v>1522</v>
      </c>
      <c r="F312" s="8"/>
    </row>
    <row r="313" spans="1:6" ht="14.6" x14ac:dyDescent="0.4">
      <c r="A313" s="7" t="s">
        <v>1409</v>
      </c>
      <c r="B313" s="4" t="s">
        <v>1359</v>
      </c>
      <c r="C313" s="4" t="s">
        <v>18</v>
      </c>
      <c r="D313" s="10" t="str">
        <f t="shared" si="0"/>
        <v>Hospital_Management_System</v>
      </c>
      <c r="E313" s="8" t="s">
        <v>1522</v>
      </c>
      <c r="F313" s="8"/>
    </row>
    <row r="314" spans="1:6" ht="14.6" x14ac:dyDescent="0.4">
      <c r="A314" s="7" t="s">
        <v>1466</v>
      </c>
      <c r="B314" s="4" t="s">
        <v>1437</v>
      </c>
      <c r="C314" s="4" t="s">
        <v>18</v>
      </c>
      <c r="D314" s="10" t="str">
        <f t="shared" si="0"/>
        <v>Hospital_Management_System</v>
      </c>
      <c r="E314" s="8" t="s">
        <v>1522</v>
      </c>
      <c r="F314" s="8"/>
    </row>
    <row r="315" spans="1:6" ht="14.6" x14ac:dyDescent="0.4">
      <c r="A315" s="7" t="s">
        <v>1482</v>
      </c>
      <c r="B315" s="4" t="s">
        <v>1475</v>
      </c>
      <c r="C315" s="4" t="s">
        <v>18</v>
      </c>
      <c r="D315" s="10" t="str">
        <f t="shared" si="0"/>
        <v>Hospital_Management_System</v>
      </c>
      <c r="E315" s="8" t="s">
        <v>1522</v>
      </c>
      <c r="F315" s="8"/>
    </row>
    <row r="316" spans="1:6" ht="14.6" x14ac:dyDescent="0.4">
      <c r="A316" s="7" t="s">
        <v>63</v>
      </c>
      <c r="B316" s="4" t="s">
        <v>64</v>
      </c>
      <c r="C316" s="4" t="s">
        <v>65</v>
      </c>
      <c r="D316" s="10" t="str">
        <f t="shared" si="0"/>
        <v>Inventory_Management</v>
      </c>
      <c r="E316" s="8" t="s">
        <v>1522</v>
      </c>
      <c r="F316" s="8" t="s">
        <v>1540</v>
      </c>
    </row>
    <row r="317" spans="1:6" ht="14.6" x14ac:dyDescent="0.4">
      <c r="A317" s="7" t="s">
        <v>73</v>
      </c>
      <c r="B317" s="4" t="s">
        <v>74</v>
      </c>
      <c r="C317" s="4" t="s">
        <v>65</v>
      </c>
      <c r="D317" s="10" t="str">
        <f t="shared" si="0"/>
        <v>Inventory_Management</v>
      </c>
      <c r="E317" s="8" t="s">
        <v>1522</v>
      </c>
      <c r="F317" s="8"/>
    </row>
    <row r="318" spans="1:6" ht="14.6" x14ac:dyDescent="0.4">
      <c r="A318" s="7" t="s">
        <v>75</v>
      </c>
      <c r="B318" s="4" t="s">
        <v>76</v>
      </c>
      <c r="C318" s="4" t="s">
        <v>65</v>
      </c>
      <c r="D318" s="10" t="str">
        <f t="shared" si="0"/>
        <v>Inventory_Management</v>
      </c>
      <c r="E318" s="8" t="s">
        <v>1522</v>
      </c>
      <c r="F318" s="8"/>
    </row>
    <row r="319" spans="1:6" ht="14.6" x14ac:dyDescent="0.4">
      <c r="A319" s="7" t="s">
        <v>89</v>
      </c>
      <c r="B319" s="4" t="s">
        <v>90</v>
      </c>
      <c r="C319" s="4" t="s">
        <v>65</v>
      </c>
      <c r="D319" s="10" t="str">
        <f t="shared" si="0"/>
        <v>Inventory_Management</v>
      </c>
      <c r="E319" s="8" t="s">
        <v>1522</v>
      </c>
      <c r="F319" s="8"/>
    </row>
    <row r="320" spans="1:6" ht="14.6" x14ac:dyDescent="0.4">
      <c r="A320" s="7" t="s">
        <v>94</v>
      </c>
      <c r="B320" s="4" t="s">
        <v>95</v>
      </c>
      <c r="C320" s="4" t="s">
        <v>65</v>
      </c>
      <c r="D320" s="10" t="str">
        <f t="shared" si="0"/>
        <v>Inventory_Management</v>
      </c>
      <c r="E320" s="8" t="s">
        <v>1522</v>
      </c>
      <c r="F320" s="8"/>
    </row>
    <row r="321" spans="1:6" ht="14.6" x14ac:dyDescent="0.4">
      <c r="A321" s="7" t="s">
        <v>109</v>
      </c>
      <c r="B321" s="4" t="s">
        <v>110</v>
      </c>
      <c r="C321" s="4" t="s">
        <v>65</v>
      </c>
      <c r="D321" s="10" t="str">
        <f t="shared" si="0"/>
        <v>Inventory_Management</v>
      </c>
      <c r="E321" s="8" t="s">
        <v>1522</v>
      </c>
      <c r="F321" s="8"/>
    </row>
    <row r="322" spans="1:6" ht="14.6" x14ac:dyDescent="0.4">
      <c r="A322" s="7" t="s">
        <v>117</v>
      </c>
      <c r="B322" s="4" t="s">
        <v>118</v>
      </c>
      <c r="C322" s="4" t="s">
        <v>65</v>
      </c>
      <c r="D322" s="10" t="str">
        <f t="shared" si="0"/>
        <v>Inventory_Management</v>
      </c>
      <c r="E322" s="8" t="s">
        <v>1522</v>
      </c>
      <c r="F322" s="8"/>
    </row>
    <row r="323" spans="1:6" ht="14.6" x14ac:dyDescent="0.4">
      <c r="A323" s="7" t="s">
        <v>163</v>
      </c>
      <c r="B323" s="4" t="s">
        <v>164</v>
      </c>
      <c r="C323" s="4" t="s">
        <v>65</v>
      </c>
      <c r="D323" s="10" t="str">
        <f t="shared" si="0"/>
        <v>Inventory_Management</v>
      </c>
      <c r="E323" s="8" t="s">
        <v>1522</v>
      </c>
      <c r="F323" s="8"/>
    </row>
    <row r="324" spans="1:6" ht="14.6" x14ac:dyDescent="0.4">
      <c r="A324" s="7" t="s">
        <v>198</v>
      </c>
      <c r="B324" s="4" t="s">
        <v>191</v>
      </c>
      <c r="C324" s="4" t="s">
        <v>65</v>
      </c>
      <c r="D324" s="10" t="str">
        <f t="shared" si="0"/>
        <v>Inventory_Management</v>
      </c>
      <c r="E324" s="8" t="s">
        <v>1522</v>
      </c>
      <c r="F324" s="8"/>
    </row>
    <row r="325" spans="1:6" ht="14.6" x14ac:dyDescent="0.4">
      <c r="A325" s="7" t="s">
        <v>208</v>
      </c>
      <c r="B325" s="4" t="s">
        <v>209</v>
      </c>
      <c r="C325" s="4" t="s">
        <v>65</v>
      </c>
      <c r="D325" s="10" t="str">
        <f t="shared" si="0"/>
        <v>Inventory_Management</v>
      </c>
      <c r="E325" s="8" t="s">
        <v>1522</v>
      </c>
      <c r="F325" s="8"/>
    </row>
    <row r="326" spans="1:6" ht="14.6" x14ac:dyDescent="0.4">
      <c r="A326" s="7" t="s">
        <v>233</v>
      </c>
      <c r="B326" s="4" t="s">
        <v>234</v>
      </c>
      <c r="C326" s="4" t="s">
        <v>65</v>
      </c>
      <c r="D326" s="10" t="str">
        <f t="shared" si="0"/>
        <v>Inventory_Management</v>
      </c>
      <c r="E326" s="8" t="s">
        <v>1522</v>
      </c>
      <c r="F326" s="8"/>
    </row>
    <row r="327" spans="1:6" ht="14.6" x14ac:dyDescent="0.4">
      <c r="A327" s="7" t="s">
        <v>247</v>
      </c>
      <c r="B327" s="4" t="s">
        <v>248</v>
      </c>
      <c r="C327" s="4" t="s">
        <v>65</v>
      </c>
      <c r="D327" s="10" t="str">
        <f t="shared" si="0"/>
        <v>Inventory_Management</v>
      </c>
      <c r="E327" s="8" t="s">
        <v>1522</v>
      </c>
      <c r="F327" s="8"/>
    </row>
    <row r="328" spans="1:6" ht="14.6" x14ac:dyDescent="0.4">
      <c r="A328" s="7" t="s">
        <v>260</v>
      </c>
      <c r="B328" s="4" t="s">
        <v>204</v>
      </c>
      <c r="C328" s="4" t="s">
        <v>65</v>
      </c>
      <c r="D328" s="10" t="str">
        <f t="shared" si="0"/>
        <v>Inventory_Management</v>
      </c>
      <c r="E328" s="8" t="s">
        <v>1522</v>
      </c>
      <c r="F328" s="8"/>
    </row>
    <row r="329" spans="1:6" ht="14.6" x14ac:dyDescent="0.4">
      <c r="A329" s="7" t="s">
        <v>370</v>
      </c>
      <c r="B329" s="4" t="s">
        <v>263</v>
      </c>
      <c r="C329" s="4" t="s">
        <v>65</v>
      </c>
      <c r="D329" s="10" t="str">
        <f t="shared" si="0"/>
        <v>Inventory_Management</v>
      </c>
      <c r="E329" s="8" t="s">
        <v>1522</v>
      </c>
      <c r="F329" s="8"/>
    </row>
    <row r="330" spans="1:6" ht="14.6" x14ac:dyDescent="0.4">
      <c r="A330" s="7" t="s">
        <v>427</v>
      </c>
      <c r="B330" s="4" t="s">
        <v>428</v>
      </c>
      <c r="C330" s="4" t="s">
        <v>65</v>
      </c>
      <c r="D330" s="10" t="str">
        <f t="shared" si="0"/>
        <v>Inventory_Management</v>
      </c>
      <c r="E330" s="8" t="s">
        <v>1522</v>
      </c>
      <c r="F330" s="8"/>
    </row>
    <row r="331" spans="1:6" ht="14.6" x14ac:dyDescent="0.4">
      <c r="A331" s="7" t="s">
        <v>436</v>
      </c>
      <c r="B331" s="4" t="s">
        <v>389</v>
      </c>
      <c r="C331" s="4" t="s">
        <v>65</v>
      </c>
      <c r="D331" s="10" t="str">
        <f t="shared" si="0"/>
        <v>Inventory_Management</v>
      </c>
      <c r="E331" s="8" t="s">
        <v>1522</v>
      </c>
      <c r="F331" s="8"/>
    </row>
    <row r="332" spans="1:6" ht="14.6" x14ac:dyDescent="0.4">
      <c r="A332" s="7" t="s">
        <v>496</v>
      </c>
      <c r="B332" s="4" t="s">
        <v>413</v>
      </c>
      <c r="C332" s="4" t="s">
        <v>65</v>
      </c>
      <c r="D332" s="10" t="str">
        <f t="shared" si="0"/>
        <v>Inventory_Management</v>
      </c>
      <c r="E332" s="8" t="s">
        <v>1522</v>
      </c>
      <c r="F332" s="8"/>
    </row>
    <row r="333" spans="1:6" ht="14.6" x14ac:dyDescent="0.4">
      <c r="A333" s="7" t="s">
        <v>503</v>
      </c>
      <c r="B333" s="4" t="s">
        <v>504</v>
      </c>
      <c r="C333" s="4" t="s">
        <v>65</v>
      </c>
      <c r="D333" s="10" t="str">
        <f t="shared" si="0"/>
        <v>Inventory_Management</v>
      </c>
      <c r="E333" s="8" t="s">
        <v>1522</v>
      </c>
      <c r="F333" s="8"/>
    </row>
    <row r="334" spans="1:6" ht="14.6" x14ac:dyDescent="0.4">
      <c r="A334" s="7" t="s">
        <v>508</v>
      </c>
      <c r="B334" s="4" t="s">
        <v>252</v>
      </c>
      <c r="C334" s="4" t="s">
        <v>65</v>
      </c>
      <c r="D334" s="10" t="str">
        <f t="shared" si="0"/>
        <v>Inventory_Management</v>
      </c>
      <c r="E334" s="8" t="s">
        <v>1522</v>
      </c>
      <c r="F334" s="8"/>
    </row>
    <row r="335" spans="1:6" ht="14.6" x14ac:dyDescent="0.4">
      <c r="A335" s="7" t="s">
        <v>515</v>
      </c>
      <c r="B335" s="4" t="s">
        <v>174</v>
      </c>
      <c r="C335" s="4" t="s">
        <v>65</v>
      </c>
      <c r="D335" s="10" t="str">
        <f t="shared" si="0"/>
        <v>Inventory_Management</v>
      </c>
      <c r="E335" s="8" t="s">
        <v>1522</v>
      </c>
      <c r="F335" s="8"/>
    </row>
    <row r="336" spans="1:6" ht="14.6" x14ac:dyDescent="0.4">
      <c r="A336" s="7" t="s">
        <v>524</v>
      </c>
      <c r="B336" s="4" t="s">
        <v>14</v>
      </c>
      <c r="C336" s="4" t="s">
        <v>65</v>
      </c>
      <c r="D336" s="10" t="str">
        <f t="shared" si="0"/>
        <v>Inventory_Management</v>
      </c>
      <c r="E336" s="8" t="s">
        <v>1522</v>
      </c>
      <c r="F336" s="8"/>
    </row>
    <row r="337" spans="1:6" ht="14.6" x14ac:dyDescent="0.4">
      <c r="A337" s="7" t="s">
        <v>528</v>
      </c>
      <c r="B337" s="4" t="s">
        <v>529</v>
      </c>
      <c r="C337" s="4" t="s">
        <v>65</v>
      </c>
      <c r="D337" s="10" t="str">
        <f t="shared" si="0"/>
        <v>Inventory_Management</v>
      </c>
      <c r="E337" s="8" t="s">
        <v>1522</v>
      </c>
      <c r="F337" s="8"/>
    </row>
    <row r="338" spans="1:6" ht="14.6" x14ac:dyDescent="0.4">
      <c r="A338" s="7" t="s">
        <v>531</v>
      </c>
      <c r="B338" s="4" t="s">
        <v>329</v>
      </c>
      <c r="C338" s="4" t="s">
        <v>65</v>
      </c>
      <c r="D338" s="10" t="str">
        <f t="shared" si="0"/>
        <v>Inventory_Management</v>
      </c>
      <c r="E338" s="8" t="s">
        <v>1522</v>
      </c>
      <c r="F338" s="8"/>
    </row>
    <row r="339" spans="1:6" ht="14.6" x14ac:dyDescent="0.4">
      <c r="A339" s="7" t="s">
        <v>549</v>
      </c>
      <c r="B339" s="4" t="s">
        <v>90</v>
      </c>
      <c r="C339" s="4" t="s">
        <v>65</v>
      </c>
      <c r="D339" s="10" t="str">
        <f t="shared" si="0"/>
        <v>Inventory_Management</v>
      </c>
      <c r="E339" s="8" t="s">
        <v>1522</v>
      </c>
      <c r="F339" s="8"/>
    </row>
    <row r="340" spans="1:6" ht="14.6" x14ac:dyDescent="0.4">
      <c r="A340" s="7" t="s">
        <v>575</v>
      </c>
      <c r="B340" s="4" t="s">
        <v>567</v>
      </c>
      <c r="C340" s="4" t="s">
        <v>65</v>
      </c>
      <c r="D340" s="10" t="str">
        <f t="shared" si="0"/>
        <v>Inventory_Management</v>
      </c>
      <c r="E340" s="8" t="s">
        <v>1522</v>
      </c>
      <c r="F340" s="8"/>
    </row>
    <row r="341" spans="1:6" ht="14.6" x14ac:dyDescent="0.4">
      <c r="A341" s="7" t="s">
        <v>587</v>
      </c>
      <c r="B341" s="4" t="s">
        <v>406</v>
      </c>
      <c r="C341" s="4" t="s">
        <v>65</v>
      </c>
      <c r="D341" s="10" t="str">
        <f t="shared" si="0"/>
        <v>Inventory_Management</v>
      </c>
      <c r="E341" s="8" t="s">
        <v>1522</v>
      </c>
      <c r="F341" s="8"/>
    </row>
    <row r="342" spans="1:6" ht="14.6" x14ac:dyDescent="0.4">
      <c r="A342" s="7" t="s">
        <v>597</v>
      </c>
      <c r="B342" s="4" t="s">
        <v>598</v>
      </c>
      <c r="C342" s="4" t="s">
        <v>65</v>
      </c>
      <c r="D342" s="10" t="str">
        <f t="shared" si="0"/>
        <v>Inventory_Management</v>
      </c>
      <c r="E342" s="8" t="s">
        <v>1522</v>
      </c>
      <c r="F342" s="8"/>
    </row>
    <row r="343" spans="1:6" ht="14.6" x14ac:dyDescent="0.4">
      <c r="A343" s="7" t="s">
        <v>608</v>
      </c>
      <c r="B343" s="4" t="s">
        <v>5</v>
      </c>
      <c r="C343" s="4" t="s">
        <v>65</v>
      </c>
      <c r="D343" s="10" t="str">
        <f t="shared" si="0"/>
        <v>Inventory_Management</v>
      </c>
      <c r="E343" s="8" t="s">
        <v>1522</v>
      </c>
      <c r="F343" s="8"/>
    </row>
    <row r="344" spans="1:6" ht="14.6" x14ac:dyDescent="0.4">
      <c r="A344" s="7" t="s">
        <v>616</v>
      </c>
      <c r="B344" s="4" t="s">
        <v>617</v>
      </c>
      <c r="C344" s="4" t="s">
        <v>65</v>
      </c>
      <c r="D344" s="10" t="str">
        <f t="shared" si="0"/>
        <v>Inventory_Management</v>
      </c>
      <c r="E344" s="8" t="s">
        <v>1522</v>
      </c>
      <c r="F344" s="8"/>
    </row>
    <row r="345" spans="1:6" ht="14.6" x14ac:dyDescent="0.4">
      <c r="A345" s="7" t="s">
        <v>644</v>
      </c>
      <c r="B345" s="4" t="s">
        <v>645</v>
      </c>
      <c r="C345" s="4" t="s">
        <v>65</v>
      </c>
      <c r="D345" s="10" t="str">
        <f t="shared" si="0"/>
        <v>Inventory_Management</v>
      </c>
      <c r="E345" s="8" t="s">
        <v>1522</v>
      </c>
      <c r="F345" s="8"/>
    </row>
    <row r="346" spans="1:6" ht="14.6" x14ac:dyDescent="0.4">
      <c r="A346" s="7" t="s">
        <v>686</v>
      </c>
      <c r="B346" s="4" t="s">
        <v>426</v>
      </c>
      <c r="C346" s="4" t="s">
        <v>65</v>
      </c>
      <c r="D346" s="10" t="str">
        <f t="shared" si="0"/>
        <v>Inventory_Management</v>
      </c>
      <c r="E346" s="8" t="s">
        <v>1522</v>
      </c>
      <c r="F346" s="8"/>
    </row>
    <row r="347" spans="1:6" ht="14.6" x14ac:dyDescent="0.4">
      <c r="A347" s="7" t="s">
        <v>697</v>
      </c>
      <c r="B347" s="4" t="s">
        <v>219</v>
      </c>
      <c r="C347" s="4" t="s">
        <v>65</v>
      </c>
      <c r="D347" s="10" t="str">
        <f t="shared" si="0"/>
        <v>Inventory_Management</v>
      </c>
      <c r="E347" s="8" t="s">
        <v>1522</v>
      </c>
      <c r="F347" s="8"/>
    </row>
    <row r="348" spans="1:6" ht="14.6" x14ac:dyDescent="0.4">
      <c r="A348" s="7" t="s">
        <v>704</v>
      </c>
      <c r="B348" s="4" t="s">
        <v>90</v>
      </c>
      <c r="C348" s="4" t="s">
        <v>65</v>
      </c>
      <c r="D348" s="10" t="str">
        <f t="shared" si="0"/>
        <v>Inventory_Management</v>
      </c>
      <c r="E348" s="8" t="s">
        <v>1522</v>
      </c>
      <c r="F348" s="8"/>
    </row>
    <row r="349" spans="1:6" ht="14.6" x14ac:dyDescent="0.4">
      <c r="A349" s="7" t="s">
        <v>721</v>
      </c>
      <c r="B349" s="4" t="s">
        <v>46</v>
      </c>
      <c r="C349" s="4" t="s">
        <v>65</v>
      </c>
      <c r="D349" s="10" t="str">
        <f t="shared" si="0"/>
        <v>Inventory_Management</v>
      </c>
      <c r="E349" s="8" t="s">
        <v>1522</v>
      </c>
      <c r="F349" s="8"/>
    </row>
    <row r="350" spans="1:6" ht="14.6" x14ac:dyDescent="0.4">
      <c r="A350" s="7" t="s">
        <v>725</v>
      </c>
      <c r="B350" s="4" t="s">
        <v>671</v>
      </c>
      <c r="C350" s="4" t="s">
        <v>65</v>
      </c>
      <c r="D350" s="10" t="str">
        <f t="shared" si="0"/>
        <v>Inventory_Management</v>
      </c>
      <c r="E350" s="8" t="s">
        <v>1522</v>
      </c>
      <c r="F350" s="8"/>
    </row>
    <row r="351" spans="1:6" ht="14.6" x14ac:dyDescent="0.4">
      <c r="A351" s="7" t="s">
        <v>755</v>
      </c>
      <c r="B351" s="4" t="s">
        <v>126</v>
      </c>
      <c r="C351" s="4" t="s">
        <v>65</v>
      </c>
      <c r="D351" s="10" t="str">
        <f t="shared" si="0"/>
        <v>Inventory_Management</v>
      </c>
      <c r="E351" s="8" t="s">
        <v>1522</v>
      </c>
      <c r="F351" s="8"/>
    </row>
    <row r="352" spans="1:6" ht="14.6" x14ac:dyDescent="0.4">
      <c r="A352" s="7" t="s">
        <v>765</v>
      </c>
      <c r="B352" s="4" t="s">
        <v>156</v>
      </c>
      <c r="C352" s="4" t="s">
        <v>65</v>
      </c>
      <c r="D352" s="10" t="str">
        <f t="shared" si="0"/>
        <v>Inventory_Management</v>
      </c>
      <c r="E352" s="8" t="s">
        <v>1522</v>
      </c>
      <c r="F352" s="8"/>
    </row>
    <row r="353" spans="1:6" ht="14.6" x14ac:dyDescent="0.4">
      <c r="A353" s="7" t="s">
        <v>774</v>
      </c>
      <c r="B353" s="4" t="s">
        <v>775</v>
      </c>
      <c r="C353" s="4" t="s">
        <v>65</v>
      </c>
      <c r="D353" s="10" t="str">
        <f t="shared" si="0"/>
        <v>Inventory_Management</v>
      </c>
      <c r="E353" s="8" t="s">
        <v>1522</v>
      </c>
      <c r="F353" s="8"/>
    </row>
    <row r="354" spans="1:6" ht="14.6" x14ac:dyDescent="0.4">
      <c r="A354" s="7" t="s">
        <v>787</v>
      </c>
      <c r="B354" s="4" t="s">
        <v>557</v>
      </c>
      <c r="C354" s="4" t="s">
        <v>65</v>
      </c>
      <c r="D354" s="10" t="str">
        <f t="shared" si="0"/>
        <v>Inventory_Management</v>
      </c>
      <c r="E354" s="8" t="s">
        <v>1522</v>
      </c>
      <c r="F354" s="8"/>
    </row>
    <row r="355" spans="1:6" ht="14.6" x14ac:dyDescent="0.4">
      <c r="A355" s="7" t="s">
        <v>798</v>
      </c>
      <c r="B355" s="4" t="s">
        <v>248</v>
      </c>
      <c r="C355" s="4" t="s">
        <v>65</v>
      </c>
      <c r="D355" s="10" t="str">
        <f t="shared" si="0"/>
        <v>Inventory_Management</v>
      </c>
      <c r="E355" s="8" t="s">
        <v>1522</v>
      </c>
      <c r="F355" s="8"/>
    </row>
    <row r="356" spans="1:6" ht="14.6" x14ac:dyDescent="0.4">
      <c r="A356" s="7" t="s">
        <v>817</v>
      </c>
      <c r="B356" s="4" t="s">
        <v>500</v>
      </c>
      <c r="C356" s="4" t="s">
        <v>65</v>
      </c>
      <c r="D356" s="10" t="str">
        <f t="shared" si="0"/>
        <v>Inventory_Management</v>
      </c>
      <c r="E356" s="8" t="s">
        <v>1522</v>
      </c>
      <c r="F356" s="8"/>
    </row>
    <row r="357" spans="1:6" ht="14.6" x14ac:dyDescent="0.4">
      <c r="A357" s="7" t="s">
        <v>818</v>
      </c>
      <c r="B357" s="4" t="s">
        <v>62</v>
      </c>
      <c r="C357" s="4" t="s">
        <v>65</v>
      </c>
      <c r="D357" s="10" t="str">
        <f t="shared" si="0"/>
        <v>Inventory_Management</v>
      </c>
      <c r="E357" s="8" t="s">
        <v>1522</v>
      </c>
      <c r="F357" s="8"/>
    </row>
    <row r="358" spans="1:6" ht="14.6" x14ac:dyDescent="0.4">
      <c r="A358" s="7" t="s">
        <v>906</v>
      </c>
      <c r="B358" s="4" t="s">
        <v>182</v>
      </c>
      <c r="C358" s="4" t="s">
        <v>65</v>
      </c>
      <c r="D358" s="10" t="str">
        <f t="shared" si="0"/>
        <v>Inventory_Management</v>
      </c>
      <c r="E358" s="8" t="s">
        <v>1522</v>
      </c>
      <c r="F358" s="8"/>
    </row>
    <row r="359" spans="1:6" ht="14.6" x14ac:dyDescent="0.4">
      <c r="A359" s="7" t="s">
        <v>914</v>
      </c>
      <c r="B359" s="4" t="s">
        <v>879</v>
      </c>
      <c r="C359" s="4" t="s">
        <v>65</v>
      </c>
      <c r="D359" s="10" t="str">
        <f t="shared" si="0"/>
        <v>Inventory_Management</v>
      </c>
      <c r="E359" s="8" t="s">
        <v>1522</v>
      </c>
      <c r="F359" s="8"/>
    </row>
    <row r="360" spans="1:6" ht="14.6" x14ac:dyDescent="0.4">
      <c r="A360" s="7" t="s">
        <v>926</v>
      </c>
      <c r="B360" s="4" t="s">
        <v>927</v>
      </c>
      <c r="C360" s="4" t="s">
        <v>65</v>
      </c>
      <c r="D360" s="10" t="str">
        <f t="shared" si="0"/>
        <v>Inventory_Management</v>
      </c>
      <c r="E360" s="8" t="s">
        <v>1522</v>
      </c>
      <c r="F360" s="8"/>
    </row>
    <row r="361" spans="1:6" ht="14.6" x14ac:dyDescent="0.4">
      <c r="A361" s="7" t="s">
        <v>928</v>
      </c>
      <c r="B361" s="4" t="s">
        <v>354</v>
      </c>
      <c r="C361" s="4" t="s">
        <v>65</v>
      </c>
      <c r="D361" s="10" t="str">
        <f t="shared" si="0"/>
        <v>Inventory_Management</v>
      </c>
      <c r="E361" s="8" t="s">
        <v>1522</v>
      </c>
      <c r="F361" s="8"/>
    </row>
    <row r="362" spans="1:6" ht="14.6" x14ac:dyDescent="0.4">
      <c r="A362" s="7" t="s">
        <v>953</v>
      </c>
      <c r="B362" s="4" t="s">
        <v>296</v>
      </c>
      <c r="C362" s="4" t="s">
        <v>65</v>
      </c>
      <c r="D362" s="10" t="str">
        <f t="shared" si="0"/>
        <v>Inventory_Management</v>
      </c>
      <c r="E362" s="8" t="s">
        <v>1522</v>
      </c>
      <c r="F362" s="8"/>
    </row>
    <row r="363" spans="1:6" ht="14.6" x14ac:dyDescent="0.4">
      <c r="A363" s="7" t="s">
        <v>961</v>
      </c>
      <c r="B363" s="4" t="s">
        <v>601</v>
      </c>
      <c r="C363" s="4" t="s">
        <v>65</v>
      </c>
      <c r="D363" s="10" t="str">
        <f t="shared" si="0"/>
        <v>Inventory_Management</v>
      </c>
      <c r="E363" s="8" t="s">
        <v>1522</v>
      </c>
      <c r="F363" s="8"/>
    </row>
    <row r="364" spans="1:6" ht="14.6" x14ac:dyDescent="0.4">
      <c r="A364" s="7" t="s">
        <v>982</v>
      </c>
      <c r="B364" s="4" t="s">
        <v>351</v>
      </c>
      <c r="C364" s="4" t="s">
        <v>65</v>
      </c>
      <c r="D364" s="10" t="str">
        <f t="shared" si="0"/>
        <v>Inventory_Management</v>
      </c>
      <c r="E364" s="8" t="s">
        <v>1522</v>
      </c>
      <c r="F364" s="8"/>
    </row>
    <row r="365" spans="1:6" ht="14.6" x14ac:dyDescent="0.4">
      <c r="A365" s="7" t="s">
        <v>1008</v>
      </c>
      <c r="B365" s="4" t="s">
        <v>40</v>
      </c>
      <c r="C365" s="4" t="s">
        <v>65</v>
      </c>
      <c r="D365" s="10" t="str">
        <f t="shared" si="0"/>
        <v>Inventory_Management</v>
      </c>
      <c r="E365" s="8" t="s">
        <v>1522</v>
      </c>
      <c r="F365" s="8"/>
    </row>
    <row r="366" spans="1:6" ht="14.6" x14ac:dyDescent="0.4">
      <c r="A366" s="7" t="s">
        <v>1069</v>
      </c>
      <c r="B366" s="4" t="s">
        <v>1070</v>
      </c>
      <c r="C366" s="4" t="s">
        <v>65</v>
      </c>
      <c r="D366" s="10" t="str">
        <f t="shared" si="0"/>
        <v>Inventory_Management</v>
      </c>
      <c r="E366" s="8" t="s">
        <v>1522</v>
      </c>
      <c r="F366" s="8"/>
    </row>
    <row r="367" spans="1:6" ht="14.6" x14ac:dyDescent="0.4">
      <c r="A367" s="7" t="s">
        <v>1097</v>
      </c>
      <c r="B367" s="4" t="s">
        <v>1038</v>
      </c>
      <c r="C367" s="4" t="s">
        <v>65</v>
      </c>
      <c r="D367" s="10" t="str">
        <f t="shared" si="0"/>
        <v>Inventory_Management</v>
      </c>
      <c r="E367" s="8" t="s">
        <v>1522</v>
      </c>
      <c r="F367" s="8"/>
    </row>
    <row r="368" spans="1:6" ht="14.6" x14ac:dyDescent="0.4">
      <c r="A368" s="7" t="s">
        <v>1107</v>
      </c>
      <c r="B368" s="4" t="s">
        <v>1029</v>
      </c>
      <c r="C368" s="4" t="s">
        <v>65</v>
      </c>
      <c r="D368" s="10" t="str">
        <f t="shared" si="0"/>
        <v>Inventory_Management</v>
      </c>
      <c r="E368" s="8" t="s">
        <v>1522</v>
      </c>
      <c r="F368" s="8"/>
    </row>
    <row r="369" spans="1:6" ht="14.6" x14ac:dyDescent="0.4">
      <c r="A369" s="7" t="s">
        <v>1115</v>
      </c>
      <c r="B369" s="4" t="s">
        <v>1047</v>
      </c>
      <c r="C369" s="4" t="s">
        <v>65</v>
      </c>
      <c r="D369" s="10" t="str">
        <f t="shared" si="0"/>
        <v>Inventory_Management</v>
      </c>
      <c r="E369" s="8" t="s">
        <v>1522</v>
      </c>
      <c r="F369" s="8"/>
    </row>
    <row r="370" spans="1:6" ht="14.6" x14ac:dyDescent="0.4">
      <c r="A370" s="7" t="s">
        <v>1121</v>
      </c>
      <c r="B370" s="4" t="s">
        <v>1031</v>
      </c>
      <c r="C370" s="4" t="s">
        <v>65</v>
      </c>
      <c r="D370" s="10" t="str">
        <f t="shared" si="0"/>
        <v>Inventory_Management</v>
      </c>
      <c r="E370" s="8" t="s">
        <v>1522</v>
      </c>
      <c r="F370" s="8"/>
    </row>
    <row r="371" spans="1:6" ht="14.6" x14ac:dyDescent="0.4">
      <c r="A371" s="7" t="s">
        <v>1128</v>
      </c>
      <c r="B371" s="4" t="s">
        <v>1045</v>
      </c>
      <c r="C371" s="4" t="s">
        <v>65</v>
      </c>
      <c r="D371" s="10" t="str">
        <f t="shared" si="0"/>
        <v>Inventory_Management</v>
      </c>
      <c r="E371" s="8" t="s">
        <v>1522</v>
      </c>
      <c r="F371" s="8"/>
    </row>
    <row r="372" spans="1:6" ht="14.6" x14ac:dyDescent="0.4">
      <c r="A372" s="7" t="s">
        <v>1146</v>
      </c>
      <c r="B372" s="4" t="s">
        <v>1147</v>
      </c>
      <c r="C372" s="4" t="s">
        <v>65</v>
      </c>
      <c r="D372" s="10" t="str">
        <f t="shared" si="0"/>
        <v>Inventory_Management</v>
      </c>
      <c r="E372" s="8" t="s">
        <v>1522</v>
      </c>
      <c r="F372" s="8"/>
    </row>
    <row r="373" spans="1:6" ht="14.6" x14ac:dyDescent="0.4">
      <c r="A373" s="7" t="s">
        <v>1173</v>
      </c>
      <c r="B373" s="4" t="s">
        <v>1149</v>
      </c>
      <c r="C373" s="4" t="s">
        <v>65</v>
      </c>
      <c r="D373" s="10" t="str">
        <f t="shared" si="0"/>
        <v>Inventory_Management</v>
      </c>
      <c r="E373" s="8" t="s">
        <v>1522</v>
      </c>
      <c r="F373" s="8"/>
    </row>
    <row r="374" spans="1:6" ht="14.6" x14ac:dyDescent="0.4">
      <c r="A374" s="7" t="s">
        <v>1186</v>
      </c>
      <c r="B374" s="4" t="s">
        <v>1167</v>
      </c>
      <c r="C374" s="4" t="s">
        <v>65</v>
      </c>
      <c r="D374" s="10" t="str">
        <f t="shared" si="0"/>
        <v>Inventory_Management</v>
      </c>
      <c r="E374" s="8" t="s">
        <v>1522</v>
      </c>
      <c r="F374" s="8"/>
    </row>
    <row r="375" spans="1:6" ht="14.6" x14ac:dyDescent="0.4">
      <c r="A375" s="7" t="s">
        <v>1208</v>
      </c>
      <c r="B375" s="4" t="s">
        <v>1167</v>
      </c>
      <c r="C375" s="4" t="s">
        <v>65</v>
      </c>
      <c r="D375" s="10" t="str">
        <f t="shared" si="0"/>
        <v>Inventory_Management</v>
      </c>
      <c r="E375" s="8" t="s">
        <v>1522</v>
      </c>
      <c r="F375" s="8"/>
    </row>
    <row r="376" spans="1:6" ht="14.6" x14ac:dyDescent="0.4">
      <c r="A376" s="7" t="s">
        <v>1210</v>
      </c>
      <c r="B376" s="4" t="s">
        <v>1167</v>
      </c>
      <c r="C376" s="4" t="s">
        <v>65</v>
      </c>
      <c r="D376" s="10" t="str">
        <f t="shared" si="0"/>
        <v>Inventory_Management</v>
      </c>
      <c r="E376" s="8" t="s">
        <v>1522</v>
      </c>
      <c r="F376" s="8"/>
    </row>
    <row r="377" spans="1:6" ht="14.6" x14ac:dyDescent="0.4">
      <c r="A377" s="7" t="s">
        <v>1231</v>
      </c>
      <c r="B377" s="4" t="s">
        <v>1183</v>
      </c>
      <c r="C377" s="4" t="s">
        <v>65</v>
      </c>
      <c r="D377" s="10" t="str">
        <f t="shared" si="0"/>
        <v>Inventory_Management</v>
      </c>
      <c r="E377" s="8" t="s">
        <v>1522</v>
      </c>
      <c r="F377" s="8"/>
    </row>
    <row r="378" spans="1:6" ht="14.6" x14ac:dyDescent="0.4">
      <c r="A378" s="7" t="s">
        <v>1234</v>
      </c>
      <c r="B378" s="4" t="s">
        <v>1158</v>
      </c>
      <c r="C378" s="4" t="s">
        <v>65</v>
      </c>
      <c r="D378" s="10" t="str">
        <f t="shared" si="0"/>
        <v>Inventory_Management</v>
      </c>
      <c r="E378" s="8" t="s">
        <v>1522</v>
      </c>
      <c r="F378" s="8"/>
    </row>
    <row r="379" spans="1:6" ht="14.6" x14ac:dyDescent="0.4">
      <c r="A379" s="7" t="s">
        <v>1248</v>
      </c>
      <c r="B379" s="4" t="s">
        <v>1200</v>
      </c>
      <c r="C379" s="4" t="s">
        <v>65</v>
      </c>
      <c r="D379" s="10" t="str">
        <f t="shared" si="0"/>
        <v>Inventory_Management</v>
      </c>
      <c r="E379" s="8" t="s">
        <v>1522</v>
      </c>
      <c r="F379" s="8"/>
    </row>
    <row r="380" spans="1:6" ht="14.6" x14ac:dyDescent="0.4">
      <c r="A380" s="7" t="s">
        <v>1257</v>
      </c>
      <c r="B380" s="4" t="s">
        <v>1258</v>
      </c>
      <c r="C380" s="4" t="s">
        <v>65</v>
      </c>
      <c r="D380" s="10" t="str">
        <f t="shared" si="0"/>
        <v>Inventory_Management</v>
      </c>
      <c r="E380" s="8" t="s">
        <v>1522</v>
      </c>
      <c r="F380" s="8"/>
    </row>
    <row r="381" spans="1:6" ht="14.6" x14ac:dyDescent="0.4">
      <c r="A381" s="7" t="s">
        <v>1274</v>
      </c>
      <c r="B381" s="4" t="s">
        <v>1258</v>
      </c>
      <c r="C381" s="4" t="s">
        <v>65</v>
      </c>
      <c r="D381" s="10" t="str">
        <f t="shared" si="0"/>
        <v>Inventory_Management</v>
      </c>
      <c r="E381" s="8" t="s">
        <v>1522</v>
      </c>
      <c r="F381" s="8"/>
    </row>
    <row r="382" spans="1:6" ht="14.6" x14ac:dyDescent="0.4">
      <c r="A382" s="7" t="s">
        <v>1283</v>
      </c>
      <c r="B382" s="4" t="s">
        <v>1268</v>
      </c>
      <c r="C382" s="4" t="s">
        <v>65</v>
      </c>
      <c r="D382" s="10" t="str">
        <f t="shared" si="0"/>
        <v>Inventory_Management</v>
      </c>
      <c r="E382" s="8" t="s">
        <v>1522</v>
      </c>
      <c r="F382" s="8"/>
    </row>
    <row r="383" spans="1:6" ht="14.6" x14ac:dyDescent="0.4">
      <c r="A383" s="7" t="s">
        <v>1297</v>
      </c>
      <c r="B383" s="4" t="s">
        <v>1262</v>
      </c>
      <c r="C383" s="4" t="s">
        <v>65</v>
      </c>
      <c r="D383" s="10" t="str">
        <f t="shared" si="0"/>
        <v>Inventory_Management</v>
      </c>
      <c r="E383" s="8" t="s">
        <v>1522</v>
      </c>
      <c r="F383" s="8"/>
    </row>
    <row r="384" spans="1:6" ht="14.6" x14ac:dyDescent="0.4">
      <c r="A384" s="7" t="s">
        <v>1305</v>
      </c>
      <c r="B384" s="4" t="s">
        <v>1262</v>
      </c>
      <c r="C384" s="4" t="s">
        <v>65</v>
      </c>
      <c r="D384" s="10" t="str">
        <f t="shared" si="0"/>
        <v>Inventory_Management</v>
      </c>
      <c r="E384" s="8" t="s">
        <v>1522</v>
      </c>
      <c r="F384" s="8"/>
    </row>
    <row r="385" spans="1:6" ht="14.6" x14ac:dyDescent="0.4">
      <c r="A385" s="7" t="s">
        <v>1321</v>
      </c>
      <c r="B385" s="4" t="s">
        <v>1262</v>
      </c>
      <c r="C385" s="4" t="s">
        <v>65</v>
      </c>
      <c r="D385" s="10" t="str">
        <f t="shared" si="0"/>
        <v>Inventory_Management</v>
      </c>
      <c r="E385" s="8" t="s">
        <v>1522</v>
      </c>
      <c r="F385" s="8"/>
    </row>
    <row r="386" spans="1:6" ht="14.6" x14ac:dyDescent="0.4">
      <c r="A386" s="7" t="s">
        <v>1340</v>
      </c>
      <c r="B386" s="4" t="s">
        <v>1262</v>
      </c>
      <c r="C386" s="4" t="s">
        <v>65</v>
      </c>
      <c r="D386" s="10" t="str">
        <f t="shared" si="0"/>
        <v>Inventory_Management</v>
      </c>
      <c r="E386" s="8" t="s">
        <v>1522</v>
      </c>
      <c r="F386" s="8"/>
    </row>
    <row r="387" spans="1:6" ht="14.6" x14ac:dyDescent="0.4">
      <c r="A387" s="7" t="s">
        <v>1354</v>
      </c>
      <c r="B387" s="4" t="s">
        <v>1355</v>
      </c>
      <c r="C387" s="4" t="s">
        <v>65</v>
      </c>
      <c r="D387" s="10" t="str">
        <f t="shared" si="0"/>
        <v>Inventory_Management</v>
      </c>
      <c r="E387" s="8" t="s">
        <v>1522</v>
      </c>
      <c r="F387" s="8"/>
    </row>
    <row r="388" spans="1:6" ht="14.6" x14ac:dyDescent="0.4">
      <c r="A388" s="7" t="s">
        <v>1362</v>
      </c>
      <c r="B388" s="4" t="s">
        <v>1357</v>
      </c>
      <c r="C388" s="4" t="s">
        <v>65</v>
      </c>
      <c r="D388" s="10" t="str">
        <f t="shared" si="0"/>
        <v>Inventory_Management</v>
      </c>
      <c r="E388" s="8" t="s">
        <v>1522</v>
      </c>
      <c r="F388" s="8"/>
    </row>
    <row r="389" spans="1:6" ht="14.6" x14ac:dyDescent="0.4">
      <c r="A389" s="7" t="s">
        <v>1365</v>
      </c>
      <c r="B389" s="4" t="s">
        <v>1357</v>
      </c>
      <c r="C389" s="4" t="s">
        <v>65</v>
      </c>
      <c r="D389" s="10" t="str">
        <f t="shared" si="0"/>
        <v>Inventory_Management</v>
      </c>
      <c r="E389" s="8" t="s">
        <v>1522</v>
      </c>
      <c r="F389" s="8"/>
    </row>
    <row r="390" spans="1:6" ht="14.6" x14ac:dyDescent="0.4">
      <c r="A390" s="7" t="s">
        <v>1439</v>
      </c>
      <c r="B390" s="4" t="s">
        <v>1427</v>
      </c>
      <c r="C390" s="4" t="s">
        <v>65</v>
      </c>
      <c r="D390" s="10" t="str">
        <f t="shared" si="0"/>
        <v>Inventory_Management</v>
      </c>
      <c r="E390" s="8" t="s">
        <v>1522</v>
      </c>
      <c r="F390" s="8"/>
    </row>
    <row r="391" spans="1:6" ht="14.6" x14ac:dyDescent="0.4">
      <c r="A391" s="7" t="s">
        <v>1441</v>
      </c>
      <c r="B391" s="4" t="s">
        <v>1427</v>
      </c>
      <c r="C391" s="4" t="s">
        <v>65</v>
      </c>
      <c r="D391" s="10" t="str">
        <f t="shared" si="0"/>
        <v>Inventory_Management</v>
      </c>
      <c r="E391" s="8" t="s">
        <v>1522</v>
      </c>
      <c r="F391" s="8"/>
    </row>
    <row r="392" spans="1:6" ht="14.6" x14ac:dyDescent="0.4">
      <c r="A392" s="7" t="s">
        <v>1445</v>
      </c>
      <c r="B392" s="4" t="s">
        <v>1437</v>
      </c>
      <c r="C392" s="4" t="s">
        <v>65</v>
      </c>
      <c r="D392" s="10" t="str">
        <f t="shared" si="0"/>
        <v>Inventory_Management</v>
      </c>
      <c r="E392" s="8" t="s">
        <v>1522</v>
      </c>
      <c r="F392" s="8"/>
    </row>
    <row r="393" spans="1:6" ht="14.6" x14ac:dyDescent="0.4">
      <c r="A393" s="7" t="s">
        <v>1452</v>
      </c>
      <c r="B393" s="4" t="s">
        <v>1427</v>
      </c>
      <c r="C393" s="4" t="s">
        <v>65</v>
      </c>
      <c r="D393" s="10" t="str">
        <f t="shared" si="0"/>
        <v>Inventory_Management</v>
      </c>
      <c r="E393" s="8" t="s">
        <v>1522</v>
      </c>
      <c r="F393" s="8"/>
    </row>
    <row r="394" spans="1:6" ht="14.6" x14ac:dyDescent="0.4">
      <c r="A394" s="7" t="s">
        <v>1454</v>
      </c>
      <c r="B394" s="4" t="s">
        <v>1437</v>
      </c>
      <c r="C394" s="4" t="s">
        <v>65</v>
      </c>
      <c r="D394" s="10" t="str">
        <f t="shared" si="0"/>
        <v>Inventory_Management</v>
      </c>
      <c r="E394" s="8" t="s">
        <v>1522</v>
      </c>
      <c r="F394" s="8"/>
    </row>
    <row r="395" spans="1:6" ht="14.6" x14ac:dyDescent="0.4">
      <c r="A395" s="7" t="s">
        <v>1486</v>
      </c>
      <c r="B395" s="4" t="s">
        <v>1478</v>
      </c>
      <c r="C395" s="4" t="s">
        <v>65</v>
      </c>
      <c r="D395" s="10" t="str">
        <f t="shared" si="0"/>
        <v>Inventory_Management</v>
      </c>
      <c r="E395" s="8" t="s">
        <v>1522</v>
      </c>
      <c r="F395" s="8"/>
    </row>
    <row r="396" spans="1:6" ht="14.6" x14ac:dyDescent="0.4">
      <c r="A396" s="7" t="s">
        <v>1496</v>
      </c>
      <c r="B396" s="4" t="s">
        <v>1475</v>
      </c>
      <c r="C396" s="4" t="s">
        <v>65</v>
      </c>
      <c r="D396" s="10" t="str">
        <f t="shared" si="0"/>
        <v>Inventory_Management</v>
      </c>
      <c r="E396" s="8" t="s">
        <v>1522</v>
      </c>
      <c r="F396" s="8"/>
    </row>
    <row r="397" spans="1:6" ht="14.6" x14ac:dyDescent="0.4">
      <c r="A397" s="7" t="s">
        <v>1508</v>
      </c>
      <c r="B397" s="4" t="s">
        <v>1505</v>
      </c>
      <c r="C397" s="4" t="s">
        <v>65</v>
      </c>
      <c r="D397" s="10" t="str">
        <f t="shared" si="0"/>
        <v>Inventory_Management</v>
      </c>
      <c r="E397" s="8" t="s">
        <v>1522</v>
      </c>
      <c r="F397" s="8"/>
    </row>
    <row r="398" spans="1:6" ht="14.6" x14ac:dyDescent="0.4">
      <c r="A398" s="7" t="s">
        <v>1512</v>
      </c>
      <c r="B398" s="4" t="s">
        <v>1505</v>
      </c>
      <c r="C398" s="4" t="s">
        <v>65</v>
      </c>
      <c r="D398" s="10" t="str">
        <f t="shared" si="0"/>
        <v>Inventory_Management</v>
      </c>
      <c r="E398" s="8" t="s">
        <v>1522</v>
      </c>
      <c r="F398" s="8"/>
    </row>
    <row r="399" spans="1:6" ht="14.6" x14ac:dyDescent="0.4">
      <c r="A399" s="7" t="s">
        <v>66</v>
      </c>
      <c r="B399" s="4" t="s">
        <v>67</v>
      </c>
      <c r="C399" s="4" t="s">
        <v>68</v>
      </c>
      <c r="D399" s="10" t="str">
        <f t="shared" si="0"/>
        <v>Investment_Management</v>
      </c>
      <c r="E399" s="8" t="s">
        <v>1522</v>
      </c>
      <c r="F399" s="8" t="s">
        <v>1541</v>
      </c>
    </row>
    <row r="400" spans="1:6" ht="14.6" x14ac:dyDescent="0.4">
      <c r="A400" s="7" t="s">
        <v>81</v>
      </c>
      <c r="B400" s="4" t="s">
        <v>82</v>
      </c>
      <c r="C400" s="4" t="s">
        <v>68</v>
      </c>
      <c r="D400" s="10" t="str">
        <f t="shared" si="0"/>
        <v>Investment_Management</v>
      </c>
      <c r="E400" s="8" t="s">
        <v>1522</v>
      </c>
      <c r="F400" s="8"/>
    </row>
    <row r="401" spans="1:6" ht="14.6" x14ac:dyDescent="0.4">
      <c r="A401" s="7" t="s">
        <v>119</v>
      </c>
      <c r="B401" s="4" t="s">
        <v>120</v>
      </c>
      <c r="C401" s="4" t="s">
        <v>68</v>
      </c>
      <c r="D401" s="10" t="str">
        <f t="shared" si="0"/>
        <v>Investment_Management</v>
      </c>
      <c r="E401" s="8" t="s">
        <v>1522</v>
      </c>
      <c r="F401" s="8"/>
    </row>
    <row r="402" spans="1:6" ht="14.6" x14ac:dyDescent="0.4">
      <c r="A402" s="7" t="s">
        <v>134</v>
      </c>
      <c r="B402" s="4" t="s">
        <v>135</v>
      </c>
      <c r="C402" s="4" t="s">
        <v>68</v>
      </c>
      <c r="D402" s="10" t="str">
        <f t="shared" si="0"/>
        <v>Investment_Management</v>
      </c>
      <c r="E402" s="8" t="s">
        <v>1522</v>
      </c>
      <c r="F402" s="8"/>
    </row>
    <row r="403" spans="1:6" ht="14.6" x14ac:dyDescent="0.4">
      <c r="A403" s="7" t="s">
        <v>147</v>
      </c>
      <c r="B403" s="4" t="s">
        <v>101</v>
      </c>
      <c r="C403" s="4" t="s">
        <v>68</v>
      </c>
      <c r="D403" s="10" t="str">
        <f t="shared" si="0"/>
        <v>Investment_Management</v>
      </c>
      <c r="E403" s="8" t="s">
        <v>1522</v>
      </c>
      <c r="F403" s="8"/>
    </row>
    <row r="404" spans="1:6" ht="14.6" x14ac:dyDescent="0.4">
      <c r="A404" s="7" t="s">
        <v>183</v>
      </c>
      <c r="B404" s="4" t="s">
        <v>184</v>
      </c>
      <c r="C404" s="4" t="s">
        <v>68</v>
      </c>
      <c r="D404" s="10" t="str">
        <f t="shared" si="0"/>
        <v>Investment_Management</v>
      </c>
      <c r="E404" s="8" t="s">
        <v>1522</v>
      </c>
      <c r="F404" s="8"/>
    </row>
    <row r="405" spans="1:6" ht="14.6" x14ac:dyDescent="0.4">
      <c r="A405" s="7" t="s">
        <v>185</v>
      </c>
      <c r="B405" s="4" t="s">
        <v>46</v>
      </c>
      <c r="C405" s="4" t="s">
        <v>68</v>
      </c>
      <c r="D405" s="10" t="str">
        <f t="shared" si="0"/>
        <v>Investment_Management</v>
      </c>
      <c r="E405" s="8" t="s">
        <v>1522</v>
      </c>
      <c r="F405" s="8"/>
    </row>
    <row r="406" spans="1:6" ht="14.6" x14ac:dyDescent="0.4">
      <c r="A406" s="7" t="s">
        <v>190</v>
      </c>
      <c r="B406" s="4" t="s">
        <v>191</v>
      </c>
      <c r="C406" s="4" t="s">
        <v>68</v>
      </c>
      <c r="D406" s="10" t="str">
        <f t="shared" si="0"/>
        <v>Investment_Management</v>
      </c>
      <c r="E406" s="8" t="s">
        <v>1522</v>
      </c>
      <c r="F406" s="8"/>
    </row>
    <row r="407" spans="1:6" ht="14.6" x14ac:dyDescent="0.4">
      <c r="A407" s="7" t="s">
        <v>206</v>
      </c>
      <c r="B407" s="4" t="s">
        <v>207</v>
      </c>
      <c r="C407" s="4" t="s">
        <v>68</v>
      </c>
      <c r="D407" s="10" t="str">
        <f t="shared" si="0"/>
        <v>Investment_Management</v>
      </c>
      <c r="E407" s="8" t="s">
        <v>1522</v>
      </c>
      <c r="F407" s="8"/>
    </row>
    <row r="408" spans="1:6" ht="14.6" x14ac:dyDescent="0.4">
      <c r="A408" s="7" t="s">
        <v>225</v>
      </c>
      <c r="B408" s="4" t="s">
        <v>49</v>
      </c>
      <c r="C408" s="4" t="s">
        <v>68</v>
      </c>
      <c r="D408" s="10" t="str">
        <f t="shared" si="0"/>
        <v>Investment_Management</v>
      </c>
      <c r="E408" s="8" t="s">
        <v>1522</v>
      </c>
      <c r="F408" s="8"/>
    </row>
    <row r="409" spans="1:6" ht="14.6" x14ac:dyDescent="0.4">
      <c r="A409" s="7" t="s">
        <v>251</v>
      </c>
      <c r="B409" s="4" t="s">
        <v>252</v>
      </c>
      <c r="C409" s="4" t="s">
        <v>68</v>
      </c>
      <c r="D409" s="10" t="str">
        <f t="shared" si="0"/>
        <v>Investment_Management</v>
      </c>
      <c r="E409" s="8" t="s">
        <v>1522</v>
      </c>
      <c r="F409" s="8"/>
    </row>
    <row r="410" spans="1:6" ht="14.6" x14ac:dyDescent="0.4">
      <c r="A410" s="7" t="s">
        <v>265</v>
      </c>
      <c r="B410" s="4" t="s">
        <v>164</v>
      </c>
      <c r="C410" s="4" t="s">
        <v>68</v>
      </c>
      <c r="D410" s="10" t="str">
        <f t="shared" si="0"/>
        <v>Investment_Management</v>
      </c>
      <c r="E410" s="8" t="s">
        <v>1522</v>
      </c>
      <c r="F410" s="8"/>
    </row>
    <row r="411" spans="1:6" ht="14.6" x14ac:dyDescent="0.4">
      <c r="A411" s="7" t="s">
        <v>266</v>
      </c>
      <c r="B411" s="4" t="s">
        <v>267</v>
      </c>
      <c r="C411" s="4" t="s">
        <v>68</v>
      </c>
      <c r="D411" s="10" t="str">
        <f t="shared" si="0"/>
        <v>Investment_Management</v>
      </c>
      <c r="E411" s="8" t="s">
        <v>1522</v>
      </c>
      <c r="F411" s="8"/>
    </row>
    <row r="412" spans="1:6" ht="14.6" x14ac:dyDescent="0.4">
      <c r="A412" s="7" t="s">
        <v>277</v>
      </c>
      <c r="B412" s="4" t="s">
        <v>278</v>
      </c>
      <c r="C412" s="4" t="s">
        <v>68</v>
      </c>
      <c r="D412" s="10" t="str">
        <f t="shared" si="0"/>
        <v>Investment_Management</v>
      </c>
      <c r="E412" s="8" t="s">
        <v>1522</v>
      </c>
      <c r="F412" s="8"/>
    </row>
    <row r="413" spans="1:6" ht="14.6" x14ac:dyDescent="0.4">
      <c r="A413" s="7" t="s">
        <v>320</v>
      </c>
      <c r="B413" s="4" t="s">
        <v>318</v>
      </c>
      <c r="C413" s="4" t="s">
        <v>68</v>
      </c>
      <c r="D413" s="10" t="str">
        <f t="shared" si="0"/>
        <v>Investment_Management</v>
      </c>
      <c r="E413" s="8" t="s">
        <v>1522</v>
      </c>
      <c r="F413" s="8"/>
    </row>
    <row r="414" spans="1:6" ht="14.6" x14ac:dyDescent="0.4">
      <c r="A414" s="7" t="s">
        <v>379</v>
      </c>
      <c r="B414" s="4" t="s">
        <v>294</v>
      </c>
      <c r="C414" s="4" t="s">
        <v>68</v>
      </c>
      <c r="D414" s="10" t="str">
        <f t="shared" si="0"/>
        <v>Investment_Management</v>
      </c>
      <c r="E414" s="8" t="s">
        <v>1522</v>
      </c>
      <c r="F414" s="8"/>
    </row>
    <row r="415" spans="1:6" ht="14.6" x14ac:dyDescent="0.4">
      <c r="A415" s="7" t="s">
        <v>386</v>
      </c>
      <c r="B415" s="4" t="s">
        <v>303</v>
      </c>
      <c r="C415" s="4" t="s">
        <v>68</v>
      </c>
      <c r="D415" s="10" t="str">
        <f t="shared" si="0"/>
        <v>Investment_Management</v>
      </c>
      <c r="E415" s="8" t="s">
        <v>1522</v>
      </c>
      <c r="F415" s="8"/>
    </row>
    <row r="416" spans="1:6" ht="14.6" x14ac:dyDescent="0.4">
      <c r="A416" s="7" t="s">
        <v>388</v>
      </c>
      <c r="B416" s="4" t="s">
        <v>389</v>
      </c>
      <c r="C416" s="4" t="s">
        <v>68</v>
      </c>
      <c r="D416" s="10" t="str">
        <f t="shared" si="0"/>
        <v>Investment_Management</v>
      </c>
      <c r="E416" s="8" t="s">
        <v>1522</v>
      </c>
      <c r="F416" s="8"/>
    </row>
    <row r="417" spans="1:6" ht="14.6" x14ac:dyDescent="0.4">
      <c r="A417" s="7" t="s">
        <v>397</v>
      </c>
      <c r="B417" s="4" t="s">
        <v>122</v>
      </c>
      <c r="C417" s="4" t="s">
        <v>68</v>
      </c>
      <c r="D417" s="10" t="str">
        <f t="shared" si="0"/>
        <v>Investment_Management</v>
      </c>
      <c r="E417" s="8" t="s">
        <v>1522</v>
      </c>
      <c r="F417" s="8"/>
    </row>
    <row r="418" spans="1:6" ht="14.6" x14ac:dyDescent="0.4">
      <c r="A418" s="7" t="s">
        <v>423</v>
      </c>
      <c r="B418" s="4" t="s">
        <v>98</v>
      </c>
      <c r="C418" s="4" t="s">
        <v>68</v>
      </c>
      <c r="D418" s="10" t="str">
        <f t="shared" si="0"/>
        <v>Investment_Management</v>
      </c>
      <c r="E418" s="8" t="s">
        <v>1522</v>
      </c>
      <c r="F418" s="8"/>
    </row>
    <row r="419" spans="1:6" ht="14.6" x14ac:dyDescent="0.4">
      <c r="A419" s="7" t="s">
        <v>455</v>
      </c>
      <c r="B419" s="4" t="s">
        <v>456</v>
      </c>
      <c r="C419" s="4" t="s">
        <v>68</v>
      </c>
      <c r="D419" s="10" t="str">
        <f t="shared" si="0"/>
        <v>Investment_Management</v>
      </c>
      <c r="E419" s="8" t="s">
        <v>1522</v>
      </c>
      <c r="F419" s="8"/>
    </row>
    <row r="420" spans="1:6" ht="14.6" x14ac:dyDescent="0.4">
      <c r="A420" s="7" t="s">
        <v>481</v>
      </c>
      <c r="B420" s="4" t="s">
        <v>482</v>
      </c>
      <c r="C420" s="4" t="s">
        <v>68</v>
      </c>
      <c r="D420" s="10" t="str">
        <f t="shared" si="0"/>
        <v>Investment_Management</v>
      </c>
      <c r="E420" s="8" t="s">
        <v>1522</v>
      </c>
      <c r="F420" s="8"/>
    </row>
    <row r="421" spans="1:6" ht="14.6" x14ac:dyDescent="0.4">
      <c r="A421" s="7" t="s">
        <v>484</v>
      </c>
      <c r="B421" s="4" t="s">
        <v>485</v>
      </c>
      <c r="C421" s="4" t="s">
        <v>68</v>
      </c>
      <c r="D421" s="10" t="str">
        <f t="shared" si="0"/>
        <v>Investment_Management</v>
      </c>
      <c r="E421" s="8" t="s">
        <v>1522</v>
      </c>
      <c r="F421" s="8"/>
    </row>
    <row r="422" spans="1:6" ht="14.6" x14ac:dyDescent="0.4">
      <c r="A422" s="7" t="s">
        <v>486</v>
      </c>
      <c r="B422" s="4" t="s">
        <v>213</v>
      </c>
      <c r="C422" s="4" t="s">
        <v>68</v>
      </c>
      <c r="D422" s="10" t="str">
        <f t="shared" si="0"/>
        <v>Investment_Management</v>
      </c>
      <c r="E422" s="8" t="s">
        <v>1522</v>
      </c>
      <c r="F422" s="8"/>
    </row>
    <row r="423" spans="1:6" ht="14.6" x14ac:dyDescent="0.4">
      <c r="A423" s="7" t="s">
        <v>487</v>
      </c>
      <c r="B423" s="4" t="s">
        <v>224</v>
      </c>
      <c r="C423" s="4" t="s">
        <v>68</v>
      </c>
      <c r="D423" s="10" t="str">
        <f t="shared" si="0"/>
        <v>Investment_Management</v>
      </c>
      <c r="E423" s="8" t="s">
        <v>1522</v>
      </c>
      <c r="F423" s="8"/>
    </row>
    <row r="424" spans="1:6" ht="14.6" x14ac:dyDescent="0.4">
      <c r="A424" s="7" t="s">
        <v>513</v>
      </c>
      <c r="B424" s="4" t="s">
        <v>335</v>
      </c>
      <c r="C424" s="4" t="s">
        <v>68</v>
      </c>
      <c r="D424" s="10" t="str">
        <f t="shared" si="0"/>
        <v>Investment_Management</v>
      </c>
      <c r="E424" s="8" t="s">
        <v>1522</v>
      </c>
      <c r="F424" s="8"/>
    </row>
    <row r="425" spans="1:6" ht="14.6" x14ac:dyDescent="0.4">
      <c r="A425" s="7" t="s">
        <v>538</v>
      </c>
      <c r="B425" s="4" t="s">
        <v>539</v>
      </c>
      <c r="C425" s="4" t="s">
        <v>68</v>
      </c>
      <c r="D425" s="10" t="str">
        <f t="shared" si="0"/>
        <v>Investment_Management</v>
      </c>
      <c r="E425" s="8" t="s">
        <v>1522</v>
      </c>
      <c r="F425" s="8"/>
    </row>
    <row r="426" spans="1:6" ht="14.6" x14ac:dyDescent="0.4">
      <c r="A426" s="7" t="s">
        <v>541</v>
      </c>
      <c r="B426" s="4" t="s">
        <v>542</v>
      </c>
      <c r="C426" s="4" t="s">
        <v>68</v>
      </c>
      <c r="D426" s="10" t="str">
        <f t="shared" si="0"/>
        <v>Investment_Management</v>
      </c>
      <c r="E426" s="8" t="s">
        <v>1522</v>
      </c>
      <c r="F426" s="8"/>
    </row>
    <row r="427" spans="1:6" ht="14.6" x14ac:dyDescent="0.4">
      <c r="A427" s="7" t="s">
        <v>602</v>
      </c>
      <c r="B427" s="4" t="s">
        <v>603</v>
      </c>
      <c r="C427" s="4" t="s">
        <v>68</v>
      </c>
      <c r="D427" s="10" t="str">
        <f t="shared" si="0"/>
        <v>Investment_Management</v>
      </c>
      <c r="E427" s="8" t="s">
        <v>1522</v>
      </c>
      <c r="F427" s="8"/>
    </row>
    <row r="428" spans="1:6" ht="14.6" x14ac:dyDescent="0.4">
      <c r="A428" s="7" t="s">
        <v>630</v>
      </c>
      <c r="B428" s="4" t="s">
        <v>631</v>
      </c>
      <c r="C428" s="4" t="s">
        <v>68</v>
      </c>
      <c r="D428" s="10" t="str">
        <f t="shared" si="0"/>
        <v>Investment_Management</v>
      </c>
      <c r="E428" s="8" t="s">
        <v>1522</v>
      </c>
      <c r="F428" s="8"/>
    </row>
    <row r="429" spans="1:6" ht="14.6" x14ac:dyDescent="0.4">
      <c r="A429" s="7" t="s">
        <v>652</v>
      </c>
      <c r="B429" s="4" t="s">
        <v>60</v>
      </c>
      <c r="C429" s="4" t="s">
        <v>68</v>
      </c>
      <c r="D429" s="10" t="str">
        <f t="shared" si="0"/>
        <v>Investment_Management</v>
      </c>
      <c r="E429" s="8" t="s">
        <v>1522</v>
      </c>
      <c r="F429" s="8"/>
    </row>
    <row r="430" spans="1:6" ht="14.6" x14ac:dyDescent="0.4">
      <c r="A430" s="7" t="s">
        <v>653</v>
      </c>
      <c r="B430" s="4" t="s">
        <v>221</v>
      </c>
      <c r="C430" s="4" t="s">
        <v>68</v>
      </c>
      <c r="D430" s="10" t="str">
        <f t="shared" si="0"/>
        <v>Investment_Management</v>
      </c>
      <c r="E430" s="8" t="s">
        <v>1522</v>
      </c>
      <c r="F430" s="8"/>
    </row>
    <row r="431" spans="1:6" ht="14.6" x14ac:dyDescent="0.4">
      <c r="A431" s="7" t="s">
        <v>693</v>
      </c>
      <c r="B431" s="4" t="s">
        <v>694</v>
      </c>
      <c r="C431" s="4" t="s">
        <v>68</v>
      </c>
      <c r="D431" s="10" t="str">
        <f t="shared" si="0"/>
        <v>Investment_Management</v>
      </c>
      <c r="E431" s="8" t="s">
        <v>1522</v>
      </c>
      <c r="F431" s="8"/>
    </row>
    <row r="432" spans="1:6" ht="14.6" x14ac:dyDescent="0.4">
      <c r="A432" s="7" t="s">
        <v>698</v>
      </c>
      <c r="B432" s="4" t="s">
        <v>699</v>
      </c>
      <c r="C432" s="4" t="s">
        <v>68</v>
      </c>
      <c r="D432" s="10" t="str">
        <f t="shared" si="0"/>
        <v>Investment_Management</v>
      </c>
      <c r="E432" s="8" t="s">
        <v>1522</v>
      </c>
      <c r="F432" s="8"/>
    </row>
    <row r="433" spans="1:6" ht="14.6" x14ac:dyDescent="0.4">
      <c r="A433" s="7" t="s">
        <v>703</v>
      </c>
      <c r="B433" s="4" t="s">
        <v>479</v>
      </c>
      <c r="C433" s="4" t="s">
        <v>68</v>
      </c>
      <c r="D433" s="10" t="str">
        <f t="shared" si="0"/>
        <v>Investment_Management</v>
      </c>
      <c r="E433" s="8" t="s">
        <v>1522</v>
      </c>
      <c r="F433" s="8"/>
    </row>
    <row r="434" spans="1:6" ht="14.6" x14ac:dyDescent="0.4">
      <c r="A434" s="7" t="s">
        <v>712</v>
      </c>
      <c r="B434" s="4" t="s">
        <v>363</v>
      </c>
      <c r="C434" s="4" t="s">
        <v>68</v>
      </c>
      <c r="D434" s="10" t="str">
        <f t="shared" si="0"/>
        <v>Investment_Management</v>
      </c>
      <c r="E434" s="8" t="s">
        <v>1522</v>
      </c>
      <c r="F434" s="8"/>
    </row>
    <row r="435" spans="1:6" ht="14.6" x14ac:dyDescent="0.4">
      <c r="A435" s="7" t="s">
        <v>719</v>
      </c>
      <c r="B435" s="4" t="s">
        <v>289</v>
      </c>
      <c r="C435" s="4" t="s">
        <v>68</v>
      </c>
      <c r="D435" s="10" t="str">
        <f t="shared" si="0"/>
        <v>Investment_Management</v>
      </c>
      <c r="E435" s="8" t="s">
        <v>1522</v>
      </c>
      <c r="F435" s="8"/>
    </row>
    <row r="436" spans="1:6" ht="14.6" x14ac:dyDescent="0.4">
      <c r="A436" s="7" t="s">
        <v>736</v>
      </c>
      <c r="B436" s="4" t="s">
        <v>451</v>
      </c>
      <c r="C436" s="4" t="s">
        <v>68</v>
      </c>
      <c r="D436" s="10" t="str">
        <f t="shared" si="0"/>
        <v>Investment_Management</v>
      </c>
      <c r="E436" s="8" t="s">
        <v>1522</v>
      </c>
      <c r="F436" s="8"/>
    </row>
    <row r="437" spans="1:6" ht="14.6" x14ac:dyDescent="0.4">
      <c r="A437" s="7" t="s">
        <v>740</v>
      </c>
      <c r="B437" s="4" t="s">
        <v>343</v>
      </c>
      <c r="C437" s="4" t="s">
        <v>68</v>
      </c>
      <c r="D437" s="10" t="str">
        <f t="shared" si="0"/>
        <v>Investment_Management</v>
      </c>
      <c r="E437" s="8" t="s">
        <v>1522</v>
      </c>
      <c r="F437" s="8"/>
    </row>
    <row r="438" spans="1:6" ht="14.6" x14ac:dyDescent="0.4">
      <c r="A438" s="7" t="s">
        <v>767</v>
      </c>
      <c r="B438" s="4" t="s">
        <v>768</v>
      </c>
      <c r="C438" s="4" t="s">
        <v>68</v>
      </c>
      <c r="D438" s="10" t="str">
        <f t="shared" si="0"/>
        <v>Investment_Management</v>
      </c>
      <c r="E438" s="8" t="s">
        <v>1522</v>
      </c>
      <c r="F438" s="8"/>
    </row>
    <row r="439" spans="1:6" ht="14.6" x14ac:dyDescent="0.4">
      <c r="A439" s="7" t="s">
        <v>786</v>
      </c>
      <c r="B439" s="4" t="s">
        <v>246</v>
      </c>
      <c r="C439" s="4" t="s">
        <v>68</v>
      </c>
      <c r="D439" s="10" t="str">
        <f t="shared" si="0"/>
        <v>Investment_Management</v>
      </c>
      <c r="E439" s="8" t="s">
        <v>1522</v>
      </c>
      <c r="F439" s="8"/>
    </row>
    <row r="440" spans="1:6" ht="14.6" x14ac:dyDescent="0.4">
      <c r="A440" s="7" t="s">
        <v>815</v>
      </c>
      <c r="B440" s="4" t="s">
        <v>816</v>
      </c>
      <c r="C440" s="4" t="s">
        <v>68</v>
      </c>
      <c r="D440" s="10" t="str">
        <f t="shared" si="0"/>
        <v>Investment_Management</v>
      </c>
      <c r="E440" s="8" t="s">
        <v>1522</v>
      </c>
      <c r="F440" s="8"/>
    </row>
    <row r="441" spans="1:6" ht="14.6" x14ac:dyDescent="0.4">
      <c r="A441" s="7" t="s">
        <v>832</v>
      </c>
      <c r="B441" s="4" t="s">
        <v>578</v>
      </c>
      <c r="C441" s="4" t="s">
        <v>68</v>
      </c>
      <c r="D441" s="10" t="str">
        <f t="shared" si="0"/>
        <v>Investment_Management</v>
      </c>
      <c r="E441" s="8" t="s">
        <v>1522</v>
      </c>
      <c r="F441" s="8"/>
    </row>
    <row r="442" spans="1:6" ht="14.6" x14ac:dyDescent="0.4">
      <c r="A442" s="7" t="s">
        <v>844</v>
      </c>
      <c r="B442" s="4" t="s">
        <v>545</v>
      </c>
      <c r="C442" s="4" t="s">
        <v>68</v>
      </c>
      <c r="D442" s="10" t="str">
        <f t="shared" si="0"/>
        <v>Investment_Management</v>
      </c>
      <c r="E442" s="8" t="s">
        <v>1522</v>
      </c>
      <c r="F442" s="8"/>
    </row>
    <row r="443" spans="1:6" ht="14.6" x14ac:dyDescent="0.4">
      <c r="A443" s="7" t="s">
        <v>868</v>
      </c>
      <c r="B443" s="4" t="s">
        <v>430</v>
      </c>
      <c r="C443" s="4" t="s">
        <v>68</v>
      </c>
      <c r="D443" s="10" t="str">
        <f t="shared" si="0"/>
        <v>Investment_Management</v>
      </c>
      <c r="E443" s="8" t="s">
        <v>1522</v>
      </c>
      <c r="F443" s="8"/>
    </row>
    <row r="444" spans="1:6" ht="14.6" x14ac:dyDescent="0.4">
      <c r="A444" s="7" t="s">
        <v>873</v>
      </c>
      <c r="B444" s="4" t="s">
        <v>263</v>
      </c>
      <c r="C444" s="4" t="s">
        <v>68</v>
      </c>
      <c r="D444" s="10" t="str">
        <f t="shared" si="0"/>
        <v>Investment_Management</v>
      </c>
      <c r="E444" s="8" t="s">
        <v>1522</v>
      </c>
      <c r="F444" s="8"/>
    </row>
    <row r="445" spans="1:6" ht="14.6" x14ac:dyDescent="0.4">
      <c r="A445" s="7" t="s">
        <v>876</v>
      </c>
      <c r="B445" s="4" t="s">
        <v>139</v>
      </c>
      <c r="C445" s="4" t="s">
        <v>68</v>
      </c>
      <c r="D445" s="10" t="str">
        <f t="shared" si="0"/>
        <v>Investment_Management</v>
      </c>
      <c r="E445" s="8" t="s">
        <v>1522</v>
      </c>
      <c r="F445" s="8"/>
    </row>
    <row r="446" spans="1:6" ht="14.6" x14ac:dyDescent="0.4">
      <c r="A446" s="7" t="s">
        <v>880</v>
      </c>
      <c r="B446" s="4" t="s">
        <v>881</v>
      </c>
      <c r="C446" s="4" t="s">
        <v>68</v>
      </c>
      <c r="D446" s="10" t="str">
        <f t="shared" si="0"/>
        <v>Investment_Management</v>
      </c>
      <c r="E446" s="8" t="s">
        <v>1522</v>
      </c>
      <c r="F446" s="8"/>
    </row>
    <row r="447" spans="1:6" ht="14.6" x14ac:dyDescent="0.4">
      <c r="A447" s="7" t="s">
        <v>902</v>
      </c>
      <c r="B447" s="4" t="s">
        <v>839</v>
      </c>
      <c r="C447" s="4" t="s">
        <v>68</v>
      </c>
      <c r="D447" s="10" t="str">
        <f t="shared" si="0"/>
        <v>Investment_Management</v>
      </c>
      <c r="E447" s="8" t="s">
        <v>1522</v>
      </c>
      <c r="F447" s="8"/>
    </row>
    <row r="448" spans="1:6" ht="14.6" x14ac:dyDescent="0.4">
      <c r="A448" s="7" t="s">
        <v>904</v>
      </c>
      <c r="B448" s="4" t="s">
        <v>291</v>
      </c>
      <c r="C448" s="4" t="s">
        <v>68</v>
      </c>
      <c r="D448" s="10" t="str">
        <f t="shared" si="0"/>
        <v>Investment_Management</v>
      </c>
      <c r="E448" s="8" t="s">
        <v>1522</v>
      </c>
      <c r="F448" s="8"/>
    </row>
    <row r="449" spans="1:6" ht="14.6" x14ac:dyDescent="0.4">
      <c r="A449" s="7" t="s">
        <v>922</v>
      </c>
      <c r="B449" s="4" t="s">
        <v>919</v>
      </c>
      <c r="C449" s="4" t="s">
        <v>68</v>
      </c>
      <c r="D449" s="10" t="str">
        <f t="shared" si="0"/>
        <v>Investment_Management</v>
      </c>
      <c r="E449" s="8" t="s">
        <v>1522</v>
      </c>
      <c r="F449" s="8"/>
    </row>
    <row r="450" spans="1:6" ht="14.6" x14ac:dyDescent="0.4">
      <c r="A450" s="7" t="s">
        <v>951</v>
      </c>
      <c r="B450" s="4" t="s">
        <v>879</v>
      </c>
      <c r="C450" s="4" t="s">
        <v>68</v>
      </c>
      <c r="D450" s="10" t="str">
        <f t="shared" si="0"/>
        <v>Investment_Management</v>
      </c>
      <c r="E450" s="8" t="s">
        <v>1522</v>
      </c>
      <c r="F450" s="8"/>
    </row>
    <row r="451" spans="1:6" ht="14.6" x14ac:dyDescent="0.4">
      <c r="A451" s="7" t="s">
        <v>979</v>
      </c>
      <c r="B451" s="4" t="s">
        <v>490</v>
      </c>
      <c r="C451" s="4" t="s">
        <v>68</v>
      </c>
      <c r="D451" s="10" t="str">
        <f t="shared" si="0"/>
        <v>Investment_Management</v>
      </c>
      <c r="E451" s="8" t="s">
        <v>1522</v>
      </c>
      <c r="F451" s="8"/>
    </row>
    <row r="452" spans="1:6" ht="14.6" x14ac:dyDescent="0.4">
      <c r="A452" s="7" t="s">
        <v>1007</v>
      </c>
      <c r="B452" s="4" t="s">
        <v>973</v>
      </c>
      <c r="C452" s="4" t="s">
        <v>68</v>
      </c>
      <c r="D452" s="10" t="str">
        <f t="shared" si="0"/>
        <v>Investment_Management</v>
      </c>
      <c r="E452" s="8" t="s">
        <v>1522</v>
      </c>
      <c r="F452" s="8"/>
    </row>
    <row r="453" spans="1:6" ht="14.6" x14ac:dyDescent="0.4">
      <c r="A453" s="7" t="s">
        <v>1019</v>
      </c>
      <c r="B453" s="4" t="s">
        <v>717</v>
      </c>
      <c r="C453" s="4" t="s">
        <v>68</v>
      </c>
      <c r="D453" s="10" t="str">
        <f t="shared" si="0"/>
        <v>Investment_Management</v>
      </c>
      <c r="E453" s="8" t="s">
        <v>1522</v>
      </c>
      <c r="F453" s="8"/>
    </row>
    <row r="454" spans="1:6" ht="14.6" x14ac:dyDescent="0.4">
      <c r="A454" s="7" t="s">
        <v>1052</v>
      </c>
      <c r="B454" s="4" t="s">
        <v>1038</v>
      </c>
      <c r="C454" s="4" t="s">
        <v>68</v>
      </c>
      <c r="D454" s="10" t="str">
        <f t="shared" si="0"/>
        <v>Investment_Management</v>
      </c>
      <c r="E454" s="8" t="s">
        <v>1522</v>
      </c>
      <c r="F454" s="8"/>
    </row>
    <row r="455" spans="1:6" ht="14.6" x14ac:dyDescent="0.4">
      <c r="A455" s="7" t="s">
        <v>1055</v>
      </c>
      <c r="B455" s="4" t="s">
        <v>1029</v>
      </c>
      <c r="C455" s="4" t="s">
        <v>68</v>
      </c>
      <c r="D455" s="10" t="str">
        <f t="shared" si="0"/>
        <v>Investment_Management</v>
      </c>
      <c r="E455" s="8" t="s">
        <v>1522</v>
      </c>
      <c r="F455" s="8"/>
    </row>
    <row r="456" spans="1:6" ht="14.6" x14ac:dyDescent="0.4">
      <c r="A456" s="7" t="s">
        <v>1073</v>
      </c>
      <c r="B456" s="4" t="s">
        <v>1074</v>
      </c>
      <c r="C456" s="4" t="s">
        <v>68</v>
      </c>
      <c r="D456" s="10" t="str">
        <f t="shared" si="0"/>
        <v>Investment_Management</v>
      </c>
      <c r="E456" s="8" t="s">
        <v>1522</v>
      </c>
      <c r="F456" s="8"/>
    </row>
    <row r="457" spans="1:6" ht="14.6" x14ac:dyDescent="0.4">
      <c r="A457" s="7" t="s">
        <v>1075</v>
      </c>
      <c r="B457" s="4" t="s">
        <v>1047</v>
      </c>
      <c r="C457" s="4" t="s">
        <v>68</v>
      </c>
      <c r="D457" s="10" t="str">
        <f t="shared" si="0"/>
        <v>Investment_Management</v>
      </c>
      <c r="E457" s="8" t="s">
        <v>1522</v>
      </c>
      <c r="F457" s="8"/>
    </row>
    <row r="458" spans="1:6" ht="14.6" x14ac:dyDescent="0.4">
      <c r="A458" s="7" t="s">
        <v>1132</v>
      </c>
      <c r="B458" s="4" t="s">
        <v>1051</v>
      </c>
      <c r="C458" s="4" t="s">
        <v>68</v>
      </c>
      <c r="D458" s="10" t="str">
        <f t="shared" si="0"/>
        <v>Investment_Management</v>
      </c>
      <c r="E458" s="8" t="s">
        <v>1522</v>
      </c>
      <c r="F458" s="8"/>
    </row>
    <row r="459" spans="1:6" ht="14.6" x14ac:dyDescent="0.4">
      <c r="A459" s="7" t="s">
        <v>1170</v>
      </c>
      <c r="B459" s="4" t="s">
        <v>1167</v>
      </c>
      <c r="C459" s="4" t="s">
        <v>68</v>
      </c>
      <c r="D459" s="10" t="str">
        <f t="shared" si="0"/>
        <v>Investment_Management</v>
      </c>
      <c r="E459" s="8" t="s">
        <v>1522</v>
      </c>
      <c r="F459" s="8"/>
    </row>
    <row r="460" spans="1:6" ht="14.6" x14ac:dyDescent="0.4">
      <c r="A460" s="7" t="s">
        <v>1179</v>
      </c>
      <c r="B460" s="4" t="s">
        <v>1162</v>
      </c>
      <c r="C460" s="4" t="s">
        <v>68</v>
      </c>
      <c r="D460" s="10" t="str">
        <f t="shared" si="0"/>
        <v>Investment_Management</v>
      </c>
      <c r="E460" s="8" t="s">
        <v>1522</v>
      </c>
      <c r="F460" s="8"/>
    </row>
    <row r="461" spans="1:6" ht="14.6" x14ac:dyDescent="0.4">
      <c r="A461" s="7" t="s">
        <v>1202</v>
      </c>
      <c r="B461" s="4" t="s">
        <v>1154</v>
      </c>
      <c r="C461" s="4" t="s">
        <v>68</v>
      </c>
      <c r="D461" s="10" t="str">
        <f t="shared" si="0"/>
        <v>Investment_Management</v>
      </c>
      <c r="E461" s="8" t="s">
        <v>1522</v>
      </c>
      <c r="F461" s="8"/>
    </row>
    <row r="462" spans="1:6" ht="14.6" x14ac:dyDescent="0.4">
      <c r="A462" s="7" t="s">
        <v>1240</v>
      </c>
      <c r="B462" s="4" t="s">
        <v>1167</v>
      </c>
      <c r="C462" s="4" t="s">
        <v>68</v>
      </c>
      <c r="D462" s="10" t="str">
        <f t="shared" si="0"/>
        <v>Investment_Management</v>
      </c>
      <c r="E462" s="8" t="s">
        <v>1522</v>
      </c>
      <c r="F462" s="8"/>
    </row>
    <row r="463" spans="1:6" ht="14.6" x14ac:dyDescent="0.4">
      <c r="A463" s="7" t="s">
        <v>1242</v>
      </c>
      <c r="B463" s="4" t="s">
        <v>1188</v>
      </c>
      <c r="C463" s="4" t="s">
        <v>68</v>
      </c>
      <c r="D463" s="10" t="str">
        <f t="shared" si="0"/>
        <v>Investment_Management</v>
      </c>
      <c r="E463" s="8" t="s">
        <v>1522</v>
      </c>
      <c r="F463" s="8"/>
    </row>
    <row r="464" spans="1:6" ht="14.6" x14ac:dyDescent="0.4">
      <c r="A464" s="7" t="s">
        <v>1244</v>
      </c>
      <c r="B464" s="4" t="s">
        <v>1167</v>
      </c>
      <c r="C464" s="4" t="s">
        <v>68</v>
      </c>
      <c r="D464" s="10" t="str">
        <f t="shared" si="0"/>
        <v>Investment_Management</v>
      </c>
      <c r="E464" s="8" t="s">
        <v>1522</v>
      </c>
      <c r="F464" s="8"/>
    </row>
    <row r="465" spans="1:6" ht="14.6" x14ac:dyDescent="0.4">
      <c r="A465" s="7" t="s">
        <v>1265</v>
      </c>
      <c r="B465" s="4" t="s">
        <v>1258</v>
      </c>
      <c r="C465" s="4" t="s">
        <v>68</v>
      </c>
      <c r="D465" s="10" t="str">
        <f t="shared" si="0"/>
        <v>Investment_Management</v>
      </c>
      <c r="E465" s="8" t="s">
        <v>1522</v>
      </c>
      <c r="F465" s="8"/>
    </row>
    <row r="466" spans="1:6" ht="14.6" x14ac:dyDescent="0.4">
      <c r="A466" s="7" t="s">
        <v>1277</v>
      </c>
      <c r="B466" s="4" t="s">
        <v>1256</v>
      </c>
      <c r="C466" s="4" t="s">
        <v>68</v>
      </c>
      <c r="D466" s="10" t="str">
        <f t="shared" si="0"/>
        <v>Investment_Management</v>
      </c>
      <c r="E466" s="8" t="s">
        <v>1522</v>
      </c>
      <c r="F466" s="8"/>
    </row>
    <row r="467" spans="1:6" ht="14.6" x14ac:dyDescent="0.4">
      <c r="A467" s="7" t="s">
        <v>1285</v>
      </c>
      <c r="B467" s="4" t="s">
        <v>1268</v>
      </c>
      <c r="C467" s="4" t="s">
        <v>68</v>
      </c>
      <c r="D467" s="10" t="str">
        <f t="shared" si="0"/>
        <v>Investment_Management</v>
      </c>
      <c r="E467" s="8" t="s">
        <v>1522</v>
      </c>
      <c r="F467" s="8"/>
    </row>
    <row r="468" spans="1:6" ht="14.6" x14ac:dyDescent="0.4">
      <c r="A468" s="7" t="s">
        <v>1287</v>
      </c>
      <c r="B468" s="4" t="s">
        <v>1262</v>
      </c>
      <c r="C468" s="4" t="s">
        <v>68</v>
      </c>
      <c r="D468" s="10" t="str">
        <f t="shared" si="0"/>
        <v>Investment_Management</v>
      </c>
      <c r="E468" s="8" t="s">
        <v>1522</v>
      </c>
      <c r="F468" s="8"/>
    </row>
    <row r="469" spans="1:6" ht="14.6" x14ac:dyDescent="0.4">
      <c r="A469" s="7" t="s">
        <v>1298</v>
      </c>
      <c r="B469" s="4" t="s">
        <v>1268</v>
      </c>
      <c r="C469" s="4" t="s">
        <v>68</v>
      </c>
      <c r="D469" s="10" t="str">
        <f t="shared" si="0"/>
        <v>Investment_Management</v>
      </c>
      <c r="E469" s="8" t="s">
        <v>1522</v>
      </c>
      <c r="F469" s="8"/>
    </row>
    <row r="470" spans="1:6" ht="14.6" x14ac:dyDescent="0.4">
      <c r="A470" s="7" t="s">
        <v>1299</v>
      </c>
      <c r="B470" s="4" t="s">
        <v>1268</v>
      </c>
      <c r="C470" s="4" t="s">
        <v>68</v>
      </c>
      <c r="D470" s="10" t="str">
        <f t="shared" si="0"/>
        <v>Investment_Management</v>
      </c>
      <c r="E470" s="8" t="s">
        <v>1522</v>
      </c>
      <c r="F470" s="8"/>
    </row>
    <row r="471" spans="1:6" ht="14.6" x14ac:dyDescent="0.4">
      <c r="A471" s="7" t="s">
        <v>1311</v>
      </c>
      <c r="B471" s="4" t="s">
        <v>1258</v>
      </c>
      <c r="C471" s="4" t="s">
        <v>68</v>
      </c>
      <c r="D471" s="10" t="str">
        <f t="shared" si="0"/>
        <v>Investment_Management</v>
      </c>
      <c r="E471" s="8" t="s">
        <v>1522</v>
      </c>
      <c r="F471" s="8"/>
    </row>
    <row r="472" spans="1:6" ht="14.6" x14ac:dyDescent="0.4">
      <c r="A472" s="7" t="s">
        <v>1375</v>
      </c>
      <c r="B472" s="4" t="s">
        <v>1376</v>
      </c>
      <c r="C472" s="4" t="s">
        <v>68</v>
      </c>
      <c r="D472" s="10" t="str">
        <f t="shared" si="0"/>
        <v>Investment_Management</v>
      </c>
      <c r="E472" s="8" t="s">
        <v>1522</v>
      </c>
      <c r="F472" s="8"/>
    </row>
    <row r="473" spans="1:6" ht="14.6" x14ac:dyDescent="0.4">
      <c r="A473" s="7" t="s">
        <v>1378</v>
      </c>
      <c r="B473" s="4" t="s">
        <v>1349</v>
      </c>
      <c r="C473" s="4" t="s">
        <v>68</v>
      </c>
      <c r="D473" s="10" t="str">
        <f t="shared" si="0"/>
        <v>Investment_Management</v>
      </c>
      <c r="E473" s="8" t="s">
        <v>1522</v>
      </c>
      <c r="F473" s="8"/>
    </row>
    <row r="474" spans="1:6" ht="14.6" x14ac:dyDescent="0.4">
      <c r="A474" s="7" t="s">
        <v>1383</v>
      </c>
      <c r="B474" s="4" t="s">
        <v>1384</v>
      </c>
      <c r="C474" s="4" t="s">
        <v>68</v>
      </c>
      <c r="D474" s="10" t="str">
        <f t="shared" si="0"/>
        <v>Investment_Management</v>
      </c>
      <c r="E474" s="8" t="s">
        <v>1522</v>
      </c>
      <c r="F474" s="8"/>
    </row>
    <row r="475" spans="1:6" ht="14.6" x14ac:dyDescent="0.4">
      <c r="A475" s="7" t="s">
        <v>1393</v>
      </c>
      <c r="B475" s="4" t="s">
        <v>1355</v>
      </c>
      <c r="C475" s="4" t="s">
        <v>68</v>
      </c>
      <c r="D475" s="10" t="str">
        <f t="shared" si="0"/>
        <v>Investment_Management</v>
      </c>
      <c r="E475" s="8" t="s">
        <v>1522</v>
      </c>
      <c r="F475" s="8"/>
    </row>
    <row r="476" spans="1:6" ht="14.6" x14ac:dyDescent="0.4">
      <c r="A476" s="7" t="s">
        <v>1413</v>
      </c>
      <c r="B476" s="4" t="s">
        <v>1355</v>
      </c>
      <c r="C476" s="4" t="s">
        <v>68</v>
      </c>
      <c r="D476" s="10" t="str">
        <f t="shared" si="0"/>
        <v>Investment_Management</v>
      </c>
      <c r="E476" s="8" t="s">
        <v>1522</v>
      </c>
      <c r="F476" s="8"/>
    </row>
    <row r="477" spans="1:6" ht="14.6" x14ac:dyDescent="0.4">
      <c r="A477" s="7" t="s">
        <v>1431</v>
      </c>
      <c r="B477" s="4" t="s">
        <v>1427</v>
      </c>
      <c r="C477" s="4" t="s">
        <v>68</v>
      </c>
      <c r="D477" s="10" t="str">
        <f t="shared" si="0"/>
        <v>Investment_Management</v>
      </c>
      <c r="E477" s="8" t="s">
        <v>1522</v>
      </c>
      <c r="F477" s="8"/>
    </row>
    <row r="478" spans="1:6" ht="14.6" x14ac:dyDescent="0.4">
      <c r="A478" s="7" t="s">
        <v>1432</v>
      </c>
      <c r="B478" s="4" t="s">
        <v>1429</v>
      </c>
      <c r="C478" s="4" t="s">
        <v>68</v>
      </c>
      <c r="D478" s="10" t="str">
        <f t="shared" si="0"/>
        <v>Investment_Management</v>
      </c>
      <c r="E478" s="8" t="s">
        <v>1522</v>
      </c>
      <c r="F478" s="8"/>
    </row>
    <row r="479" spans="1:6" ht="14.6" x14ac:dyDescent="0.4">
      <c r="A479" s="7" t="s">
        <v>1440</v>
      </c>
      <c r="B479" s="4" t="s">
        <v>1427</v>
      </c>
      <c r="C479" s="4" t="s">
        <v>68</v>
      </c>
      <c r="D479" s="10" t="str">
        <f t="shared" si="0"/>
        <v>Investment_Management</v>
      </c>
      <c r="E479" s="8" t="s">
        <v>1522</v>
      </c>
      <c r="F479" s="8"/>
    </row>
    <row r="480" spans="1:6" ht="14.6" x14ac:dyDescent="0.4">
      <c r="A480" s="7" t="s">
        <v>1468</v>
      </c>
      <c r="B480" s="4" t="s">
        <v>1449</v>
      </c>
      <c r="C480" s="4" t="s">
        <v>68</v>
      </c>
      <c r="D480" s="10" t="str">
        <f t="shared" si="0"/>
        <v>Investment_Management</v>
      </c>
      <c r="E480" s="8" t="s">
        <v>1522</v>
      </c>
      <c r="F480" s="8"/>
    </row>
    <row r="481" spans="1:6" ht="14.6" x14ac:dyDescent="0.4">
      <c r="A481" s="7" t="s">
        <v>1479</v>
      </c>
      <c r="B481" s="4" t="s">
        <v>1480</v>
      </c>
      <c r="C481" s="4" t="s">
        <v>68</v>
      </c>
      <c r="D481" s="10" t="str">
        <f t="shared" si="0"/>
        <v>Investment_Management</v>
      </c>
      <c r="E481" s="8" t="s">
        <v>1522</v>
      </c>
      <c r="F481" s="8"/>
    </row>
    <row r="482" spans="1:6" ht="14.6" x14ac:dyDescent="0.4">
      <c r="A482" s="7" t="s">
        <v>1481</v>
      </c>
      <c r="B482" s="4" t="s">
        <v>1480</v>
      </c>
      <c r="C482" s="4" t="s">
        <v>68</v>
      </c>
      <c r="D482" s="10" t="str">
        <f t="shared" si="0"/>
        <v>Investment_Management</v>
      </c>
      <c r="E482" s="8" t="s">
        <v>1522</v>
      </c>
      <c r="F482" s="8"/>
    </row>
    <row r="483" spans="1:6" ht="14.6" x14ac:dyDescent="0.4">
      <c r="A483" s="7" t="s">
        <v>1503</v>
      </c>
      <c r="B483" s="4" t="s">
        <v>1500</v>
      </c>
      <c r="C483" s="4" t="s">
        <v>68</v>
      </c>
      <c r="D483" s="10" t="str">
        <f t="shared" si="0"/>
        <v>Investment_Management</v>
      </c>
      <c r="E483" s="8" t="s">
        <v>1522</v>
      </c>
      <c r="F483" s="8"/>
    </row>
    <row r="484" spans="1:6" ht="14.6" x14ac:dyDescent="0.4">
      <c r="A484" s="7" t="s">
        <v>13</v>
      </c>
      <c r="B484" s="4" t="s">
        <v>14</v>
      </c>
      <c r="C484" s="4" t="s">
        <v>15</v>
      </c>
      <c r="D484" s="10" t="str">
        <f t="shared" si="0"/>
        <v>Learning_Management_System</v>
      </c>
      <c r="E484" s="8" t="s">
        <v>1522</v>
      </c>
      <c r="F484" s="8" t="s">
        <v>1542</v>
      </c>
    </row>
    <row r="485" spans="1:6" ht="14.6" x14ac:dyDescent="0.4">
      <c r="A485" s="7" t="s">
        <v>25</v>
      </c>
      <c r="B485" s="4" t="s">
        <v>26</v>
      </c>
      <c r="C485" s="4" t="s">
        <v>15</v>
      </c>
      <c r="D485" s="10" t="str">
        <f t="shared" si="0"/>
        <v>Learning_Management_System</v>
      </c>
      <c r="E485" s="8" t="s">
        <v>1522</v>
      </c>
      <c r="F485" s="8"/>
    </row>
    <row r="486" spans="1:6" ht="14.6" x14ac:dyDescent="0.4">
      <c r="A486" s="7" t="s">
        <v>39</v>
      </c>
      <c r="B486" s="4" t="s">
        <v>40</v>
      </c>
      <c r="C486" s="4" t="s">
        <v>15</v>
      </c>
      <c r="D486" s="10" t="str">
        <f t="shared" si="0"/>
        <v>Learning_Management_System</v>
      </c>
      <c r="E486" s="8" t="s">
        <v>1522</v>
      </c>
      <c r="F486" s="8"/>
    </row>
    <row r="487" spans="1:6" ht="14.6" x14ac:dyDescent="0.4">
      <c r="A487" s="7" t="s">
        <v>43</v>
      </c>
      <c r="B487" s="4" t="s">
        <v>44</v>
      </c>
      <c r="C487" s="4" t="s">
        <v>15</v>
      </c>
      <c r="D487" s="10" t="str">
        <f t="shared" si="0"/>
        <v>Learning_Management_System</v>
      </c>
      <c r="E487" s="8" t="s">
        <v>1522</v>
      </c>
      <c r="F487" s="8"/>
    </row>
    <row r="488" spans="1:6" ht="14.6" x14ac:dyDescent="0.4">
      <c r="A488" s="7" t="s">
        <v>91</v>
      </c>
      <c r="B488" s="4" t="s">
        <v>57</v>
      </c>
      <c r="C488" s="4" t="s">
        <v>15</v>
      </c>
      <c r="D488" s="10" t="str">
        <f t="shared" si="0"/>
        <v>Learning_Management_System</v>
      </c>
      <c r="E488" s="8" t="s">
        <v>1522</v>
      </c>
      <c r="F488" s="8"/>
    </row>
    <row r="489" spans="1:6" ht="14.6" x14ac:dyDescent="0.4">
      <c r="A489" s="7" t="s">
        <v>97</v>
      </c>
      <c r="B489" s="4" t="s">
        <v>98</v>
      </c>
      <c r="C489" s="4" t="s">
        <v>15</v>
      </c>
      <c r="D489" s="10" t="str">
        <f t="shared" si="0"/>
        <v>Learning_Management_System</v>
      </c>
      <c r="E489" s="8" t="s">
        <v>1522</v>
      </c>
      <c r="F489" s="8"/>
    </row>
    <row r="490" spans="1:6" ht="14.6" x14ac:dyDescent="0.4">
      <c r="A490" s="7" t="s">
        <v>125</v>
      </c>
      <c r="B490" s="4" t="s">
        <v>126</v>
      </c>
      <c r="C490" s="4" t="s">
        <v>15</v>
      </c>
      <c r="D490" s="10" t="str">
        <f t="shared" si="0"/>
        <v>Learning_Management_System</v>
      </c>
      <c r="E490" s="8" t="s">
        <v>1522</v>
      </c>
      <c r="F490" s="8"/>
    </row>
    <row r="491" spans="1:6" ht="14.6" x14ac:dyDescent="0.4">
      <c r="A491" s="7" t="s">
        <v>138</v>
      </c>
      <c r="B491" s="4" t="s">
        <v>139</v>
      </c>
      <c r="C491" s="4" t="s">
        <v>15</v>
      </c>
      <c r="D491" s="10" t="str">
        <f t="shared" si="0"/>
        <v>Learning_Management_System</v>
      </c>
      <c r="E491" s="8" t="s">
        <v>1522</v>
      </c>
      <c r="F491" s="8"/>
    </row>
    <row r="492" spans="1:6" ht="14.6" x14ac:dyDescent="0.4">
      <c r="A492" s="7" t="s">
        <v>205</v>
      </c>
      <c r="B492" s="4" t="s">
        <v>197</v>
      </c>
      <c r="C492" s="4" t="s">
        <v>15</v>
      </c>
      <c r="D492" s="10" t="str">
        <f t="shared" si="0"/>
        <v>Learning_Management_System</v>
      </c>
      <c r="E492" s="8" t="s">
        <v>1522</v>
      </c>
      <c r="F492" s="8"/>
    </row>
    <row r="493" spans="1:6" ht="14.6" x14ac:dyDescent="0.4">
      <c r="A493" s="7" t="s">
        <v>235</v>
      </c>
      <c r="B493" s="4" t="s">
        <v>236</v>
      </c>
      <c r="C493" s="4" t="s">
        <v>15</v>
      </c>
      <c r="D493" s="10" t="str">
        <f t="shared" si="0"/>
        <v>Learning_Management_System</v>
      </c>
      <c r="E493" s="8" t="s">
        <v>1522</v>
      </c>
      <c r="F493" s="8"/>
    </row>
    <row r="494" spans="1:6" ht="14.6" x14ac:dyDescent="0.4">
      <c r="A494" s="7" t="s">
        <v>256</v>
      </c>
      <c r="B494" s="4" t="s">
        <v>257</v>
      </c>
      <c r="C494" s="4" t="s">
        <v>15</v>
      </c>
      <c r="D494" s="10" t="str">
        <f t="shared" si="0"/>
        <v>Learning_Management_System</v>
      </c>
      <c r="E494" s="8" t="s">
        <v>1522</v>
      </c>
      <c r="F494" s="8"/>
    </row>
    <row r="495" spans="1:6" ht="14.6" x14ac:dyDescent="0.4">
      <c r="A495" s="7" t="s">
        <v>262</v>
      </c>
      <c r="B495" s="4" t="s">
        <v>263</v>
      </c>
      <c r="C495" s="4" t="s">
        <v>15</v>
      </c>
      <c r="D495" s="10" t="str">
        <f t="shared" si="0"/>
        <v>Learning_Management_System</v>
      </c>
      <c r="E495" s="8" t="s">
        <v>1522</v>
      </c>
      <c r="F495" s="8"/>
    </row>
    <row r="496" spans="1:6" ht="14.6" x14ac:dyDescent="0.4">
      <c r="A496" s="7" t="s">
        <v>283</v>
      </c>
      <c r="B496" s="4" t="s">
        <v>284</v>
      </c>
      <c r="C496" s="4" t="s">
        <v>15</v>
      </c>
      <c r="D496" s="10" t="str">
        <f t="shared" si="0"/>
        <v>Learning_Management_System</v>
      </c>
      <c r="E496" s="8" t="s">
        <v>1522</v>
      </c>
      <c r="F496" s="8"/>
    </row>
    <row r="497" spans="1:6" ht="14.6" x14ac:dyDescent="0.4">
      <c r="A497" s="7" t="s">
        <v>297</v>
      </c>
      <c r="B497" s="4" t="s">
        <v>298</v>
      </c>
      <c r="C497" s="4" t="s">
        <v>15</v>
      </c>
      <c r="D497" s="10" t="str">
        <f t="shared" si="0"/>
        <v>Learning_Management_System</v>
      </c>
      <c r="E497" s="8" t="s">
        <v>1522</v>
      </c>
      <c r="F497" s="8"/>
    </row>
    <row r="498" spans="1:6" ht="14.6" x14ac:dyDescent="0.4">
      <c r="A498" s="7" t="s">
        <v>328</v>
      </c>
      <c r="B498" s="4" t="s">
        <v>329</v>
      </c>
      <c r="C498" s="4" t="s">
        <v>15</v>
      </c>
      <c r="D498" s="10" t="str">
        <f t="shared" si="0"/>
        <v>Learning_Management_System</v>
      </c>
      <c r="E498" s="8" t="s">
        <v>1522</v>
      </c>
      <c r="F498" s="8"/>
    </row>
    <row r="499" spans="1:6" ht="14.6" x14ac:dyDescent="0.4">
      <c r="A499" s="7" t="s">
        <v>331</v>
      </c>
      <c r="B499" s="4" t="s">
        <v>105</v>
      </c>
      <c r="C499" s="4" t="s">
        <v>15</v>
      </c>
      <c r="D499" s="10" t="str">
        <f t="shared" si="0"/>
        <v>Learning_Management_System</v>
      </c>
      <c r="E499" s="8" t="s">
        <v>1522</v>
      </c>
      <c r="F499" s="8"/>
    </row>
    <row r="500" spans="1:6" ht="14.6" x14ac:dyDescent="0.4">
      <c r="A500" s="7" t="s">
        <v>337</v>
      </c>
      <c r="B500" s="4" t="s">
        <v>259</v>
      </c>
      <c r="C500" s="4" t="s">
        <v>15</v>
      </c>
      <c r="D500" s="10" t="str">
        <f t="shared" si="0"/>
        <v>Learning_Management_System</v>
      </c>
      <c r="E500" s="8" t="s">
        <v>1522</v>
      </c>
      <c r="F500" s="8"/>
    </row>
    <row r="501" spans="1:6" ht="14.6" x14ac:dyDescent="0.4">
      <c r="A501" s="7" t="s">
        <v>338</v>
      </c>
      <c r="B501" s="4" t="s">
        <v>339</v>
      </c>
      <c r="C501" s="4" t="s">
        <v>15</v>
      </c>
      <c r="D501" s="10" t="str">
        <f t="shared" si="0"/>
        <v>Learning_Management_System</v>
      </c>
      <c r="E501" s="8" t="s">
        <v>1522</v>
      </c>
      <c r="F501" s="8"/>
    </row>
    <row r="502" spans="1:6" ht="14.6" x14ac:dyDescent="0.4">
      <c r="A502" s="7" t="s">
        <v>396</v>
      </c>
      <c r="B502" s="4" t="s">
        <v>164</v>
      </c>
      <c r="C502" s="4" t="s">
        <v>15</v>
      </c>
      <c r="D502" s="10" t="str">
        <f t="shared" si="0"/>
        <v>Learning_Management_System</v>
      </c>
      <c r="E502" s="8" t="s">
        <v>1522</v>
      </c>
      <c r="F502" s="8"/>
    </row>
    <row r="503" spans="1:6" ht="14.6" x14ac:dyDescent="0.4">
      <c r="A503" s="7" t="s">
        <v>417</v>
      </c>
      <c r="B503" s="4" t="s">
        <v>98</v>
      </c>
      <c r="C503" s="4" t="s">
        <v>15</v>
      </c>
      <c r="D503" s="10" t="str">
        <f t="shared" si="0"/>
        <v>Learning_Management_System</v>
      </c>
      <c r="E503" s="8" t="s">
        <v>1522</v>
      </c>
      <c r="F503" s="8"/>
    </row>
    <row r="504" spans="1:6" ht="14.6" x14ac:dyDescent="0.4">
      <c r="A504" s="7" t="s">
        <v>463</v>
      </c>
      <c r="B504" s="4" t="s">
        <v>464</v>
      </c>
      <c r="C504" s="4" t="s">
        <v>15</v>
      </c>
      <c r="D504" s="10" t="str">
        <f t="shared" si="0"/>
        <v>Learning_Management_System</v>
      </c>
      <c r="E504" s="8" t="s">
        <v>1522</v>
      </c>
      <c r="F504" s="8"/>
    </row>
    <row r="505" spans="1:6" ht="14.6" x14ac:dyDescent="0.4">
      <c r="A505" s="7" t="s">
        <v>505</v>
      </c>
      <c r="B505" s="4" t="s">
        <v>506</v>
      </c>
      <c r="C505" s="4" t="s">
        <v>15</v>
      </c>
      <c r="D505" s="10" t="str">
        <f t="shared" si="0"/>
        <v>Learning_Management_System</v>
      </c>
      <c r="E505" s="8" t="s">
        <v>1522</v>
      </c>
      <c r="F505" s="8"/>
    </row>
    <row r="506" spans="1:6" ht="14.6" x14ac:dyDescent="0.4">
      <c r="A506" s="7" t="s">
        <v>523</v>
      </c>
      <c r="B506" s="4" t="s">
        <v>232</v>
      </c>
      <c r="C506" s="4" t="s">
        <v>15</v>
      </c>
      <c r="D506" s="10" t="str">
        <f t="shared" si="0"/>
        <v>Learning_Management_System</v>
      </c>
      <c r="E506" s="8" t="s">
        <v>1522</v>
      </c>
      <c r="F506" s="8"/>
    </row>
    <row r="507" spans="1:6" ht="14.6" x14ac:dyDescent="0.4">
      <c r="A507" s="7" t="s">
        <v>544</v>
      </c>
      <c r="B507" s="4" t="s">
        <v>545</v>
      </c>
      <c r="C507" s="4" t="s">
        <v>15</v>
      </c>
      <c r="D507" s="10" t="str">
        <f t="shared" si="0"/>
        <v>Learning_Management_System</v>
      </c>
      <c r="E507" s="8" t="s">
        <v>1522</v>
      </c>
      <c r="F507" s="8"/>
    </row>
    <row r="508" spans="1:6" ht="14.6" x14ac:dyDescent="0.4">
      <c r="A508" s="7" t="s">
        <v>572</v>
      </c>
      <c r="B508" s="4" t="s">
        <v>573</v>
      </c>
      <c r="C508" s="4" t="s">
        <v>15</v>
      </c>
      <c r="D508" s="10" t="str">
        <f t="shared" si="0"/>
        <v>Learning_Management_System</v>
      </c>
      <c r="E508" s="8" t="s">
        <v>1522</v>
      </c>
      <c r="F508" s="8"/>
    </row>
    <row r="509" spans="1:6" ht="14.6" x14ac:dyDescent="0.4">
      <c r="A509" s="7" t="s">
        <v>574</v>
      </c>
      <c r="B509" s="4" t="s">
        <v>246</v>
      </c>
      <c r="C509" s="4" t="s">
        <v>15</v>
      </c>
      <c r="D509" s="10" t="str">
        <f t="shared" si="0"/>
        <v>Learning_Management_System</v>
      </c>
      <c r="E509" s="8" t="s">
        <v>1522</v>
      </c>
      <c r="F509" s="8"/>
    </row>
    <row r="510" spans="1:6" ht="14.6" x14ac:dyDescent="0.4">
      <c r="A510" s="7" t="s">
        <v>584</v>
      </c>
      <c r="B510" s="4" t="s">
        <v>131</v>
      </c>
      <c r="C510" s="4" t="s">
        <v>15</v>
      </c>
      <c r="D510" s="10" t="str">
        <f t="shared" si="0"/>
        <v>Learning_Management_System</v>
      </c>
      <c r="E510" s="8" t="s">
        <v>1522</v>
      </c>
      <c r="F510" s="8"/>
    </row>
    <row r="511" spans="1:6" ht="14.6" x14ac:dyDescent="0.4">
      <c r="A511" s="7" t="s">
        <v>606</v>
      </c>
      <c r="B511" s="4" t="s">
        <v>280</v>
      </c>
      <c r="C511" s="4" t="s">
        <v>15</v>
      </c>
      <c r="D511" s="10" t="str">
        <f t="shared" si="0"/>
        <v>Learning_Management_System</v>
      </c>
      <c r="E511" s="8" t="s">
        <v>1522</v>
      </c>
      <c r="F511" s="8"/>
    </row>
    <row r="512" spans="1:6" ht="14.6" x14ac:dyDescent="0.4">
      <c r="A512" s="7" t="s">
        <v>607</v>
      </c>
      <c r="B512" s="4" t="s">
        <v>372</v>
      </c>
      <c r="C512" s="4" t="s">
        <v>15</v>
      </c>
      <c r="D512" s="10" t="str">
        <f t="shared" si="0"/>
        <v>Learning_Management_System</v>
      </c>
      <c r="E512" s="8" t="s">
        <v>1522</v>
      </c>
      <c r="F512" s="8"/>
    </row>
    <row r="513" spans="1:6" ht="14.6" x14ac:dyDescent="0.4">
      <c r="A513" s="7" t="s">
        <v>610</v>
      </c>
      <c r="B513" s="4" t="s">
        <v>389</v>
      </c>
      <c r="C513" s="4" t="s">
        <v>15</v>
      </c>
      <c r="D513" s="10" t="str">
        <f t="shared" si="0"/>
        <v>Learning_Management_System</v>
      </c>
      <c r="E513" s="8" t="s">
        <v>1522</v>
      </c>
      <c r="F513" s="8"/>
    </row>
    <row r="514" spans="1:6" ht="14.6" x14ac:dyDescent="0.4">
      <c r="A514" s="7" t="s">
        <v>635</v>
      </c>
      <c r="B514" s="4" t="s">
        <v>178</v>
      </c>
      <c r="C514" s="4" t="s">
        <v>15</v>
      </c>
      <c r="D514" s="10" t="str">
        <f t="shared" si="0"/>
        <v>Learning_Management_System</v>
      </c>
      <c r="E514" s="8" t="s">
        <v>1522</v>
      </c>
      <c r="F514" s="8"/>
    </row>
    <row r="515" spans="1:6" ht="14.6" x14ac:dyDescent="0.4">
      <c r="A515" s="7" t="s">
        <v>648</v>
      </c>
      <c r="B515" s="4" t="s">
        <v>649</v>
      </c>
      <c r="C515" s="4" t="s">
        <v>15</v>
      </c>
      <c r="D515" s="10" t="str">
        <f t="shared" si="0"/>
        <v>Learning_Management_System</v>
      </c>
      <c r="E515" s="8" t="s">
        <v>1522</v>
      </c>
      <c r="F515" s="8"/>
    </row>
    <row r="516" spans="1:6" ht="14.6" x14ac:dyDescent="0.4">
      <c r="A516" s="7" t="s">
        <v>660</v>
      </c>
      <c r="B516" s="4" t="s">
        <v>661</v>
      </c>
      <c r="C516" s="4" t="s">
        <v>15</v>
      </c>
      <c r="D516" s="10" t="str">
        <f t="shared" si="0"/>
        <v>Learning_Management_System</v>
      </c>
      <c r="E516" s="8" t="s">
        <v>1522</v>
      </c>
      <c r="F516" s="8"/>
    </row>
    <row r="517" spans="1:6" ht="14.6" x14ac:dyDescent="0.4">
      <c r="A517" s="7" t="s">
        <v>670</v>
      </c>
      <c r="B517" s="4" t="s">
        <v>671</v>
      </c>
      <c r="C517" s="4" t="s">
        <v>15</v>
      </c>
      <c r="D517" s="10" t="str">
        <f t="shared" si="0"/>
        <v>Learning_Management_System</v>
      </c>
      <c r="E517" s="8" t="s">
        <v>1522</v>
      </c>
      <c r="F517" s="8"/>
    </row>
    <row r="518" spans="1:6" ht="14.6" x14ac:dyDescent="0.4">
      <c r="A518" s="7" t="s">
        <v>723</v>
      </c>
      <c r="B518" s="4" t="s">
        <v>724</v>
      </c>
      <c r="C518" s="4" t="s">
        <v>15</v>
      </c>
      <c r="D518" s="10" t="str">
        <f t="shared" si="0"/>
        <v>Learning_Management_System</v>
      </c>
      <c r="E518" s="8" t="s">
        <v>1522</v>
      </c>
      <c r="F518" s="8"/>
    </row>
    <row r="519" spans="1:6" ht="14.6" x14ac:dyDescent="0.4">
      <c r="A519" s="7" t="s">
        <v>759</v>
      </c>
      <c r="B519" s="4" t="s">
        <v>760</v>
      </c>
      <c r="C519" s="4" t="s">
        <v>15</v>
      </c>
      <c r="D519" s="10" t="str">
        <f t="shared" si="0"/>
        <v>Learning_Management_System</v>
      </c>
      <c r="E519" s="8" t="s">
        <v>1522</v>
      </c>
      <c r="F519" s="8"/>
    </row>
    <row r="520" spans="1:6" ht="14.6" x14ac:dyDescent="0.4">
      <c r="A520" s="7" t="s">
        <v>762</v>
      </c>
      <c r="B520" s="4" t="s">
        <v>300</v>
      </c>
      <c r="C520" s="4" t="s">
        <v>15</v>
      </c>
      <c r="D520" s="10" t="str">
        <f t="shared" si="0"/>
        <v>Learning_Management_System</v>
      </c>
      <c r="E520" s="8" t="s">
        <v>1522</v>
      </c>
      <c r="F520" s="8"/>
    </row>
    <row r="521" spans="1:6" ht="14.6" x14ac:dyDescent="0.4">
      <c r="A521" s="7" t="s">
        <v>772</v>
      </c>
      <c r="B521" s="4" t="s">
        <v>195</v>
      </c>
      <c r="C521" s="4" t="s">
        <v>15</v>
      </c>
      <c r="D521" s="10" t="str">
        <f t="shared" si="0"/>
        <v>Learning_Management_System</v>
      </c>
      <c r="E521" s="8" t="s">
        <v>1522</v>
      </c>
      <c r="F521" s="8"/>
    </row>
    <row r="522" spans="1:6" ht="14.6" x14ac:dyDescent="0.4">
      <c r="A522" s="7" t="s">
        <v>784</v>
      </c>
      <c r="B522" s="4" t="s">
        <v>195</v>
      </c>
      <c r="C522" s="4" t="s">
        <v>15</v>
      </c>
      <c r="D522" s="10" t="str">
        <f t="shared" si="0"/>
        <v>Learning_Management_System</v>
      </c>
      <c r="E522" s="8" t="s">
        <v>1522</v>
      </c>
      <c r="F522" s="8"/>
    </row>
    <row r="523" spans="1:6" ht="14.6" x14ac:dyDescent="0.4">
      <c r="A523" s="7" t="s">
        <v>820</v>
      </c>
      <c r="B523" s="4" t="s">
        <v>144</v>
      </c>
      <c r="C523" s="4" t="s">
        <v>15</v>
      </c>
      <c r="D523" s="10" t="str">
        <f t="shared" si="0"/>
        <v>Learning_Management_System</v>
      </c>
      <c r="E523" s="8" t="s">
        <v>1522</v>
      </c>
      <c r="F523" s="8"/>
    </row>
    <row r="524" spans="1:6" ht="14.6" x14ac:dyDescent="0.4">
      <c r="A524" s="7" t="s">
        <v>828</v>
      </c>
      <c r="B524" s="4" t="s">
        <v>451</v>
      </c>
      <c r="C524" s="4" t="s">
        <v>15</v>
      </c>
      <c r="D524" s="10" t="str">
        <f t="shared" si="0"/>
        <v>Learning_Management_System</v>
      </c>
      <c r="E524" s="8" t="s">
        <v>1522</v>
      </c>
      <c r="F524" s="8"/>
    </row>
    <row r="525" spans="1:6" ht="14.6" x14ac:dyDescent="0.4">
      <c r="A525" s="7" t="s">
        <v>860</v>
      </c>
      <c r="B525" s="4" t="s">
        <v>620</v>
      </c>
      <c r="C525" s="4" t="s">
        <v>15</v>
      </c>
      <c r="D525" s="10" t="str">
        <f t="shared" si="0"/>
        <v>Learning_Management_System</v>
      </c>
      <c r="E525" s="8" t="s">
        <v>1522</v>
      </c>
      <c r="F525" s="8"/>
    </row>
    <row r="526" spans="1:6" ht="14.6" x14ac:dyDescent="0.4">
      <c r="A526" s="7" t="s">
        <v>874</v>
      </c>
      <c r="B526" s="4" t="s">
        <v>44</v>
      </c>
      <c r="C526" s="4" t="s">
        <v>15</v>
      </c>
      <c r="D526" s="10" t="str">
        <f t="shared" si="0"/>
        <v>Learning_Management_System</v>
      </c>
      <c r="E526" s="8" t="s">
        <v>1522</v>
      </c>
      <c r="F526" s="8"/>
    </row>
    <row r="527" spans="1:6" ht="14.6" x14ac:dyDescent="0.4">
      <c r="A527" s="7" t="s">
        <v>900</v>
      </c>
      <c r="B527" s="4" t="s">
        <v>154</v>
      </c>
      <c r="C527" s="4" t="s">
        <v>15</v>
      </c>
      <c r="D527" s="10" t="str">
        <f t="shared" si="0"/>
        <v>Learning_Management_System</v>
      </c>
      <c r="E527" s="8" t="s">
        <v>1522</v>
      </c>
      <c r="F527" s="8"/>
    </row>
    <row r="528" spans="1:6" ht="14.6" x14ac:dyDescent="0.4">
      <c r="A528" s="7" t="s">
        <v>915</v>
      </c>
      <c r="B528" s="4" t="s">
        <v>300</v>
      </c>
      <c r="C528" s="4" t="s">
        <v>15</v>
      </c>
      <c r="D528" s="10" t="str">
        <f t="shared" si="0"/>
        <v>Learning_Management_System</v>
      </c>
      <c r="E528" s="8" t="s">
        <v>1522</v>
      </c>
      <c r="F528" s="8"/>
    </row>
    <row r="529" spans="1:6" ht="14.6" x14ac:dyDescent="0.4">
      <c r="A529" s="7" t="s">
        <v>925</v>
      </c>
      <c r="B529" s="4" t="s">
        <v>682</v>
      </c>
      <c r="C529" s="4" t="s">
        <v>15</v>
      </c>
      <c r="D529" s="10" t="str">
        <f t="shared" si="0"/>
        <v>Learning_Management_System</v>
      </c>
      <c r="E529" s="8" t="s">
        <v>1522</v>
      </c>
      <c r="F529" s="8"/>
    </row>
    <row r="530" spans="1:6" ht="14.6" x14ac:dyDescent="0.4">
      <c r="A530" s="7" t="s">
        <v>933</v>
      </c>
      <c r="B530" s="4" t="s">
        <v>11</v>
      </c>
      <c r="C530" s="4" t="s">
        <v>15</v>
      </c>
      <c r="D530" s="10" t="str">
        <f t="shared" si="0"/>
        <v>Learning_Management_System</v>
      </c>
      <c r="E530" s="8" t="s">
        <v>1522</v>
      </c>
      <c r="F530" s="8"/>
    </row>
    <row r="531" spans="1:6" ht="14.6" x14ac:dyDescent="0.4">
      <c r="A531" s="7" t="s">
        <v>947</v>
      </c>
      <c r="B531" s="4" t="s">
        <v>116</v>
      </c>
      <c r="C531" s="4" t="s">
        <v>15</v>
      </c>
      <c r="D531" s="10" t="str">
        <f t="shared" si="0"/>
        <v>Learning_Management_System</v>
      </c>
      <c r="E531" s="8" t="s">
        <v>1522</v>
      </c>
      <c r="F531" s="8"/>
    </row>
    <row r="532" spans="1:6" ht="14.6" x14ac:dyDescent="0.4">
      <c r="A532" s="7" t="s">
        <v>950</v>
      </c>
      <c r="B532" s="4" t="s">
        <v>276</v>
      </c>
      <c r="C532" s="4" t="s">
        <v>15</v>
      </c>
      <c r="D532" s="10" t="str">
        <f t="shared" si="0"/>
        <v>Learning_Management_System</v>
      </c>
      <c r="E532" s="8" t="s">
        <v>1522</v>
      </c>
      <c r="F532" s="8"/>
    </row>
    <row r="533" spans="1:6" ht="14.6" x14ac:dyDescent="0.4">
      <c r="A533" s="7" t="s">
        <v>954</v>
      </c>
      <c r="B533" s="4" t="s">
        <v>955</v>
      </c>
      <c r="C533" s="4" t="s">
        <v>15</v>
      </c>
      <c r="D533" s="10" t="str">
        <f t="shared" si="0"/>
        <v>Learning_Management_System</v>
      </c>
      <c r="E533" s="8" t="s">
        <v>1522</v>
      </c>
      <c r="F533" s="8"/>
    </row>
    <row r="534" spans="1:6" ht="14.6" x14ac:dyDescent="0.4">
      <c r="A534" s="7" t="s">
        <v>963</v>
      </c>
      <c r="B534" s="4" t="s">
        <v>637</v>
      </c>
      <c r="C534" s="4" t="s">
        <v>15</v>
      </c>
      <c r="D534" s="10" t="str">
        <f t="shared" si="0"/>
        <v>Learning_Management_System</v>
      </c>
      <c r="E534" s="8" t="s">
        <v>1522</v>
      </c>
      <c r="F534" s="8"/>
    </row>
    <row r="535" spans="1:6" ht="14.6" x14ac:dyDescent="0.4">
      <c r="A535" s="7" t="s">
        <v>1001</v>
      </c>
      <c r="B535" s="4" t="s">
        <v>345</v>
      </c>
      <c r="C535" s="4" t="s">
        <v>15</v>
      </c>
      <c r="D535" s="10" t="str">
        <f t="shared" si="0"/>
        <v>Learning_Management_System</v>
      </c>
      <c r="E535" s="8" t="s">
        <v>1522</v>
      </c>
      <c r="F535" s="8"/>
    </row>
    <row r="536" spans="1:6" ht="14.6" x14ac:dyDescent="0.4">
      <c r="A536" s="7" t="s">
        <v>1066</v>
      </c>
      <c r="B536" s="4" t="s">
        <v>1067</v>
      </c>
      <c r="C536" s="4" t="s">
        <v>15</v>
      </c>
      <c r="D536" s="10" t="str">
        <f t="shared" si="0"/>
        <v>Learning_Management_System</v>
      </c>
      <c r="E536" s="8" t="s">
        <v>1522</v>
      </c>
      <c r="F536" s="8"/>
    </row>
    <row r="537" spans="1:6" ht="14.6" x14ac:dyDescent="0.4">
      <c r="A537" s="7" t="s">
        <v>1072</v>
      </c>
      <c r="B537" s="4" t="s">
        <v>1051</v>
      </c>
      <c r="C537" s="4" t="s">
        <v>15</v>
      </c>
      <c r="D537" s="10" t="str">
        <f t="shared" si="0"/>
        <v>Learning_Management_System</v>
      </c>
      <c r="E537" s="8" t="s">
        <v>1522</v>
      </c>
      <c r="F537" s="8"/>
    </row>
    <row r="538" spans="1:6" ht="14.6" x14ac:dyDescent="0.4">
      <c r="A538" s="7" t="s">
        <v>1099</v>
      </c>
      <c r="B538" s="4" t="s">
        <v>1054</v>
      </c>
      <c r="C538" s="4" t="s">
        <v>15</v>
      </c>
      <c r="D538" s="10" t="str">
        <f t="shared" si="0"/>
        <v>Learning_Management_System</v>
      </c>
      <c r="E538" s="8" t="s">
        <v>1522</v>
      </c>
      <c r="F538" s="8"/>
    </row>
    <row r="539" spans="1:6" ht="14.6" x14ac:dyDescent="0.4">
      <c r="A539" s="7" t="s">
        <v>1108</v>
      </c>
      <c r="B539" s="4" t="s">
        <v>1085</v>
      </c>
      <c r="C539" s="4" t="s">
        <v>15</v>
      </c>
      <c r="D539" s="10" t="str">
        <f t="shared" si="0"/>
        <v>Learning_Management_System</v>
      </c>
      <c r="E539" s="8" t="s">
        <v>1522</v>
      </c>
      <c r="F539" s="8"/>
    </row>
    <row r="540" spans="1:6" ht="14.6" x14ac:dyDescent="0.4">
      <c r="A540" s="7" t="s">
        <v>1129</v>
      </c>
      <c r="B540" s="4" t="s">
        <v>1102</v>
      </c>
      <c r="C540" s="4" t="s">
        <v>15</v>
      </c>
      <c r="D540" s="10" t="str">
        <f t="shared" si="0"/>
        <v>Learning_Management_System</v>
      </c>
      <c r="E540" s="8" t="s">
        <v>1522</v>
      </c>
      <c r="F540" s="8"/>
    </row>
    <row r="541" spans="1:6" ht="14.6" x14ac:dyDescent="0.4">
      <c r="A541" s="7" t="s">
        <v>1136</v>
      </c>
      <c r="B541" s="4" t="s">
        <v>1074</v>
      </c>
      <c r="C541" s="4" t="s">
        <v>15</v>
      </c>
      <c r="D541" s="10" t="str">
        <f t="shared" si="0"/>
        <v>Learning_Management_System</v>
      </c>
      <c r="E541" s="8" t="s">
        <v>1522</v>
      </c>
      <c r="F541" s="8"/>
    </row>
    <row r="542" spans="1:6" ht="14.6" x14ac:dyDescent="0.4">
      <c r="A542" s="7" t="s">
        <v>1137</v>
      </c>
      <c r="B542" s="4" t="s">
        <v>1033</v>
      </c>
      <c r="C542" s="4" t="s">
        <v>15</v>
      </c>
      <c r="D542" s="10" t="str">
        <f t="shared" si="0"/>
        <v>Learning_Management_System</v>
      </c>
      <c r="E542" s="8" t="s">
        <v>1522</v>
      </c>
      <c r="F542" s="8"/>
    </row>
    <row r="543" spans="1:6" ht="14.6" x14ac:dyDescent="0.4">
      <c r="A543" s="7" t="s">
        <v>1155</v>
      </c>
      <c r="B543" s="4" t="s">
        <v>1156</v>
      </c>
      <c r="C543" s="4" t="s">
        <v>15</v>
      </c>
      <c r="D543" s="10" t="str">
        <f t="shared" si="0"/>
        <v>Learning_Management_System</v>
      </c>
      <c r="E543" s="8" t="s">
        <v>1522</v>
      </c>
      <c r="F543" s="8"/>
    </row>
    <row r="544" spans="1:6" ht="14.6" x14ac:dyDescent="0.4">
      <c r="A544" s="7" t="s">
        <v>1163</v>
      </c>
      <c r="B544" s="4" t="s">
        <v>1156</v>
      </c>
      <c r="C544" s="4" t="s">
        <v>15</v>
      </c>
      <c r="D544" s="10" t="str">
        <f t="shared" si="0"/>
        <v>Learning_Management_System</v>
      </c>
      <c r="E544" s="8" t="s">
        <v>1522</v>
      </c>
      <c r="F544" s="8"/>
    </row>
    <row r="545" spans="1:6" ht="14.6" x14ac:dyDescent="0.4">
      <c r="A545" s="7" t="s">
        <v>1189</v>
      </c>
      <c r="B545" s="4" t="s">
        <v>1167</v>
      </c>
      <c r="C545" s="4" t="s">
        <v>15</v>
      </c>
      <c r="D545" s="10" t="str">
        <f t="shared" si="0"/>
        <v>Learning_Management_System</v>
      </c>
      <c r="E545" s="8" t="s">
        <v>1522</v>
      </c>
      <c r="F545" s="8"/>
    </row>
    <row r="546" spans="1:6" ht="14.6" x14ac:dyDescent="0.4">
      <c r="A546" s="7" t="s">
        <v>1201</v>
      </c>
      <c r="B546" s="4" t="s">
        <v>1156</v>
      </c>
      <c r="C546" s="4" t="s">
        <v>15</v>
      </c>
      <c r="D546" s="10" t="str">
        <f t="shared" si="0"/>
        <v>Learning_Management_System</v>
      </c>
      <c r="E546" s="8" t="s">
        <v>1522</v>
      </c>
      <c r="F546" s="8"/>
    </row>
    <row r="547" spans="1:6" ht="14.6" x14ac:dyDescent="0.4">
      <c r="A547" s="7" t="s">
        <v>1206</v>
      </c>
      <c r="B547" s="4" t="s">
        <v>1158</v>
      </c>
      <c r="C547" s="4" t="s">
        <v>15</v>
      </c>
      <c r="D547" s="10" t="str">
        <f t="shared" si="0"/>
        <v>Learning_Management_System</v>
      </c>
      <c r="E547" s="8" t="s">
        <v>1522</v>
      </c>
      <c r="F547" s="8"/>
    </row>
    <row r="548" spans="1:6" ht="14.6" x14ac:dyDescent="0.4">
      <c r="A548" s="7" t="s">
        <v>1223</v>
      </c>
      <c r="B548" s="4" t="s">
        <v>1145</v>
      </c>
      <c r="C548" s="4" t="s">
        <v>15</v>
      </c>
      <c r="D548" s="10" t="str">
        <f t="shared" si="0"/>
        <v>Learning_Management_System</v>
      </c>
      <c r="E548" s="8" t="s">
        <v>1522</v>
      </c>
      <c r="F548" s="8"/>
    </row>
    <row r="549" spans="1:6" ht="14.6" x14ac:dyDescent="0.4">
      <c r="A549" s="7" t="s">
        <v>1226</v>
      </c>
      <c r="B549" s="4" t="s">
        <v>1169</v>
      </c>
      <c r="C549" s="4" t="s">
        <v>15</v>
      </c>
      <c r="D549" s="10" t="str">
        <f t="shared" si="0"/>
        <v>Learning_Management_System</v>
      </c>
      <c r="E549" s="8" t="s">
        <v>1522</v>
      </c>
      <c r="F549" s="8"/>
    </row>
    <row r="550" spans="1:6" ht="14.6" x14ac:dyDescent="0.4">
      <c r="A550" s="7" t="s">
        <v>1243</v>
      </c>
      <c r="B550" s="4" t="s">
        <v>1191</v>
      </c>
      <c r="C550" s="4" t="s">
        <v>15</v>
      </c>
      <c r="D550" s="10" t="str">
        <f t="shared" si="0"/>
        <v>Learning_Management_System</v>
      </c>
      <c r="E550" s="8" t="s">
        <v>1522</v>
      </c>
      <c r="F550" s="8"/>
    </row>
    <row r="551" spans="1:6" ht="14.6" x14ac:dyDescent="0.4">
      <c r="A551" s="7" t="s">
        <v>1260</v>
      </c>
      <c r="B551" s="4" t="s">
        <v>1256</v>
      </c>
      <c r="C551" s="4" t="s">
        <v>15</v>
      </c>
      <c r="D551" s="10" t="str">
        <f t="shared" si="0"/>
        <v>Learning_Management_System</v>
      </c>
      <c r="E551" s="8" t="s">
        <v>1522</v>
      </c>
      <c r="F551" s="8"/>
    </row>
    <row r="552" spans="1:6" ht="14.6" x14ac:dyDescent="0.4">
      <c r="A552" s="7" t="s">
        <v>1275</v>
      </c>
      <c r="B552" s="4" t="s">
        <v>1258</v>
      </c>
      <c r="C552" s="4" t="s">
        <v>15</v>
      </c>
      <c r="D552" s="10" t="str">
        <f t="shared" si="0"/>
        <v>Learning_Management_System</v>
      </c>
      <c r="E552" s="8" t="s">
        <v>1522</v>
      </c>
      <c r="F552" s="8"/>
    </row>
    <row r="553" spans="1:6" ht="14.6" x14ac:dyDescent="0.4">
      <c r="A553" s="7" t="s">
        <v>1302</v>
      </c>
      <c r="B553" s="4" t="s">
        <v>1258</v>
      </c>
      <c r="C553" s="4" t="s">
        <v>15</v>
      </c>
      <c r="D553" s="10" t="str">
        <f t="shared" si="0"/>
        <v>Learning_Management_System</v>
      </c>
      <c r="E553" s="8" t="s">
        <v>1522</v>
      </c>
      <c r="F553" s="8"/>
    </row>
    <row r="554" spans="1:6" ht="14.6" x14ac:dyDescent="0.4">
      <c r="A554" s="7" t="s">
        <v>1307</v>
      </c>
      <c r="B554" s="4" t="s">
        <v>1258</v>
      </c>
      <c r="C554" s="4" t="s">
        <v>15</v>
      </c>
      <c r="D554" s="10" t="str">
        <f t="shared" si="0"/>
        <v>Learning_Management_System</v>
      </c>
      <c r="E554" s="8" t="s">
        <v>1522</v>
      </c>
      <c r="F554" s="8"/>
    </row>
    <row r="555" spans="1:6" ht="14.6" x14ac:dyDescent="0.4">
      <c r="A555" s="7" t="s">
        <v>1318</v>
      </c>
      <c r="B555" s="4" t="s">
        <v>1256</v>
      </c>
      <c r="C555" s="4" t="s">
        <v>15</v>
      </c>
      <c r="D555" s="10" t="str">
        <f t="shared" si="0"/>
        <v>Learning_Management_System</v>
      </c>
      <c r="E555" s="8" t="s">
        <v>1522</v>
      </c>
      <c r="F555" s="8"/>
    </row>
    <row r="556" spans="1:6" ht="14.6" x14ac:dyDescent="0.4">
      <c r="A556" s="7" t="s">
        <v>1366</v>
      </c>
      <c r="B556" s="4" t="s">
        <v>1349</v>
      </c>
      <c r="C556" s="4" t="s">
        <v>15</v>
      </c>
      <c r="D556" s="10" t="str">
        <f t="shared" si="0"/>
        <v>Learning_Management_System</v>
      </c>
      <c r="E556" s="8" t="s">
        <v>1522</v>
      </c>
      <c r="F556" s="8"/>
    </row>
    <row r="557" spans="1:6" ht="14.6" x14ac:dyDescent="0.4">
      <c r="A557" s="7" t="s">
        <v>1389</v>
      </c>
      <c r="B557" s="4" t="s">
        <v>1357</v>
      </c>
      <c r="C557" s="4" t="s">
        <v>15</v>
      </c>
      <c r="D557" s="10" t="str">
        <f t="shared" si="0"/>
        <v>Learning_Management_System</v>
      </c>
      <c r="E557" s="8" t="s">
        <v>1522</v>
      </c>
      <c r="F557" s="8"/>
    </row>
    <row r="558" spans="1:6" ht="14.6" x14ac:dyDescent="0.4">
      <c r="A558" s="7" t="s">
        <v>1411</v>
      </c>
      <c r="B558" s="4" t="s">
        <v>1347</v>
      </c>
      <c r="C558" s="4" t="s">
        <v>15</v>
      </c>
      <c r="D558" s="10" t="str">
        <f t="shared" si="0"/>
        <v>Learning_Management_System</v>
      </c>
      <c r="E558" s="8" t="s">
        <v>1522</v>
      </c>
      <c r="F558" s="8"/>
    </row>
    <row r="559" spans="1:6" ht="14.6" x14ac:dyDescent="0.4">
      <c r="A559" s="7" t="s">
        <v>1414</v>
      </c>
      <c r="B559" s="4" t="s">
        <v>1386</v>
      </c>
      <c r="C559" s="4" t="s">
        <v>15</v>
      </c>
      <c r="D559" s="10" t="str">
        <f t="shared" si="0"/>
        <v>Learning_Management_System</v>
      </c>
      <c r="E559" s="8" t="s">
        <v>1522</v>
      </c>
      <c r="F559" s="8"/>
    </row>
    <row r="560" spans="1:6" ht="14.6" x14ac:dyDescent="0.4">
      <c r="A560" s="7" t="s">
        <v>1426</v>
      </c>
      <c r="B560" s="4" t="s">
        <v>1427</v>
      </c>
      <c r="C560" s="4" t="s">
        <v>15</v>
      </c>
      <c r="D560" s="10" t="str">
        <f t="shared" si="0"/>
        <v>Learning_Management_System</v>
      </c>
      <c r="E560" s="8" t="s">
        <v>1522</v>
      </c>
      <c r="F560" s="8"/>
    </row>
    <row r="561" spans="1:6" ht="14.6" x14ac:dyDescent="0.4">
      <c r="A561" s="7" t="s">
        <v>1443</v>
      </c>
      <c r="B561" s="4" t="s">
        <v>1429</v>
      </c>
      <c r="C561" s="4" t="s">
        <v>15</v>
      </c>
      <c r="D561" s="10" t="str">
        <f t="shared" si="0"/>
        <v>Learning_Management_System</v>
      </c>
      <c r="E561" s="8" t="s">
        <v>1522</v>
      </c>
      <c r="F561" s="8"/>
    </row>
    <row r="562" spans="1:6" ht="14.6" x14ac:dyDescent="0.4">
      <c r="A562" s="7" t="s">
        <v>1464</v>
      </c>
      <c r="B562" s="4" t="s">
        <v>1429</v>
      </c>
      <c r="C562" s="4" t="s">
        <v>15</v>
      </c>
      <c r="D562" s="10" t="str">
        <f t="shared" si="0"/>
        <v>Learning_Management_System</v>
      </c>
      <c r="E562" s="8" t="s">
        <v>1522</v>
      </c>
      <c r="F562" s="8"/>
    </row>
    <row r="563" spans="1:6" ht="14.6" x14ac:dyDescent="0.4">
      <c r="A563" s="7" t="s">
        <v>1474</v>
      </c>
      <c r="B563" s="4" t="s">
        <v>1475</v>
      </c>
      <c r="C563" s="4" t="s">
        <v>15</v>
      </c>
      <c r="D563" s="10" t="str">
        <f t="shared" si="0"/>
        <v>Learning_Management_System</v>
      </c>
      <c r="E563" s="8" t="s">
        <v>1522</v>
      </c>
      <c r="F563" s="8"/>
    </row>
    <row r="564" spans="1:6" ht="14.6" x14ac:dyDescent="0.4">
      <c r="A564" s="7" t="s">
        <v>1489</v>
      </c>
      <c r="B564" s="4" t="s">
        <v>1478</v>
      </c>
      <c r="C564" s="4" t="s">
        <v>15</v>
      </c>
      <c r="D564" s="10" t="str">
        <f t="shared" si="0"/>
        <v>Learning_Management_System</v>
      </c>
      <c r="E564" s="8" t="s">
        <v>1522</v>
      </c>
      <c r="F564" s="8"/>
    </row>
    <row r="565" spans="1:6" ht="14.6" x14ac:dyDescent="0.4">
      <c r="A565" s="7" t="s">
        <v>1492</v>
      </c>
      <c r="B565" s="4" t="s">
        <v>1475</v>
      </c>
      <c r="C565" s="4" t="s">
        <v>15</v>
      </c>
      <c r="D565" s="10" t="str">
        <f t="shared" si="0"/>
        <v>Learning_Management_System</v>
      </c>
      <c r="E565" s="8" t="s">
        <v>1522</v>
      </c>
      <c r="F565" s="8"/>
    </row>
    <row r="566" spans="1:6" ht="14.6" x14ac:dyDescent="0.4">
      <c r="A566" s="7" t="s">
        <v>22</v>
      </c>
      <c r="B566" s="4" t="s">
        <v>23</v>
      </c>
      <c r="C566" s="4" t="s">
        <v>24</v>
      </c>
      <c r="D566" s="10" t="str">
        <f t="shared" si="0"/>
        <v>Logistics_Platform</v>
      </c>
      <c r="E566" s="8" t="s">
        <v>1522</v>
      </c>
      <c r="F566" s="8" t="s">
        <v>1543</v>
      </c>
    </row>
    <row r="567" spans="1:6" ht="14.6" x14ac:dyDescent="0.4">
      <c r="A567" s="7" t="s">
        <v>85</v>
      </c>
      <c r="B567" s="4" t="s">
        <v>86</v>
      </c>
      <c r="C567" s="4" t="s">
        <v>24</v>
      </c>
      <c r="D567" s="10" t="str">
        <f t="shared" si="0"/>
        <v>Logistics_Platform</v>
      </c>
      <c r="E567" s="8" t="s">
        <v>1522</v>
      </c>
      <c r="F567" s="8"/>
    </row>
    <row r="568" spans="1:6" ht="14.6" x14ac:dyDescent="0.4">
      <c r="A568" s="7" t="s">
        <v>196</v>
      </c>
      <c r="B568" s="4" t="s">
        <v>197</v>
      </c>
      <c r="C568" s="4" t="s">
        <v>24</v>
      </c>
      <c r="D568" s="10" t="str">
        <f t="shared" si="0"/>
        <v>Logistics_Platform</v>
      </c>
      <c r="E568" s="8" t="s">
        <v>1522</v>
      </c>
      <c r="F568" s="8"/>
    </row>
    <row r="569" spans="1:6" ht="14.6" x14ac:dyDescent="0.4">
      <c r="A569" s="7" t="s">
        <v>210</v>
      </c>
      <c r="B569" s="4" t="s">
        <v>211</v>
      </c>
      <c r="C569" s="4" t="s">
        <v>24</v>
      </c>
      <c r="D569" s="10" t="str">
        <f t="shared" si="0"/>
        <v>Logistics_Platform</v>
      </c>
      <c r="E569" s="8" t="s">
        <v>1522</v>
      </c>
      <c r="F569" s="8"/>
    </row>
    <row r="570" spans="1:6" ht="14.6" x14ac:dyDescent="0.4">
      <c r="A570" s="7" t="s">
        <v>216</v>
      </c>
      <c r="B570" s="4" t="s">
        <v>70</v>
      </c>
      <c r="C570" s="4" t="s">
        <v>24</v>
      </c>
      <c r="D570" s="10" t="str">
        <f t="shared" si="0"/>
        <v>Logistics_Platform</v>
      </c>
      <c r="E570" s="8" t="s">
        <v>1522</v>
      </c>
      <c r="F570" s="8"/>
    </row>
    <row r="571" spans="1:6" ht="14.6" x14ac:dyDescent="0.4">
      <c r="A571" s="7" t="s">
        <v>321</v>
      </c>
      <c r="B571" s="4" t="s">
        <v>322</v>
      </c>
      <c r="C571" s="4" t="s">
        <v>24</v>
      </c>
      <c r="D571" s="10" t="str">
        <f t="shared" si="0"/>
        <v>Logistics_Platform</v>
      </c>
      <c r="E571" s="8" t="s">
        <v>1522</v>
      </c>
      <c r="F571" s="8"/>
    </row>
    <row r="572" spans="1:6" ht="14.6" x14ac:dyDescent="0.4">
      <c r="A572" s="7" t="s">
        <v>330</v>
      </c>
      <c r="B572" s="4" t="s">
        <v>20</v>
      </c>
      <c r="C572" s="4" t="s">
        <v>24</v>
      </c>
      <c r="D572" s="10" t="str">
        <f t="shared" si="0"/>
        <v>Logistics_Platform</v>
      </c>
      <c r="E572" s="8" t="s">
        <v>1522</v>
      </c>
      <c r="F572" s="8"/>
    </row>
    <row r="573" spans="1:6" ht="14.6" x14ac:dyDescent="0.4">
      <c r="A573" s="7" t="s">
        <v>344</v>
      </c>
      <c r="B573" s="4" t="s">
        <v>345</v>
      </c>
      <c r="C573" s="4" t="s">
        <v>24</v>
      </c>
      <c r="D573" s="10" t="str">
        <f t="shared" si="0"/>
        <v>Logistics_Platform</v>
      </c>
      <c r="E573" s="8" t="s">
        <v>1522</v>
      </c>
      <c r="F573" s="8"/>
    </row>
    <row r="574" spans="1:6" ht="14.6" x14ac:dyDescent="0.4">
      <c r="A574" s="7" t="s">
        <v>358</v>
      </c>
      <c r="B574" s="4" t="s">
        <v>359</v>
      </c>
      <c r="C574" s="4" t="s">
        <v>24</v>
      </c>
      <c r="D574" s="10" t="str">
        <f t="shared" si="0"/>
        <v>Logistics_Platform</v>
      </c>
      <c r="E574" s="8" t="s">
        <v>1522</v>
      </c>
      <c r="F574" s="8"/>
    </row>
    <row r="575" spans="1:6" ht="14.6" x14ac:dyDescent="0.4">
      <c r="A575" s="7" t="s">
        <v>366</v>
      </c>
      <c r="B575" s="4" t="s">
        <v>367</v>
      </c>
      <c r="C575" s="4" t="s">
        <v>24</v>
      </c>
      <c r="D575" s="10" t="str">
        <f t="shared" si="0"/>
        <v>Logistics_Platform</v>
      </c>
      <c r="E575" s="8" t="s">
        <v>1522</v>
      </c>
      <c r="F575" s="8"/>
    </row>
    <row r="576" spans="1:6" ht="14.6" x14ac:dyDescent="0.4">
      <c r="A576" s="7" t="s">
        <v>399</v>
      </c>
      <c r="B576" s="4" t="s">
        <v>80</v>
      </c>
      <c r="C576" s="4" t="s">
        <v>24</v>
      </c>
      <c r="D576" s="10" t="str">
        <f t="shared" si="0"/>
        <v>Logistics_Platform</v>
      </c>
      <c r="E576" s="8" t="s">
        <v>1522</v>
      </c>
      <c r="F576" s="8"/>
    </row>
    <row r="577" spans="1:6" ht="14.6" x14ac:dyDescent="0.4">
      <c r="A577" s="7" t="s">
        <v>414</v>
      </c>
      <c r="B577" s="4" t="s">
        <v>151</v>
      </c>
      <c r="C577" s="4" t="s">
        <v>24</v>
      </c>
      <c r="D577" s="10" t="str">
        <f t="shared" si="0"/>
        <v>Logistics_Platform</v>
      </c>
      <c r="E577" s="8" t="s">
        <v>1522</v>
      </c>
      <c r="F577" s="8"/>
    </row>
    <row r="578" spans="1:6" ht="14.6" x14ac:dyDescent="0.4">
      <c r="A578" s="7" t="s">
        <v>415</v>
      </c>
      <c r="B578" s="4" t="s">
        <v>284</v>
      </c>
      <c r="C578" s="4" t="s">
        <v>24</v>
      </c>
      <c r="D578" s="10" t="str">
        <f t="shared" si="0"/>
        <v>Logistics_Platform</v>
      </c>
      <c r="E578" s="8" t="s">
        <v>1522</v>
      </c>
      <c r="F578" s="8"/>
    </row>
    <row r="579" spans="1:6" ht="14.6" x14ac:dyDescent="0.4">
      <c r="A579" s="7" t="s">
        <v>429</v>
      </c>
      <c r="B579" s="4" t="s">
        <v>430</v>
      </c>
      <c r="C579" s="4" t="s">
        <v>24</v>
      </c>
      <c r="D579" s="10" t="str">
        <f t="shared" si="0"/>
        <v>Logistics_Platform</v>
      </c>
      <c r="E579" s="8" t="s">
        <v>1522</v>
      </c>
      <c r="F579" s="8"/>
    </row>
    <row r="580" spans="1:6" ht="14.6" x14ac:dyDescent="0.4">
      <c r="A580" s="7" t="s">
        <v>437</v>
      </c>
      <c r="B580" s="4" t="s">
        <v>363</v>
      </c>
      <c r="C580" s="4" t="s">
        <v>24</v>
      </c>
      <c r="D580" s="10" t="str">
        <f t="shared" si="0"/>
        <v>Logistics_Platform</v>
      </c>
      <c r="E580" s="8" t="s">
        <v>1522</v>
      </c>
      <c r="F580" s="8"/>
    </row>
    <row r="581" spans="1:6" ht="14.6" x14ac:dyDescent="0.4">
      <c r="A581" s="7" t="s">
        <v>461</v>
      </c>
      <c r="B581" s="4" t="s">
        <v>184</v>
      </c>
      <c r="C581" s="4" t="s">
        <v>24</v>
      </c>
      <c r="D581" s="10" t="str">
        <f t="shared" si="0"/>
        <v>Logistics_Platform</v>
      </c>
      <c r="E581" s="8" t="s">
        <v>1522</v>
      </c>
      <c r="F581" s="8"/>
    </row>
    <row r="582" spans="1:6" ht="14.6" x14ac:dyDescent="0.4">
      <c r="A582" s="7" t="s">
        <v>468</v>
      </c>
      <c r="B582" s="4" t="s">
        <v>426</v>
      </c>
      <c r="C582" s="4" t="s">
        <v>24</v>
      </c>
      <c r="D582" s="10" t="str">
        <f t="shared" si="0"/>
        <v>Logistics_Platform</v>
      </c>
      <c r="E582" s="8" t="s">
        <v>1522</v>
      </c>
      <c r="F582" s="8"/>
    </row>
    <row r="583" spans="1:6" ht="14.6" x14ac:dyDescent="0.4">
      <c r="A583" s="7" t="s">
        <v>477</v>
      </c>
      <c r="B583" s="4" t="s">
        <v>74</v>
      </c>
      <c r="C583" s="4" t="s">
        <v>24</v>
      </c>
      <c r="D583" s="10" t="str">
        <f t="shared" si="0"/>
        <v>Logistics_Platform</v>
      </c>
      <c r="E583" s="8" t="s">
        <v>1522</v>
      </c>
      <c r="F583" s="8"/>
    </row>
    <row r="584" spans="1:6" ht="14.6" x14ac:dyDescent="0.4">
      <c r="A584" s="7" t="s">
        <v>502</v>
      </c>
      <c r="B584" s="4" t="s">
        <v>322</v>
      </c>
      <c r="C584" s="4" t="s">
        <v>24</v>
      </c>
      <c r="D584" s="10" t="str">
        <f t="shared" si="0"/>
        <v>Logistics_Platform</v>
      </c>
      <c r="E584" s="8" t="s">
        <v>1522</v>
      </c>
      <c r="F584" s="8"/>
    </row>
    <row r="585" spans="1:6" ht="14.6" x14ac:dyDescent="0.4">
      <c r="A585" s="7" t="s">
        <v>507</v>
      </c>
      <c r="B585" s="4" t="s">
        <v>176</v>
      </c>
      <c r="C585" s="4" t="s">
        <v>24</v>
      </c>
      <c r="D585" s="10" t="str">
        <f t="shared" si="0"/>
        <v>Logistics_Platform</v>
      </c>
      <c r="E585" s="8" t="s">
        <v>1522</v>
      </c>
      <c r="F585" s="8"/>
    </row>
    <row r="586" spans="1:6" ht="14.6" x14ac:dyDescent="0.4">
      <c r="A586" s="7" t="s">
        <v>582</v>
      </c>
      <c r="B586" s="4" t="s">
        <v>583</v>
      </c>
      <c r="C586" s="4" t="s">
        <v>24</v>
      </c>
      <c r="D586" s="10" t="str">
        <f t="shared" si="0"/>
        <v>Logistics_Platform</v>
      </c>
      <c r="E586" s="8" t="s">
        <v>1522</v>
      </c>
      <c r="F586" s="8"/>
    </row>
    <row r="587" spans="1:6" ht="14.6" x14ac:dyDescent="0.4">
      <c r="A587" s="7" t="s">
        <v>609</v>
      </c>
      <c r="B587" s="4" t="s">
        <v>17</v>
      </c>
      <c r="C587" s="4" t="s">
        <v>24</v>
      </c>
      <c r="D587" s="10" t="str">
        <f t="shared" si="0"/>
        <v>Logistics_Platform</v>
      </c>
      <c r="E587" s="8" t="s">
        <v>1522</v>
      </c>
      <c r="F587" s="8"/>
    </row>
    <row r="588" spans="1:6" ht="14.6" x14ac:dyDescent="0.4">
      <c r="A588" s="7" t="s">
        <v>621</v>
      </c>
      <c r="B588" s="4" t="s">
        <v>444</v>
      </c>
      <c r="C588" s="4" t="s">
        <v>24</v>
      </c>
      <c r="D588" s="10" t="str">
        <f t="shared" si="0"/>
        <v>Logistics_Platform</v>
      </c>
      <c r="E588" s="8" t="s">
        <v>1522</v>
      </c>
      <c r="F588" s="8"/>
    </row>
    <row r="589" spans="1:6" ht="14.6" x14ac:dyDescent="0.4">
      <c r="A589" s="7" t="s">
        <v>624</v>
      </c>
      <c r="B589" s="4" t="s">
        <v>383</v>
      </c>
      <c r="C589" s="4" t="s">
        <v>24</v>
      </c>
      <c r="D589" s="10" t="str">
        <f t="shared" si="0"/>
        <v>Logistics_Platform</v>
      </c>
      <c r="E589" s="8" t="s">
        <v>1522</v>
      </c>
      <c r="F589" s="8"/>
    </row>
    <row r="590" spans="1:6" ht="14.6" x14ac:dyDescent="0.4">
      <c r="A590" s="7" t="s">
        <v>706</v>
      </c>
      <c r="B590" s="4" t="s">
        <v>707</v>
      </c>
      <c r="C590" s="4" t="s">
        <v>24</v>
      </c>
      <c r="D590" s="10" t="str">
        <f t="shared" si="0"/>
        <v>Logistics_Platform</v>
      </c>
      <c r="E590" s="8" t="s">
        <v>1522</v>
      </c>
      <c r="F590" s="8"/>
    </row>
    <row r="591" spans="1:6" ht="14.6" x14ac:dyDescent="0.4">
      <c r="A591" s="7" t="s">
        <v>741</v>
      </c>
      <c r="B591" s="4" t="s">
        <v>31</v>
      </c>
      <c r="C591" s="4" t="s">
        <v>24</v>
      </c>
      <c r="D591" s="10" t="str">
        <f t="shared" si="0"/>
        <v>Logistics_Platform</v>
      </c>
      <c r="E591" s="8" t="s">
        <v>1522</v>
      </c>
      <c r="F591" s="8"/>
    </row>
    <row r="592" spans="1:6" ht="14.6" x14ac:dyDescent="0.4">
      <c r="A592" s="7" t="s">
        <v>754</v>
      </c>
      <c r="B592" s="4" t="s">
        <v>300</v>
      </c>
      <c r="C592" s="4" t="s">
        <v>24</v>
      </c>
      <c r="D592" s="10" t="str">
        <f t="shared" si="0"/>
        <v>Logistics_Platform</v>
      </c>
      <c r="E592" s="8" t="s">
        <v>1522</v>
      </c>
      <c r="F592" s="8"/>
    </row>
    <row r="593" spans="1:6" ht="14.6" x14ac:dyDescent="0.4">
      <c r="A593" s="7" t="s">
        <v>782</v>
      </c>
      <c r="B593" s="4" t="s">
        <v>356</v>
      </c>
      <c r="C593" s="4" t="s">
        <v>24</v>
      </c>
      <c r="D593" s="10" t="str">
        <f t="shared" si="0"/>
        <v>Logistics_Platform</v>
      </c>
      <c r="E593" s="8" t="s">
        <v>1522</v>
      </c>
      <c r="F593" s="8"/>
    </row>
    <row r="594" spans="1:6" ht="14.6" x14ac:dyDescent="0.4">
      <c r="A594" s="7" t="s">
        <v>803</v>
      </c>
      <c r="B594" s="4" t="s">
        <v>804</v>
      </c>
      <c r="C594" s="4" t="s">
        <v>24</v>
      </c>
      <c r="D594" s="10" t="str">
        <f t="shared" si="0"/>
        <v>Logistics_Platform</v>
      </c>
      <c r="E594" s="8" t="s">
        <v>1522</v>
      </c>
      <c r="F594" s="8"/>
    </row>
    <row r="595" spans="1:6" ht="14.6" x14ac:dyDescent="0.4">
      <c r="A595" s="7" t="s">
        <v>819</v>
      </c>
      <c r="B595" s="4" t="s">
        <v>620</v>
      </c>
      <c r="C595" s="4" t="s">
        <v>24</v>
      </c>
      <c r="D595" s="10" t="str">
        <f t="shared" si="0"/>
        <v>Logistics_Platform</v>
      </c>
      <c r="E595" s="8" t="s">
        <v>1522</v>
      </c>
      <c r="F595" s="8"/>
    </row>
    <row r="596" spans="1:6" ht="14.6" x14ac:dyDescent="0.4">
      <c r="A596" s="7" t="s">
        <v>829</v>
      </c>
      <c r="B596" s="4" t="s">
        <v>506</v>
      </c>
      <c r="C596" s="4" t="s">
        <v>24</v>
      </c>
      <c r="D596" s="10" t="str">
        <f t="shared" si="0"/>
        <v>Logistics_Platform</v>
      </c>
      <c r="E596" s="8" t="s">
        <v>1522</v>
      </c>
      <c r="F596" s="8"/>
    </row>
    <row r="597" spans="1:6" ht="14.6" x14ac:dyDescent="0.4">
      <c r="A597" s="7" t="s">
        <v>841</v>
      </c>
      <c r="B597" s="4" t="s">
        <v>842</v>
      </c>
      <c r="C597" s="4" t="s">
        <v>24</v>
      </c>
      <c r="D597" s="10" t="str">
        <f t="shared" si="0"/>
        <v>Logistics_Platform</v>
      </c>
      <c r="E597" s="8" t="s">
        <v>1522</v>
      </c>
      <c r="F597" s="8"/>
    </row>
    <row r="598" spans="1:6" ht="14.6" x14ac:dyDescent="0.4">
      <c r="A598" s="7" t="s">
        <v>849</v>
      </c>
      <c r="B598" s="4" t="s">
        <v>347</v>
      </c>
      <c r="C598" s="4" t="s">
        <v>24</v>
      </c>
      <c r="D598" s="10" t="str">
        <f t="shared" si="0"/>
        <v>Logistics_Platform</v>
      </c>
      <c r="E598" s="8" t="s">
        <v>1522</v>
      </c>
      <c r="F598" s="8"/>
    </row>
    <row r="599" spans="1:6" ht="14.6" x14ac:dyDescent="0.4">
      <c r="A599" s="7" t="s">
        <v>861</v>
      </c>
      <c r="B599" s="4" t="s">
        <v>213</v>
      </c>
      <c r="C599" s="4" t="s">
        <v>24</v>
      </c>
      <c r="D599" s="10" t="str">
        <f t="shared" si="0"/>
        <v>Logistics_Platform</v>
      </c>
      <c r="E599" s="8" t="s">
        <v>1522</v>
      </c>
      <c r="F599" s="8"/>
    </row>
    <row r="600" spans="1:6" ht="14.6" x14ac:dyDescent="0.4">
      <c r="A600" s="7" t="s">
        <v>910</v>
      </c>
      <c r="B600" s="4" t="s">
        <v>335</v>
      </c>
      <c r="C600" s="4" t="s">
        <v>24</v>
      </c>
      <c r="D600" s="10" t="str">
        <f t="shared" si="0"/>
        <v>Logistics_Platform</v>
      </c>
      <c r="E600" s="8" t="s">
        <v>1522</v>
      </c>
      <c r="F600" s="8"/>
    </row>
    <row r="601" spans="1:6" ht="14.6" x14ac:dyDescent="0.4">
      <c r="A601" s="7" t="s">
        <v>921</v>
      </c>
      <c r="B601" s="4" t="s">
        <v>839</v>
      </c>
      <c r="C601" s="4" t="s">
        <v>24</v>
      </c>
      <c r="D601" s="10" t="str">
        <f t="shared" si="0"/>
        <v>Logistics_Platform</v>
      </c>
      <c r="E601" s="8" t="s">
        <v>1522</v>
      </c>
      <c r="F601" s="8"/>
    </row>
    <row r="602" spans="1:6" ht="14.6" x14ac:dyDescent="0.4">
      <c r="A602" s="7" t="s">
        <v>957</v>
      </c>
      <c r="B602" s="4" t="s">
        <v>881</v>
      </c>
      <c r="C602" s="4" t="s">
        <v>24</v>
      </c>
      <c r="D602" s="10" t="str">
        <f t="shared" si="0"/>
        <v>Logistics_Platform</v>
      </c>
      <c r="E602" s="8" t="s">
        <v>1522</v>
      </c>
      <c r="F602" s="8"/>
    </row>
    <row r="603" spans="1:6" ht="14.6" x14ac:dyDescent="0.4">
      <c r="A603" s="7" t="s">
        <v>970</v>
      </c>
      <c r="B603" s="4" t="s">
        <v>682</v>
      </c>
      <c r="C603" s="4" t="s">
        <v>24</v>
      </c>
      <c r="D603" s="10" t="str">
        <f t="shared" si="0"/>
        <v>Logistics_Platform</v>
      </c>
      <c r="E603" s="8" t="s">
        <v>1522</v>
      </c>
      <c r="F603" s="8"/>
    </row>
    <row r="604" spans="1:6" ht="14.6" x14ac:dyDescent="0.4">
      <c r="A604" s="7" t="s">
        <v>971</v>
      </c>
      <c r="B604" s="4" t="s">
        <v>822</v>
      </c>
      <c r="C604" s="4" t="s">
        <v>24</v>
      </c>
      <c r="D604" s="10" t="str">
        <f t="shared" si="0"/>
        <v>Logistics_Platform</v>
      </c>
      <c r="E604" s="8" t="s">
        <v>1522</v>
      </c>
      <c r="F604" s="8"/>
    </row>
    <row r="605" spans="1:6" ht="14.6" x14ac:dyDescent="0.4">
      <c r="A605" s="7" t="s">
        <v>1009</v>
      </c>
      <c r="B605" s="4" t="s">
        <v>839</v>
      </c>
      <c r="C605" s="4" t="s">
        <v>24</v>
      </c>
      <c r="D605" s="10" t="str">
        <f t="shared" si="0"/>
        <v>Logistics_Platform</v>
      </c>
      <c r="E605" s="8" t="s">
        <v>1522</v>
      </c>
      <c r="F605" s="8"/>
    </row>
    <row r="606" spans="1:6" ht="14.6" x14ac:dyDescent="0.4">
      <c r="A606" s="7" t="s">
        <v>1024</v>
      </c>
      <c r="B606" s="4" t="s">
        <v>122</v>
      </c>
      <c r="C606" s="4" t="s">
        <v>24</v>
      </c>
      <c r="D606" s="10" t="str">
        <f t="shared" si="0"/>
        <v>Logistics_Platform</v>
      </c>
      <c r="E606" s="8" t="s">
        <v>1522</v>
      </c>
      <c r="F606" s="8"/>
    </row>
    <row r="607" spans="1:6" ht="14.6" x14ac:dyDescent="0.4">
      <c r="A607" s="7" t="s">
        <v>1061</v>
      </c>
      <c r="B607" s="4" t="s">
        <v>1062</v>
      </c>
      <c r="C607" s="4" t="s">
        <v>24</v>
      </c>
      <c r="D607" s="10" t="str">
        <f t="shared" si="0"/>
        <v>Logistics_Platform</v>
      </c>
      <c r="E607" s="8" t="s">
        <v>1522</v>
      </c>
      <c r="F607" s="8"/>
    </row>
    <row r="608" spans="1:6" ht="14.6" x14ac:dyDescent="0.4">
      <c r="A608" s="7" t="s">
        <v>1118</v>
      </c>
      <c r="B608" s="4" t="s">
        <v>1047</v>
      </c>
      <c r="C608" s="4" t="s">
        <v>24</v>
      </c>
      <c r="D608" s="10" t="str">
        <f t="shared" si="0"/>
        <v>Logistics_Platform</v>
      </c>
      <c r="E608" s="8" t="s">
        <v>1522</v>
      </c>
      <c r="F608" s="8"/>
    </row>
    <row r="609" spans="1:6" ht="14.6" x14ac:dyDescent="0.4">
      <c r="A609" s="7" t="s">
        <v>1119</v>
      </c>
      <c r="B609" s="4" t="s">
        <v>1060</v>
      </c>
      <c r="C609" s="4" t="s">
        <v>24</v>
      </c>
      <c r="D609" s="10" t="str">
        <f t="shared" si="0"/>
        <v>Logistics_Platform</v>
      </c>
      <c r="E609" s="8" t="s">
        <v>1522</v>
      </c>
      <c r="F609" s="8"/>
    </row>
    <row r="610" spans="1:6" ht="14.6" x14ac:dyDescent="0.4">
      <c r="A610" s="7" t="s">
        <v>1165</v>
      </c>
      <c r="B610" s="4" t="s">
        <v>1162</v>
      </c>
      <c r="C610" s="4" t="s">
        <v>24</v>
      </c>
      <c r="D610" s="10" t="str">
        <f t="shared" si="0"/>
        <v>Logistics_Platform</v>
      </c>
      <c r="E610" s="8" t="s">
        <v>1522</v>
      </c>
      <c r="F610" s="8"/>
    </row>
    <row r="611" spans="1:6" ht="14.6" x14ac:dyDescent="0.4">
      <c r="A611" s="7" t="s">
        <v>1204</v>
      </c>
      <c r="B611" s="4" t="s">
        <v>1178</v>
      </c>
      <c r="C611" s="4" t="s">
        <v>24</v>
      </c>
      <c r="D611" s="10" t="str">
        <f t="shared" si="0"/>
        <v>Logistics_Platform</v>
      </c>
      <c r="E611" s="8" t="s">
        <v>1522</v>
      </c>
      <c r="F611" s="8"/>
    </row>
    <row r="612" spans="1:6" ht="14.6" x14ac:dyDescent="0.4">
      <c r="A612" s="7" t="s">
        <v>1220</v>
      </c>
      <c r="B612" s="4" t="s">
        <v>1217</v>
      </c>
      <c r="C612" s="4" t="s">
        <v>24</v>
      </c>
      <c r="D612" s="10" t="str">
        <f t="shared" si="0"/>
        <v>Logistics_Platform</v>
      </c>
      <c r="E612" s="8" t="s">
        <v>1522</v>
      </c>
      <c r="F612" s="8"/>
    </row>
    <row r="613" spans="1:6" ht="14.6" x14ac:dyDescent="0.4">
      <c r="A613" s="7" t="s">
        <v>1246</v>
      </c>
      <c r="B613" s="4" t="s">
        <v>1167</v>
      </c>
      <c r="C613" s="4" t="s">
        <v>24</v>
      </c>
      <c r="D613" s="10" t="str">
        <f t="shared" si="0"/>
        <v>Logistics_Platform</v>
      </c>
      <c r="E613" s="8" t="s">
        <v>1522</v>
      </c>
      <c r="F613" s="8"/>
    </row>
    <row r="614" spans="1:6" ht="14.6" x14ac:dyDescent="0.4">
      <c r="A614" s="7" t="s">
        <v>1263</v>
      </c>
      <c r="B614" s="4" t="s">
        <v>1258</v>
      </c>
      <c r="C614" s="4" t="s">
        <v>24</v>
      </c>
      <c r="D614" s="10" t="str">
        <f t="shared" si="0"/>
        <v>Logistics_Platform</v>
      </c>
      <c r="E614" s="8" t="s">
        <v>1522</v>
      </c>
      <c r="F614" s="8"/>
    </row>
    <row r="615" spans="1:6" ht="14.6" x14ac:dyDescent="0.4">
      <c r="A615" s="7" t="s">
        <v>1310</v>
      </c>
      <c r="B615" s="4" t="s">
        <v>1258</v>
      </c>
      <c r="C615" s="4" t="s">
        <v>24</v>
      </c>
      <c r="D615" s="10" t="str">
        <f t="shared" si="0"/>
        <v>Logistics_Platform</v>
      </c>
      <c r="E615" s="8" t="s">
        <v>1522</v>
      </c>
      <c r="F615" s="8"/>
    </row>
    <row r="616" spans="1:6" ht="14.6" x14ac:dyDescent="0.4">
      <c r="A616" s="7" t="s">
        <v>1315</v>
      </c>
      <c r="B616" s="4" t="s">
        <v>1268</v>
      </c>
      <c r="C616" s="4" t="s">
        <v>24</v>
      </c>
      <c r="D616" s="10" t="str">
        <f t="shared" si="0"/>
        <v>Logistics_Platform</v>
      </c>
      <c r="E616" s="8" t="s">
        <v>1522</v>
      </c>
      <c r="F616" s="8"/>
    </row>
    <row r="617" spans="1:6" ht="14.6" x14ac:dyDescent="0.4">
      <c r="A617" s="7" t="s">
        <v>1324</v>
      </c>
      <c r="B617" s="4" t="s">
        <v>1262</v>
      </c>
      <c r="C617" s="4" t="s">
        <v>24</v>
      </c>
      <c r="D617" s="10" t="str">
        <f t="shared" si="0"/>
        <v>Logistics_Platform</v>
      </c>
      <c r="E617" s="8" t="s">
        <v>1522</v>
      </c>
      <c r="F617" s="8"/>
    </row>
    <row r="618" spans="1:6" ht="14.6" x14ac:dyDescent="0.4">
      <c r="A618" s="7" t="s">
        <v>1329</v>
      </c>
      <c r="B618" s="4" t="s">
        <v>1258</v>
      </c>
      <c r="C618" s="4" t="s">
        <v>24</v>
      </c>
      <c r="D618" s="10" t="str">
        <f t="shared" si="0"/>
        <v>Logistics_Platform</v>
      </c>
      <c r="E618" s="8" t="s">
        <v>1522</v>
      </c>
      <c r="F618" s="8"/>
    </row>
    <row r="619" spans="1:6" ht="14.6" x14ac:dyDescent="0.4">
      <c r="A619" s="7" t="s">
        <v>1341</v>
      </c>
      <c r="B619" s="4" t="s">
        <v>1256</v>
      </c>
      <c r="C619" s="4" t="s">
        <v>24</v>
      </c>
      <c r="D619" s="10" t="str">
        <f t="shared" si="0"/>
        <v>Logistics_Platform</v>
      </c>
      <c r="E619" s="8" t="s">
        <v>1522</v>
      </c>
      <c r="F619" s="8"/>
    </row>
    <row r="620" spans="1:6" ht="14.6" x14ac:dyDescent="0.4">
      <c r="A620" s="7" t="s">
        <v>1358</v>
      </c>
      <c r="B620" s="4" t="s">
        <v>1359</v>
      </c>
      <c r="C620" s="4" t="s">
        <v>24</v>
      </c>
      <c r="D620" s="10" t="str">
        <f t="shared" si="0"/>
        <v>Logistics_Platform</v>
      </c>
      <c r="E620" s="8" t="s">
        <v>1522</v>
      </c>
      <c r="F620" s="8"/>
    </row>
    <row r="621" spans="1:6" ht="14.6" x14ac:dyDescent="0.4">
      <c r="A621" s="7" t="s">
        <v>1368</v>
      </c>
      <c r="B621" s="4" t="s">
        <v>1355</v>
      </c>
      <c r="C621" s="4" t="s">
        <v>24</v>
      </c>
      <c r="D621" s="10" t="str">
        <f t="shared" si="0"/>
        <v>Logistics_Platform</v>
      </c>
      <c r="E621" s="8" t="s">
        <v>1522</v>
      </c>
      <c r="F621" s="8"/>
    </row>
    <row r="622" spans="1:6" ht="14.6" x14ac:dyDescent="0.4">
      <c r="A622" s="7" t="s">
        <v>1398</v>
      </c>
      <c r="B622" s="4" t="s">
        <v>1359</v>
      </c>
      <c r="C622" s="4" t="s">
        <v>24</v>
      </c>
      <c r="D622" s="10" t="str">
        <f t="shared" si="0"/>
        <v>Logistics_Platform</v>
      </c>
      <c r="E622" s="8" t="s">
        <v>1522</v>
      </c>
      <c r="F622" s="8"/>
    </row>
    <row r="623" spans="1:6" ht="14.6" x14ac:dyDescent="0.4">
      <c r="A623" s="7" t="s">
        <v>1403</v>
      </c>
      <c r="B623" s="4" t="s">
        <v>1345</v>
      </c>
      <c r="C623" s="4" t="s">
        <v>24</v>
      </c>
      <c r="D623" s="10" t="str">
        <f t="shared" si="0"/>
        <v>Logistics_Platform</v>
      </c>
      <c r="E623" s="8" t="s">
        <v>1522</v>
      </c>
      <c r="F623" s="8"/>
    </row>
    <row r="624" spans="1:6" ht="14.6" x14ac:dyDescent="0.4">
      <c r="A624" s="7" t="s">
        <v>1407</v>
      </c>
      <c r="B624" s="4" t="s">
        <v>1355</v>
      </c>
      <c r="C624" s="4" t="s">
        <v>24</v>
      </c>
      <c r="D624" s="10" t="str">
        <f t="shared" si="0"/>
        <v>Logistics_Platform</v>
      </c>
      <c r="E624" s="8" t="s">
        <v>1522</v>
      </c>
      <c r="F624" s="8"/>
    </row>
    <row r="625" spans="1:6" ht="14.6" x14ac:dyDescent="0.4">
      <c r="A625" s="7" t="s">
        <v>1415</v>
      </c>
      <c r="B625" s="4" t="s">
        <v>1376</v>
      </c>
      <c r="C625" s="4" t="s">
        <v>24</v>
      </c>
      <c r="D625" s="10" t="str">
        <f t="shared" si="0"/>
        <v>Logistics_Platform</v>
      </c>
      <c r="E625" s="8" t="s">
        <v>1522</v>
      </c>
      <c r="F625" s="8"/>
    </row>
    <row r="626" spans="1:6" ht="14.6" x14ac:dyDescent="0.4">
      <c r="A626" s="7" t="s">
        <v>1428</v>
      </c>
      <c r="B626" s="4" t="s">
        <v>1429</v>
      </c>
      <c r="C626" s="4" t="s">
        <v>24</v>
      </c>
      <c r="D626" s="10" t="str">
        <f t="shared" si="0"/>
        <v>Logistics_Platform</v>
      </c>
      <c r="E626" s="8" t="s">
        <v>1522</v>
      </c>
      <c r="F626" s="8"/>
    </row>
    <row r="627" spans="1:6" ht="14.6" x14ac:dyDescent="0.4">
      <c r="A627" s="7" t="s">
        <v>1448</v>
      </c>
      <c r="B627" s="4" t="s">
        <v>1449</v>
      </c>
      <c r="C627" s="4" t="s">
        <v>24</v>
      </c>
      <c r="D627" s="10" t="str">
        <f t="shared" si="0"/>
        <v>Logistics_Platform</v>
      </c>
      <c r="E627" s="8" t="s">
        <v>1522</v>
      </c>
      <c r="F627" s="8"/>
    </row>
    <row r="628" spans="1:6" ht="14.6" x14ac:dyDescent="0.4">
      <c r="A628" s="7" t="s">
        <v>1457</v>
      </c>
      <c r="B628" s="4" t="s">
        <v>1449</v>
      </c>
      <c r="C628" s="4" t="s">
        <v>24</v>
      </c>
      <c r="D628" s="10" t="str">
        <f t="shared" si="0"/>
        <v>Logistics_Platform</v>
      </c>
      <c r="E628" s="8" t="s">
        <v>1522</v>
      </c>
      <c r="F628" s="8"/>
    </row>
    <row r="629" spans="1:6" ht="14.6" x14ac:dyDescent="0.4">
      <c r="A629" s="7" t="s">
        <v>1502</v>
      </c>
      <c r="B629" s="4" t="s">
        <v>1500</v>
      </c>
      <c r="C629" s="4" t="s">
        <v>24</v>
      </c>
      <c r="D629" s="10" t="str">
        <f t="shared" si="0"/>
        <v>Logistics_Platform</v>
      </c>
      <c r="E629" s="8" t="s">
        <v>1522</v>
      </c>
      <c r="F629" s="8"/>
    </row>
    <row r="630" spans="1:6" ht="14.6" x14ac:dyDescent="0.4">
      <c r="A630" s="7" t="s">
        <v>51</v>
      </c>
      <c r="B630" s="4" t="s">
        <v>46</v>
      </c>
      <c r="C630" s="4" t="s">
        <v>52</v>
      </c>
      <c r="D630" s="10" t="str">
        <f t="shared" si="0"/>
        <v>Online_Examination</v>
      </c>
      <c r="E630" s="8" t="s">
        <v>1522</v>
      </c>
      <c r="F630" s="8" t="s">
        <v>1544</v>
      </c>
    </row>
    <row r="631" spans="1:6" ht="14.6" x14ac:dyDescent="0.4">
      <c r="A631" s="7" t="s">
        <v>102</v>
      </c>
      <c r="B631" s="4" t="s">
        <v>103</v>
      </c>
      <c r="C631" s="4" t="s">
        <v>52</v>
      </c>
      <c r="D631" s="10" t="str">
        <f t="shared" si="0"/>
        <v>Online_Examination</v>
      </c>
      <c r="E631" s="8" t="s">
        <v>1522</v>
      </c>
      <c r="F631" s="8"/>
    </row>
    <row r="632" spans="1:6" ht="14.6" x14ac:dyDescent="0.4">
      <c r="A632" s="7" t="s">
        <v>155</v>
      </c>
      <c r="B632" s="4" t="s">
        <v>156</v>
      </c>
      <c r="C632" s="4" t="s">
        <v>52</v>
      </c>
      <c r="D632" s="10" t="str">
        <f t="shared" si="0"/>
        <v>Online_Examination</v>
      </c>
      <c r="E632" s="8" t="s">
        <v>1522</v>
      </c>
      <c r="F632" s="8"/>
    </row>
    <row r="633" spans="1:6" ht="14.6" x14ac:dyDescent="0.4">
      <c r="A633" s="7" t="s">
        <v>168</v>
      </c>
      <c r="B633" s="4" t="s">
        <v>169</v>
      </c>
      <c r="C633" s="4" t="s">
        <v>52</v>
      </c>
      <c r="D633" s="10" t="str">
        <f t="shared" si="0"/>
        <v>Online_Examination</v>
      </c>
      <c r="E633" s="8" t="s">
        <v>1522</v>
      </c>
      <c r="F633" s="8"/>
    </row>
    <row r="634" spans="1:6" ht="14.6" x14ac:dyDescent="0.4">
      <c r="A634" s="7" t="s">
        <v>177</v>
      </c>
      <c r="B634" s="4" t="s">
        <v>178</v>
      </c>
      <c r="C634" s="4" t="s">
        <v>52</v>
      </c>
      <c r="D634" s="10" t="str">
        <f t="shared" si="0"/>
        <v>Online_Examination</v>
      </c>
      <c r="E634" s="8" t="s">
        <v>1522</v>
      </c>
      <c r="F634" s="8"/>
    </row>
    <row r="635" spans="1:6" ht="14.6" x14ac:dyDescent="0.4">
      <c r="A635" s="7" t="s">
        <v>214</v>
      </c>
      <c r="B635" s="4" t="s">
        <v>215</v>
      </c>
      <c r="C635" s="4" t="s">
        <v>52</v>
      </c>
      <c r="D635" s="10" t="str">
        <f t="shared" si="0"/>
        <v>Online_Examination</v>
      </c>
      <c r="E635" s="8" t="s">
        <v>1522</v>
      </c>
      <c r="F635" s="8"/>
    </row>
    <row r="636" spans="1:6" ht="14.6" x14ac:dyDescent="0.4">
      <c r="A636" s="7" t="s">
        <v>239</v>
      </c>
      <c r="B636" s="4" t="s">
        <v>240</v>
      </c>
      <c r="C636" s="4" t="s">
        <v>52</v>
      </c>
      <c r="D636" s="10" t="str">
        <f t="shared" si="0"/>
        <v>Online_Examination</v>
      </c>
      <c r="E636" s="8" t="s">
        <v>1522</v>
      </c>
      <c r="F636" s="8"/>
    </row>
    <row r="637" spans="1:6" ht="14.6" x14ac:dyDescent="0.4">
      <c r="A637" s="7" t="s">
        <v>271</v>
      </c>
      <c r="B637" s="4" t="s">
        <v>272</v>
      </c>
      <c r="C637" s="4" t="s">
        <v>52</v>
      </c>
      <c r="D637" s="10" t="str">
        <f t="shared" si="0"/>
        <v>Online_Examination</v>
      </c>
      <c r="E637" s="8" t="s">
        <v>1522</v>
      </c>
      <c r="F637" s="8"/>
    </row>
    <row r="638" spans="1:6" ht="14.6" x14ac:dyDescent="0.4">
      <c r="A638" s="7" t="s">
        <v>281</v>
      </c>
      <c r="B638" s="4" t="s">
        <v>282</v>
      </c>
      <c r="C638" s="4" t="s">
        <v>52</v>
      </c>
      <c r="D638" s="10" t="str">
        <f t="shared" si="0"/>
        <v>Online_Examination</v>
      </c>
      <c r="E638" s="8" t="s">
        <v>1522</v>
      </c>
      <c r="F638" s="8"/>
    </row>
    <row r="639" spans="1:6" ht="14.6" x14ac:dyDescent="0.4">
      <c r="A639" s="7" t="s">
        <v>326</v>
      </c>
      <c r="B639" s="4" t="s">
        <v>227</v>
      </c>
      <c r="C639" s="4" t="s">
        <v>52</v>
      </c>
      <c r="D639" s="10" t="str">
        <f t="shared" si="0"/>
        <v>Online_Examination</v>
      </c>
      <c r="E639" s="8" t="s">
        <v>1522</v>
      </c>
      <c r="F639" s="8"/>
    </row>
    <row r="640" spans="1:6" ht="14.6" x14ac:dyDescent="0.4">
      <c r="A640" s="7" t="s">
        <v>327</v>
      </c>
      <c r="B640" s="4" t="s">
        <v>171</v>
      </c>
      <c r="C640" s="4" t="s">
        <v>52</v>
      </c>
      <c r="D640" s="10" t="str">
        <f t="shared" si="0"/>
        <v>Online_Examination</v>
      </c>
      <c r="E640" s="8" t="s">
        <v>1522</v>
      </c>
      <c r="F640" s="8"/>
    </row>
    <row r="641" spans="1:6" ht="14.6" x14ac:dyDescent="0.4">
      <c r="A641" s="7" t="s">
        <v>336</v>
      </c>
      <c r="B641" s="4" t="s">
        <v>254</v>
      </c>
      <c r="C641" s="4" t="s">
        <v>52</v>
      </c>
      <c r="D641" s="10" t="str">
        <f t="shared" si="0"/>
        <v>Online_Examination</v>
      </c>
      <c r="E641" s="8" t="s">
        <v>1522</v>
      </c>
      <c r="F641" s="8"/>
    </row>
    <row r="642" spans="1:6" ht="14.6" x14ac:dyDescent="0.4">
      <c r="A642" s="7" t="s">
        <v>353</v>
      </c>
      <c r="B642" s="4" t="s">
        <v>354</v>
      </c>
      <c r="C642" s="4" t="s">
        <v>52</v>
      </c>
      <c r="D642" s="10" t="str">
        <f t="shared" si="0"/>
        <v>Online_Examination</v>
      </c>
      <c r="E642" s="8" t="s">
        <v>1522</v>
      </c>
      <c r="F642" s="8"/>
    </row>
    <row r="643" spans="1:6" ht="14.6" x14ac:dyDescent="0.4">
      <c r="A643" s="7" t="s">
        <v>400</v>
      </c>
      <c r="B643" s="4" t="s">
        <v>80</v>
      </c>
      <c r="C643" s="4" t="s">
        <v>52</v>
      </c>
      <c r="D643" s="10" t="str">
        <f t="shared" si="0"/>
        <v>Online_Examination</v>
      </c>
      <c r="E643" s="8" t="s">
        <v>1522</v>
      </c>
      <c r="F643" s="8"/>
    </row>
    <row r="644" spans="1:6" ht="14.6" x14ac:dyDescent="0.4">
      <c r="A644" s="7" t="s">
        <v>424</v>
      </c>
      <c r="B644" s="4" t="s">
        <v>232</v>
      </c>
      <c r="C644" s="4" t="s">
        <v>52</v>
      </c>
      <c r="D644" s="10" t="str">
        <f t="shared" si="0"/>
        <v>Online_Examination</v>
      </c>
      <c r="E644" s="8" t="s">
        <v>1522</v>
      </c>
      <c r="F644" s="8"/>
    </row>
    <row r="645" spans="1:6" ht="14.6" x14ac:dyDescent="0.4">
      <c r="A645" s="7" t="s">
        <v>457</v>
      </c>
      <c r="B645" s="4" t="s">
        <v>234</v>
      </c>
      <c r="C645" s="4" t="s">
        <v>52</v>
      </c>
      <c r="D645" s="10" t="str">
        <f t="shared" si="0"/>
        <v>Online_Examination</v>
      </c>
      <c r="E645" s="8" t="s">
        <v>1522</v>
      </c>
      <c r="F645" s="8"/>
    </row>
    <row r="646" spans="1:6" ht="14.6" x14ac:dyDescent="0.4">
      <c r="A646" s="7" t="s">
        <v>458</v>
      </c>
      <c r="B646" s="4" t="s">
        <v>128</v>
      </c>
      <c r="C646" s="4" t="s">
        <v>52</v>
      </c>
      <c r="D646" s="10" t="str">
        <f t="shared" si="0"/>
        <v>Online_Examination</v>
      </c>
      <c r="E646" s="8" t="s">
        <v>1522</v>
      </c>
      <c r="F646" s="8"/>
    </row>
    <row r="647" spans="1:6" ht="14.6" x14ac:dyDescent="0.4">
      <c r="A647" s="7" t="s">
        <v>499</v>
      </c>
      <c r="B647" s="4" t="s">
        <v>500</v>
      </c>
      <c r="C647" s="4" t="s">
        <v>52</v>
      </c>
      <c r="D647" s="10" t="str">
        <f t="shared" si="0"/>
        <v>Online_Examination</v>
      </c>
      <c r="E647" s="8" t="s">
        <v>1522</v>
      </c>
      <c r="F647" s="8"/>
    </row>
    <row r="648" spans="1:6" ht="14.6" x14ac:dyDescent="0.4">
      <c r="A648" s="7" t="s">
        <v>561</v>
      </c>
      <c r="B648" s="4" t="s">
        <v>562</v>
      </c>
      <c r="C648" s="4" t="s">
        <v>52</v>
      </c>
      <c r="D648" s="10" t="str">
        <f t="shared" si="0"/>
        <v>Online_Examination</v>
      </c>
      <c r="E648" s="8" t="s">
        <v>1522</v>
      </c>
      <c r="F648" s="8"/>
    </row>
    <row r="649" spans="1:6" ht="14.6" x14ac:dyDescent="0.4">
      <c r="A649" s="7" t="s">
        <v>570</v>
      </c>
      <c r="B649" s="4" t="s">
        <v>318</v>
      </c>
      <c r="C649" s="4" t="s">
        <v>52</v>
      </c>
      <c r="D649" s="10" t="str">
        <f t="shared" si="0"/>
        <v>Online_Examination</v>
      </c>
      <c r="E649" s="8" t="s">
        <v>1522</v>
      </c>
      <c r="F649" s="8"/>
    </row>
    <row r="650" spans="1:6" ht="14.6" x14ac:dyDescent="0.4">
      <c r="A650" s="7" t="s">
        <v>581</v>
      </c>
      <c r="B650" s="4" t="s">
        <v>101</v>
      </c>
      <c r="C650" s="4" t="s">
        <v>52</v>
      </c>
      <c r="D650" s="10" t="str">
        <f t="shared" si="0"/>
        <v>Online_Examination</v>
      </c>
      <c r="E650" s="8" t="s">
        <v>1522</v>
      </c>
      <c r="F650" s="8"/>
    </row>
    <row r="651" spans="1:6" ht="14.6" x14ac:dyDescent="0.4">
      <c r="A651" s="7" t="s">
        <v>613</v>
      </c>
      <c r="B651" s="4" t="s">
        <v>70</v>
      </c>
      <c r="C651" s="4" t="s">
        <v>52</v>
      </c>
      <c r="D651" s="10" t="str">
        <f t="shared" si="0"/>
        <v>Online_Examination</v>
      </c>
      <c r="E651" s="8" t="s">
        <v>1522</v>
      </c>
      <c r="F651" s="8"/>
    </row>
    <row r="652" spans="1:6" ht="14.6" x14ac:dyDescent="0.4">
      <c r="A652" s="7" t="s">
        <v>614</v>
      </c>
      <c r="B652" s="4" t="s">
        <v>498</v>
      </c>
      <c r="C652" s="4" t="s">
        <v>52</v>
      </c>
      <c r="D652" s="10" t="str">
        <f t="shared" si="0"/>
        <v>Online_Examination</v>
      </c>
      <c r="E652" s="8" t="s">
        <v>1522</v>
      </c>
      <c r="F652" s="8"/>
    </row>
    <row r="653" spans="1:6" ht="14.6" x14ac:dyDescent="0.4">
      <c r="A653" s="7" t="s">
        <v>619</v>
      </c>
      <c r="B653" s="4" t="s">
        <v>620</v>
      </c>
      <c r="C653" s="4" t="s">
        <v>52</v>
      </c>
      <c r="D653" s="10" t="str">
        <f t="shared" si="0"/>
        <v>Online_Examination</v>
      </c>
      <c r="E653" s="8" t="s">
        <v>1522</v>
      </c>
      <c r="F653" s="8"/>
    </row>
    <row r="654" spans="1:6" ht="14.6" x14ac:dyDescent="0.4">
      <c r="A654" s="7" t="s">
        <v>626</v>
      </c>
      <c r="B654" s="4" t="s">
        <v>617</v>
      </c>
      <c r="C654" s="4" t="s">
        <v>52</v>
      </c>
      <c r="D654" s="10" t="str">
        <f t="shared" si="0"/>
        <v>Online_Examination</v>
      </c>
      <c r="E654" s="8" t="s">
        <v>1522</v>
      </c>
      <c r="F654" s="8"/>
    </row>
    <row r="655" spans="1:6" ht="14.6" x14ac:dyDescent="0.4">
      <c r="A655" s="7" t="s">
        <v>638</v>
      </c>
      <c r="B655" s="4" t="s">
        <v>60</v>
      </c>
      <c r="C655" s="4" t="s">
        <v>52</v>
      </c>
      <c r="D655" s="10" t="str">
        <f t="shared" si="0"/>
        <v>Online_Examination</v>
      </c>
      <c r="E655" s="8" t="s">
        <v>1522</v>
      </c>
      <c r="F655" s="8"/>
    </row>
    <row r="656" spans="1:6" ht="14.6" x14ac:dyDescent="0.4">
      <c r="A656" s="7" t="s">
        <v>640</v>
      </c>
      <c r="B656" s="4" t="s">
        <v>641</v>
      </c>
      <c r="C656" s="4" t="s">
        <v>52</v>
      </c>
      <c r="D656" s="10" t="str">
        <f t="shared" si="0"/>
        <v>Online_Examination</v>
      </c>
      <c r="E656" s="8" t="s">
        <v>1522</v>
      </c>
      <c r="F656" s="8"/>
    </row>
    <row r="657" spans="1:6" ht="14.6" x14ac:dyDescent="0.4">
      <c r="A657" s="7" t="s">
        <v>646</v>
      </c>
      <c r="B657" s="4" t="s">
        <v>647</v>
      </c>
      <c r="C657" s="4" t="s">
        <v>52</v>
      </c>
      <c r="D657" s="10" t="str">
        <f t="shared" si="0"/>
        <v>Online_Examination</v>
      </c>
      <c r="E657" s="8" t="s">
        <v>1522</v>
      </c>
      <c r="F657" s="8"/>
    </row>
    <row r="658" spans="1:6" ht="14.6" x14ac:dyDescent="0.4">
      <c r="A658" s="7" t="s">
        <v>662</v>
      </c>
      <c r="B658" s="4" t="s">
        <v>663</v>
      </c>
      <c r="C658" s="4" t="s">
        <v>52</v>
      </c>
      <c r="D658" s="10" t="str">
        <f t="shared" si="0"/>
        <v>Online_Examination</v>
      </c>
      <c r="E658" s="8" t="s">
        <v>1522</v>
      </c>
      <c r="F658" s="8"/>
    </row>
    <row r="659" spans="1:6" ht="14.6" x14ac:dyDescent="0.4">
      <c r="A659" s="7" t="s">
        <v>683</v>
      </c>
      <c r="B659" s="4" t="s">
        <v>684</v>
      </c>
      <c r="C659" s="4" t="s">
        <v>52</v>
      </c>
      <c r="D659" s="10" t="str">
        <f t="shared" si="0"/>
        <v>Online_Examination</v>
      </c>
      <c r="E659" s="8" t="s">
        <v>1522</v>
      </c>
      <c r="F659" s="8"/>
    </row>
    <row r="660" spans="1:6" ht="14.6" x14ac:dyDescent="0.4">
      <c r="A660" s="7" t="s">
        <v>718</v>
      </c>
      <c r="B660" s="4" t="s">
        <v>213</v>
      </c>
      <c r="C660" s="4" t="s">
        <v>52</v>
      </c>
      <c r="D660" s="10" t="str">
        <f t="shared" si="0"/>
        <v>Online_Examination</v>
      </c>
      <c r="E660" s="8" t="s">
        <v>1522</v>
      </c>
      <c r="F660" s="8"/>
    </row>
    <row r="661" spans="1:6" ht="14.6" x14ac:dyDescent="0.4">
      <c r="A661" s="7" t="s">
        <v>731</v>
      </c>
      <c r="B661" s="4" t="s">
        <v>11</v>
      </c>
      <c r="C661" s="4" t="s">
        <v>52</v>
      </c>
      <c r="D661" s="10" t="str">
        <f t="shared" si="0"/>
        <v>Online_Examination</v>
      </c>
      <c r="E661" s="8" t="s">
        <v>1522</v>
      </c>
      <c r="F661" s="8"/>
    </row>
    <row r="662" spans="1:6" ht="14.6" x14ac:dyDescent="0.4">
      <c r="A662" s="7" t="s">
        <v>776</v>
      </c>
      <c r="B662" s="4" t="s">
        <v>200</v>
      </c>
      <c r="C662" s="4" t="s">
        <v>52</v>
      </c>
      <c r="D662" s="10" t="str">
        <f t="shared" si="0"/>
        <v>Online_Examination</v>
      </c>
      <c r="E662" s="8" t="s">
        <v>1522</v>
      </c>
      <c r="F662" s="8"/>
    </row>
    <row r="663" spans="1:6" ht="14.6" x14ac:dyDescent="0.4">
      <c r="A663" s="7" t="s">
        <v>781</v>
      </c>
      <c r="B663" s="4" t="s">
        <v>23</v>
      </c>
      <c r="C663" s="4" t="s">
        <v>52</v>
      </c>
      <c r="D663" s="10" t="str">
        <f t="shared" si="0"/>
        <v>Online_Examination</v>
      </c>
      <c r="E663" s="8" t="s">
        <v>1522</v>
      </c>
      <c r="F663" s="8"/>
    </row>
    <row r="664" spans="1:6" ht="14.6" x14ac:dyDescent="0.4">
      <c r="A664" s="7" t="s">
        <v>788</v>
      </c>
      <c r="B664" s="4" t="s">
        <v>620</v>
      </c>
      <c r="C664" s="4" t="s">
        <v>52</v>
      </c>
      <c r="D664" s="10" t="str">
        <f t="shared" si="0"/>
        <v>Online_Examination</v>
      </c>
      <c r="E664" s="8" t="s">
        <v>1522</v>
      </c>
      <c r="F664" s="8"/>
    </row>
    <row r="665" spans="1:6" ht="14.6" x14ac:dyDescent="0.4">
      <c r="A665" s="7" t="s">
        <v>797</v>
      </c>
      <c r="B665" s="4" t="s">
        <v>144</v>
      </c>
      <c r="C665" s="4" t="s">
        <v>52</v>
      </c>
      <c r="D665" s="10" t="str">
        <f t="shared" si="0"/>
        <v>Online_Examination</v>
      </c>
      <c r="E665" s="8" t="s">
        <v>1522</v>
      </c>
      <c r="F665" s="8"/>
    </row>
    <row r="666" spans="1:6" ht="14.6" x14ac:dyDescent="0.4">
      <c r="A666" s="7" t="s">
        <v>800</v>
      </c>
      <c r="B666" s="4" t="s">
        <v>470</v>
      </c>
      <c r="C666" s="4" t="s">
        <v>52</v>
      </c>
      <c r="D666" s="10" t="str">
        <f t="shared" si="0"/>
        <v>Online_Examination</v>
      </c>
      <c r="E666" s="8" t="s">
        <v>1522</v>
      </c>
      <c r="F666" s="8"/>
    </row>
    <row r="667" spans="1:6" ht="14.6" x14ac:dyDescent="0.4">
      <c r="A667" s="7" t="s">
        <v>823</v>
      </c>
      <c r="B667" s="4" t="s">
        <v>409</v>
      </c>
      <c r="C667" s="4" t="s">
        <v>52</v>
      </c>
      <c r="D667" s="10" t="str">
        <f t="shared" si="0"/>
        <v>Online_Examination</v>
      </c>
      <c r="E667" s="8" t="s">
        <v>1522</v>
      </c>
      <c r="F667" s="8"/>
    </row>
    <row r="668" spans="1:6" ht="14.6" x14ac:dyDescent="0.4">
      <c r="A668" s="7" t="s">
        <v>867</v>
      </c>
      <c r="B668" s="4" t="s">
        <v>311</v>
      </c>
      <c r="C668" s="4" t="s">
        <v>52</v>
      </c>
      <c r="D668" s="10" t="str">
        <f t="shared" si="0"/>
        <v>Online_Examination</v>
      </c>
      <c r="E668" s="8" t="s">
        <v>1522</v>
      </c>
      <c r="F668" s="8"/>
    </row>
    <row r="669" spans="1:6" ht="14.6" x14ac:dyDescent="0.4">
      <c r="A669" s="7" t="s">
        <v>883</v>
      </c>
      <c r="B669" s="4" t="s">
        <v>76</v>
      </c>
      <c r="C669" s="4" t="s">
        <v>52</v>
      </c>
      <c r="D669" s="10" t="str">
        <f t="shared" si="0"/>
        <v>Online_Examination</v>
      </c>
      <c r="E669" s="8" t="s">
        <v>1522</v>
      </c>
      <c r="F669" s="8"/>
    </row>
    <row r="670" spans="1:6" ht="14.6" x14ac:dyDescent="0.4">
      <c r="A670" s="7" t="s">
        <v>884</v>
      </c>
      <c r="B670" s="4" t="s">
        <v>162</v>
      </c>
      <c r="C670" s="4" t="s">
        <v>52</v>
      </c>
      <c r="D670" s="10" t="str">
        <f t="shared" si="0"/>
        <v>Online_Examination</v>
      </c>
      <c r="E670" s="8" t="s">
        <v>1522</v>
      </c>
      <c r="F670" s="8"/>
    </row>
    <row r="671" spans="1:6" ht="14.6" x14ac:dyDescent="0.4">
      <c r="A671" s="7" t="s">
        <v>886</v>
      </c>
      <c r="B671" s="4" t="s">
        <v>202</v>
      </c>
      <c r="C671" s="4" t="s">
        <v>52</v>
      </c>
      <c r="D671" s="10" t="str">
        <f t="shared" si="0"/>
        <v>Online_Examination</v>
      </c>
      <c r="E671" s="8" t="s">
        <v>1522</v>
      </c>
      <c r="F671" s="8"/>
    </row>
    <row r="672" spans="1:6" ht="14.6" x14ac:dyDescent="0.4">
      <c r="A672" s="7" t="s">
        <v>889</v>
      </c>
      <c r="B672" s="4" t="s">
        <v>300</v>
      </c>
      <c r="C672" s="4" t="s">
        <v>52</v>
      </c>
      <c r="D672" s="10" t="str">
        <f t="shared" si="0"/>
        <v>Online_Examination</v>
      </c>
      <c r="E672" s="8" t="s">
        <v>1522</v>
      </c>
      <c r="F672" s="8"/>
    </row>
    <row r="673" spans="1:6" ht="14.6" x14ac:dyDescent="0.4">
      <c r="A673" s="7" t="s">
        <v>894</v>
      </c>
      <c r="B673" s="4" t="s">
        <v>554</v>
      </c>
      <c r="C673" s="4" t="s">
        <v>52</v>
      </c>
      <c r="D673" s="10" t="str">
        <f t="shared" si="0"/>
        <v>Online_Examination</v>
      </c>
      <c r="E673" s="8" t="s">
        <v>1522</v>
      </c>
      <c r="F673" s="8"/>
    </row>
    <row r="674" spans="1:6" ht="14.6" x14ac:dyDescent="0.4">
      <c r="A674" s="7" t="s">
        <v>899</v>
      </c>
      <c r="B674" s="4" t="s">
        <v>14</v>
      </c>
      <c r="C674" s="4" t="s">
        <v>52</v>
      </c>
      <c r="D674" s="10" t="str">
        <f t="shared" si="0"/>
        <v>Online_Examination</v>
      </c>
      <c r="E674" s="8" t="s">
        <v>1522</v>
      </c>
      <c r="F674" s="8"/>
    </row>
    <row r="675" spans="1:6" ht="14.6" x14ac:dyDescent="0.4">
      <c r="A675" s="7" t="s">
        <v>901</v>
      </c>
      <c r="B675" s="4" t="s">
        <v>724</v>
      </c>
      <c r="C675" s="4" t="s">
        <v>52</v>
      </c>
      <c r="D675" s="10" t="str">
        <f t="shared" si="0"/>
        <v>Online_Examination</v>
      </c>
      <c r="E675" s="8" t="s">
        <v>1522</v>
      </c>
      <c r="F675" s="8"/>
    </row>
    <row r="676" spans="1:6" ht="14.6" x14ac:dyDescent="0.4">
      <c r="A676" s="7" t="s">
        <v>929</v>
      </c>
      <c r="B676" s="4" t="s">
        <v>67</v>
      </c>
      <c r="C676" s="4" t="s">
        <v>52</v>
      </c>
      <c r="D676" s="10" t="str">
        <f t="shared" si="0"/>
        <v>Online_Examination</v>
      </c>
      <c r="E676" s="8" t="s">
        <v>1522</v>
      </c>
      <c r="F676" s="8"/>
    </row>
    <row r="677" spans="1:6" ht="14.6" x14ac:dyDescent="0.4">
      <c r="A677" s="7" t="s">
        <v>931</v>
      </c>
      <c r="B677" s="4" t="s">
        <v>545</v>
      </c>
      <c r="C677" s="4" t="s">
        <v>52</v>
      </c>
      <c r="D677" s="10" t="str">
        <f t="shared" si="0"/>
        <v>Online_Examination</v>
      </c>
      <c r="E677" s="8" t="s">
        <v>1522</v>
      </c>
      <c r="F677" s="8"/>
    </row>
    <row r="678" spans="1:6" ht="14.6" x14ac:dyDescent="0.4">
      <c r="A678" s="7" t="s">
        <v>959</v>
      </c>
      <c r="B678" s="4" t="s">
        <v>960</v>
      </c>
      <c r="C678" s="4" t="s">
        <v>52</v>
      </c>
      <c r="D678" s="10" t="str">
        <f t="shared" si="0"/>
        <v>Online_Examination</v>
      </c>
      <c r="E678" s="8" t="s">
        <v>1522</v>
      </c>
      <c r="F678" s="8"/>
    </row>
    <row r="679" spans="1:6" ht="14.6" x14ac:dyDescent="0.4">
      <c r="A679" s="7" t="s">
        <v>962</v>
      </c>
      <c r="B679" s="4" t="s">
        <v>54</v>
      </c>
      <c r="C679" s="4" t="s">
        <v>52</v>
      </c>
      <c r="D679" s="10" t="str">
        <f t="shared" si="0"/>
        <v>Online_Examination</v>
      </c>
      <c r="E679" s="8" t="s">
        <v>1522</v>
      </c>
      <c r="F679" s="8"/>
    </row>
    <row r="680" spans="1:6" ht="14.6" x14ac:dyDescent="0.4">
      <c r="A680" s="7" t="s">
        <v>976</v>
      </c>
      <c r="B680" s="4" t="s">
        <v>8</v>
      </c>
      <c r="C680" s="4" t="s">
        <v>52</v>
      </c>
      <c r="D680" s="10" t="str">
        <f t="shared" si="0"/>
        <v>Online_Examination</v>
      </c>
      <c r="E680" s="8" t="s">
        <v>1522</v>
      </c>
      <c r="F680" s="8"/>
    </row>
    <row r="681" spans="1:6" ht="14.6" x14ac:dyDescent="0.4">
      <c r="A681" s="7" t="s">
        <v>1006</v>
      </c>
      <c r="B681" s="4" t="s">
        <v>578</v>
      </c>
      <c r="C681" s="4" t="s">
        <v>52</v>
      </c>
      <c r="D681" s="10" t="str">
        <f t="shared" si="0"/>
        <v>Online_Examination</v>
      </c>
      <c r="E681" s="8" t="s">
        <v>1522</v>
      </c>
      <c r="F681" s="8"/>
    </row>
    <row r="682" spans="1:6" ht="14.6" x14ac:dyDescent="0.4">
      <c r="A682" s="7" t="s">
        <v>1012</v>
      </c>
      <c r="B682" s="4" t="s">
        <v>816</v>
      </c>
      <c r="C682" s="4" t="s">
        <v>52</v>
      </c>
      <c r="D682" s="10" t="str">
        <f t="shared" si="0"/>
        <v>Online_Examination</v>
      </c>
      <c r="E682" s="8" t="s">
        <v>1522</v>
      </c>
      <c r="F682" s="8"/>
    </row>
    <row r="683" spans="1:6" ht="14.6" x14ac:dyDescent="0.4">
      <c r="A683" s="7" t="s">
        <v>1044</v>
      </c>
      <c r="B683" s="4" t="s">
        <v>1045</v>
      </c>
      <c r="C683" s="4" t="s">
        <v>52</v>
      </c>
      <c r="D683" s="10" t="str">
        <f t="shared" si="0"/>
        <v>Online_Examination</v>
      </c>
      <c r="E683" s="8" t="s">
        <v>1522</v>
      </c>
      <c r="F683" s="8"/>
    </row>
    <row r="684" spans="1:6" ht="14.6" x14ac:dyDescent="0.4">
      <c r="A684" s="7" t="s">
        <v>1048</v>
      </c>
      <c r="B684" s="4" t="s">
        <v>1027</v>
      </c>
      <c r="C684" s="4" t="s">
        <v>52</v>
      </c>
      <c r="D684" s="10" t="str">
        <f t="shared" si="0"/>
        <v>Online_Examination</v>
      </c>
      <c r="E684" s="8" t="s">
        <v>1522</v>
      </c>
      <c r="F684" s="8"/>
    </row>
    <row r="685" spans="1:6" ht="14.6" x14ac:dyDescent="0.4">
      <c r="A685" s="7" t="s">
        <v>1049</v>
      </c>
      <c r="B685" s="4" t="s">
        <v>1027</v>
      </c>
      <c r="C685" s="4" t="s">
        <v>52</v>
      </c>
      <c r="D685" s="10" t="str">
        <f t="shared" si="0"/>
        <v>Online_Examination</v>
      </c>
      <c r="E685" s="8" t="s">
        <v>1522</v>
      </c>
      <c r="F685" s="8"/>
    </row>
    <row r="686" spans="1:6" ht="14.6" x14ac:dyDescent="0.4">
      <c r="A686" s="7" t="s">
        <v>1071</v>
      </c>
      <c r="B686" s="4" t="s">
        <v>1047</v>
      </c>
      <c r="C686" s="4" t="s">
        <v>52</v>
      </c>
      <c r="D686" s="10" t="str">
        <f t="shared" si="0"/>
        <v>Online_Examination</v>
      </c>
      <c r="E686" s="8" t="s">
        <v>1522</v>
      </c>
      <c r="F686" s="8"/>
    </row>
    <row r="687" spans="1:6" ht="14.6" x14ac:dyDescent="0.4">
      <c r="A687" s="7" t="s">
        <v>1082</v>
      </c>
      <c r="B687" s="4" t="s">
        <v>1027</v>
      </c>
      <c r="C687" s="4" t="s">
        <v>52</v>
      </c>
      <c r="D687" s="10" t="str">
        <f t="shared" si="0"/>
        <v>Online_Examination</v>
      </c>
      <c r="E687" s="8" t="s">
        <v>1522</v>
      </c>
      <c r="F687" s="8"/>
    </row>
    <row r="688" spans="1:6" ht="14.6" x14ac:dyDescent="0.4">
      <c r="A688" s="7" t="s">
        <v>1139</v>
      </c>
      <c r="B688" s="4" t="s">
        <v>1087</v>
      </c>
      <c r="C688" s="4" t="s">
        <v>52</v>
      </c>
      <c r="D688" s="10" t="str">
        <f t="shared" si="0"/>
        <v>Online_Examination</v>
      </c>
      <c r="E688" s="8" t="s">
        <v>1522</v>
      </c>
      <c r="F688" s="8"/>
    </row>
    <row r="689" spans="1:6" ht="14.6" x14ac:dyDescent="0.4">
      <c r="A689" s="7" t="s">
        <v>1164</v>
      </c>
      <c r="B689" s="4" t="s">
        <v>1149</v>
      </c>
      <c r="C689" s="4" t="s">
        <v>52</v>
      </c>
      <c r="D689" s="10" t="str">
        <f t="shared" si="0"/>
        <v>Online_Examination</v>
      </c>
      <c r="E689" s="8" t="s">
        <v>1522</v>
      </c>
      <c r="F689" s="8"/>
    </row>
    <row r="690" spans="1:6" ht="14.6" x14ac:dyDescent="0.4">
      <c r="A690" s="7" t="s">
        <v>1172</v>
      </c>
      <c r="B690" s="4" t="s">
        <v>1167</v>
      </c>
      <c r="C690" s="4" t="s">
        <v>52</v>
      </c>
      <c r="D690" s="10" t="str">
        <f t="shared" si="0"/>
        <v>Online_Examination</v>
      </c>
      <c r="E690" s="8" t="s">
        <v>1522</v>
      </c>
      <c r="F690" s="8"/>
    </row>
    <row r="691" spans="1:6" ht="14.6" x14ac:dyDescent="0.4">
      <c r="A691" s="7" t="s">
        <v>1185</v>
      </c>
      <c r="B691" s="4" t="s">
        <v>1167</v>
      </c>
      <c r="C691" s="4" t="s">
        <v>52</v>
      </c>
      <c r="D691" s="10" t="str">
        <f t="shared" si="0"/>
        <v>Online_Examination</v>
      </c>
      <c r="E691" s="8" t="s">
        <v>1522</v>
      </c>
      <c r="F691" s="8"/>
    </row>
    <row r="692" spans="1:6" ht="14.6" x14ac:dyDescent="0.4">
      <c r="A692" s="7" t="s">
        <v>1187</v>
      </c>
      <c r="B692" s="4" t="s">
        <v>1188</v>
      </c>
      <c r="C692" s="4" t="s">
        <v>52</v>
      </c>
      <c r="D692" s="10" t="str">
        <f t="shared" si="0"/>
        <v>Online_Examination</v>
      </c>
      <c r="E692" s="8" t="s">
        <v>1522</v>
      </c>
      <c r="F692" s="8"/>
    </row>
    <row r="693" spans="1:6" ht="14.6" x14ac:dyDescent="0.4">
      <c r="A693" s="7" t="s">
        <v>1196</v>
      </c>
      <c r="B693" s="4" t="s">
        <v>1167</v>
      </c>
      <c r="C693" s="4" t="s">
        <v>52</v>
      </c>
      <c r="D693" s="10" t="str">
        <f t="shared" si="0"/>
        <v>Online_Examination</v>
      </c>
      <c r="E693" s="8" t="s">
        <v>1522</v>
      </c>
      <c r="F693" s="8"/>
    </row>
    <row r="694" spans="1:6" ht="14.6" x14ac:dyDescent="0.4">
      <c r="A694" s="7" t="s">
        <v>1278</v>
      </c>
      <c r="B694" s="4" t="s">
        <v>1258</v>
      </c>
      <c r="C694" s="4" t="s">
        <v>52</v>
      </c>
      <c r="D694" s="10" t="str">
        <f t="shared" si="0"/>
        <v>Online_Examination</v>
      </c>
      <c r="E694" s="8" t="s">
        <v>1522</v>
      </c>
      <c r="F694" s="8"/>
    </row>
    <row r="695" spans="1:6" ht="14.6" x14ac:dyDescent="0.4">
      <c r="A695" s="7" t="s">
        <v>1282</v>
      </c>
      <c r="B695" s="4" t="s">
        <v>1258</v>
      </c>
      <c r="C695" s="4" t="s">
        <v>52</v>
      </c>
      <c r="D695" s="10" t="str">
        <f t="shared" si="0"/>
        <v>Online_Examination</v>
      </c>
      <c r="E695" s="8" t="s">
        <v>1522</v>
      </c>
      <c r="F695" s="8"/>
    </row>
    <row r="696" spans="1:6" ht="14.6" x14ac:dyDescent="0.4">
      <c r="A696" s="7" t="s">
        <v>1284</v>
      </c>
      <c r="B696" s="4" t="s">
        <v>1268</v>
      </c>
      <c r="C696" s="4" t="s">
        <v>52</v>
      </c>
      <c r="D696" s="10" t="str">
        <f t="shared" si="0"/>
        <v>Online_Examination</v>
      </c>
      <c r="E696" s="8" t="s">
        <v>1522</v>
      </c>
      <c r="F696" s="8"/>
    </row>
    <row r="697" spans="1:6" ht="14.6" x14ac:dyDescent="0.4">
      <c r="A697" s="7" t="s">
        <v>1301</v>
      </c>
      <c r="B697" s="4" t="s">
        <v>1268</v>
      </c>
      <c r="C697" s="4" t="s">
        <v>52</v>
      </c>
      <c r="D697" s="10" t="str">
        <f t="shared" si="0"/>
        <v>Online_Examination</v>
      </c>
      <c r="E697" s="8" t="s">
        <v>1522</v>
      </c>
      <c r="F697" s="8"/>
    </row>
    <row r="698" spans="1:6" ht="14.6" x14ac:dyDescent="0.4">
      <c r="A698" s="7" t="s">
        <v>1325</v>
      </c>
      <c r="B698" s="4" t="s">
        <v>1262</v>
      </c>
      <c r="C698" s="4" t="s">
        <v>52</v>
      </c>
      <c r="D698" s="10" t="str">
        <f t="shared" si="0"/>
        <v>Online_Examination</v>
      </c>
      <c r="E698" s="8" t="s">
        <v>1522</v>
      </c>
      <c r="F698" s="8"/>
    </row>
    <row r="699" spans="1:6" ht="14.6" x14ac:dyDescent="0.4">
      <c r="A699" s="7" t="s">
        <v>1332</v>
      </c>
      <c r="B699" s="4" t="s">
        <v>1258</v>
      </c>
      <c r="C699" s="4" t="s">
        <v>52</v>
      </c>
      <c r="D699" s="10" t="str">
        <f t="shared" si="0"/>
        <v>Online_Examination</v>
      </c>
      <c r="E699" s="8" t="s">
        <v>1522</v>
      </c>
      <c r="F699" s="8"/>
    </row>
    <row r="700" spans="1:6" ht="14.6" x14ac:dyDescent="0.4">
      <c r="A700" s="7" t="s">
        <v>1335</v>
      </c>
      <c r="B700" s="4" t="s">
        <v>1256</v>
      </c>
      <c r="C700" s="4" t="s">
        <v>52</v>
      </c>
      <c r="D700" s="10" t="str">
        <f t="shared" si="0"/>
        <v>Online_Examination</v>
      </c>
      <c r="E700" s="8" t="s">
        <v>1522</v>
      </c>
      <c r="F700" s="8"/>
    </row>
    <row r="701" spans="1:6" ht="14.6" x14ac:dyDescent="0.4">
      <c r="A701" s="7" t="s">
        <v>1367</v>
      </c>
      <c r="B701" s="4" t="s">
        <v>1355</v>
      </c>
      <c r="C701" s="4" t="s">
        <v>52</v>
      </c>
      <c r="D701" s="10" t="str">
        <f t="shared" si="0"/>
        <v>Online_Examination</v>
      </c>
      <c r="E701" s="8" t="s">
        <v>1522</v>
      </c>
      <c r="F701" s="8"/>
    </row>
    <row r="702" spans="1:6" ht="14.6" x14ac:dyDescent="0.4">
      <c r="A702" s="7" t="s">
        <v>1370</v>
      </c>
      <c r="B702" s="4" t="s">
        <v>1359</v>
      </c>
      <c r="C702" s="4" t="s">
        <v>52</v>
      </c>
      <c r="D702" s="10" t="str">
        <f t="shared" si="0"/>
        <v>Online_Examination</v>
      </c>
      <c r="E702" s="8" t="s">
        <v>1522</v>
      </c>
      <c r="F702" s="8"/>
    </row>
    <row r="703" spans="1:6" ht="14.6" x14ac:dyDescent="0.4">
      <c r="A703" s="7" t="s">
        <v>1380</v>
      </c>
      <c r="B703" s="4" t="s">
        <v>1353</v>
      </c>
      <c r="C703" s="4" t="s">
        <v>52</v>
      </c>
      <c r="D703" s="10" t="str">
        <f t="shared" si="0"/>
        <v>Online_Examination</v>
      </c>
      <c r="E703" s="8" t="s">
        <v>1522</v>
      </c>
      <c r="F703" s="8"/>
    </row>
    <row r="704" spans="1:6" ht="14.6" x14ac:dyDescent="0.4">
      <c r="A704" s="7" t="s">
        <v>1385</v>
      </c>
      <c r="B704" s="4" t="s">
        <v>1386</v>
      </c>
      <c r="C704" s="4" t="s">
        <v>52</v>
      </c>
      <c r="D704" s="10" t="str">
        <f t="shared" si="0"/>
        <v>Online_Examination</v>
      </c>
      <c r="E704" s="8" t="s">
        <v>1522</v>
      </c>
      <c r="F704" s="8"/>
    </row>
    <row r="705" spans="1:6" ht="14.6" x14ac:dyDescent="0.4">
      <c r="A705" s="7" t="s">
        <v>1394</v>
      </c>
      <c r="B705" s="4" t="s">
        <v>1355</v>
      </c>
      <c r="C705" s="4" t="s">
        <v>52</v>
      </c>
      <c r="D705" s="10" t="str">
        <f t="shared" si="0"/>
        <v>Online_Examination</v>
      </c>
      <c r="E705" s="8" t="s">
        <v>1522</v>
      </c>
      <c r="F705" s="8"/>
    </row>
    <row r="706" spans="1:6" ht="14.6" x14ac:dyDescent="0.4">
      <c r="A706" s="7" t="s">
        <v>1399</v>
      </c>
      <c r="B706" s="4" t="s">
        <v>1351</v>
      </c>
      <c r="C706" s="4" t="s">
        <v>52</v>
      </c>
      <c r="D706" s="10" t="str">
        <f t="shared" si="0"/>
        <v>Online_Examination</v>
      </c>
      <c r="E706" s="8" t="s">
        <v>1522</v>
      </c>
      <c r="F706" s="8"/>
    </row>
    <row r="707" spans="1:6" ht="14.6" x14ac:dyDescent="0.4">
      <c r="A707" s="7" t="s">
        <v>1405</v>
      </c>
      <c r="B707" s="4" t="s">
        <v>1406</v>
      </c>
      <c r="C707" s="4" t="s">
        <v>52</v>
      </c>
      <c r="D707" s="10" t="str">
        <f t="shared" si="0"/>
        <v>Online_Examination</v>
      </c>
      <c r="E707" s="8" t="s">
        <v>1522</v>
      </c>
      <c r="F707" s="8"/>
    </row>
    <row r="708" spans="1:6" ht="14.6" x14ac:dyDescent="0.4">
      <c r="A708" s="7" t="s">
        <v>1434</v>
      </c>
      <c r="B708" s="4" t="s">
        <v>1429</v>
      </c>
      <c r="C708" s="4" t="s">
        <v>52</v>
      </c>
      <c r="D708" s="10" t="str">
        <f t="shared" si="0"/>
        <v>Online_Examination</v>
      </c>
      <c r="E708" s="8" t="s">
        <v>1522</v>
      </c>
      <c r="F708" s="8"/>
    </row>
    <row r="709" spans="1:6" ht="14.6" x14ac:dyDescent="0.4">
      <c r="A709" s="7" t="s">
        <v>1467</v>
      </c>
      <c r="B709" s="4" t="s">
        <v>1427</v>
      </c>
      <c r="C709" s="4" t="s">
        <v>52</v>
      </c>
      <c r="D709" s="10" t="str">
        <f t="shared" si="0"/>
        <v>Online_Examination</v>
      </c>
      <c r="E709" s="8" t="s">
        <v>1522</v>
      </c>
      <c r="F709" s="8"/>
    </row>
    <row r="710" spans="1:6" ht="14.6" x14ac:dyDescent="0.4">
      <c r="A710" s="7" t="s">
        <v>1493</v>
      </c>
      <c r="B710" s="4" t="s">
        <v>1473</v>
      </c>
      <c r="C710" s="4" t="s">
        <v>52</v>
      </c>
      <c r="D710" s="10" t="str">
        <f t="shared" si="0"/>
        <v>Online_Examination</v>
      </c>
      <c r="E710" s="8" t="s">
        <v>1522</v>
      </c>
      <c r="F710" s="8"/>
    </row>
    <row r="711" spans="1:6" ht="14.6" x14ac:dyDescent="0.4">
      <c r="A711" s="7" t="s">
        <v>4</v>
      </c>
      <c r="B711" s="4" t="s">
        <v>5</v>
      </c>
      <c r="C711" s="4" t="s">
        <v>6</v>
      </c>
      <c r="D711" s="10" t="str">
        <f t="shared" si="0"/>
        <v>Online_Shopping_Platform</v>
      </c>
      <c r="E711" s="8" t="s">
        <v>1522</v>
      </c>
      <c r="F711" s="8" t="s">
        <v>1545</v>
      </c>
    </row>
    <row r="712" spans="1:6" ht="14.6" x14ac:dyDescent="0.4">
      <c r="A712" s="7" t="s">
        <v>99</v>
      </c>
      <c r="B712" s="4" t="s">
        <v>98</v>
      </c>
      <c r="C712" s="4" t="s">
        <v>6</v>
      </c>
      <c r="D712" s="10" t="str">
        <f t="shared" si="0"/>
        <v>Online_Shopping_Platform</v>
      </c>
      <c r="E712" s="8" t="s">
        <v>1522</v>
      </c>
      <c r="F712" s="8"/>
    </row>
    <row r="713" spans="1:6" ht="14.6" x14ac:dyDescent="0.4">
      <c r="A713" s="7" t="s">
        <v>130</v>
      </c>
      <c r="B713" s="4" t="s">
        <v>131</v>
      </c>
      <c r="C713" s="4" t="s">
        <v>6</v>
      </c>
      <c r="D713" s="10" t="str">
        <f t="shared" si="0"/>
        <v>Online_Shopping_Platform</v>
      </c>
      <c r="E713" s="8" t="s">
        <v>1522</v>
      </c>
      <c r="F713" s="8"/>
    </row>
    <row r="714" spans="1:6" ht="14.6" x14ac:dyDescent="0.4">
      <c r="A714" s="7" t="s">
        <v>140</v>
      </c>
      <c r="B714" s="4" t="s">
        <v>141</v>
      </c>
      <c r="C714" s="4" t="s">
        <v>6</v>
      </c>
      <c r="D714" s="10" t="str">
        <f t="shared" si="0"/>
        <v>Online_Shopping_Platform</v>
      </c>
      <c r="E714" s="8" t="s">
        <v>1522</v>
      </c>
      <c r="F714" s="8"/>
    </row>
    <row r="715" spans="1:6" ht="14.6" x14ac:dyDescent="0.4">
      <c r="A715" s="7" t="s">
        <v>229</v>
      </c>
      <c r="B715" s="4" t="s">
        <v>31</v>
      </c>
      <c r="C715" s="4" t="s">
        <v>6</v>
      </c>
      <c r="D715" s="10" t="str">
        <f t="shared" si="0"/>
        <v>Online_Shopping_Platform</v>
      </c>
      <c r="E715" s="8" t="s">
        <v>1522</v>
      </c>
      <c r="F715" s="8"/>
    </row>
    <row r="716" spans="1:6" ht="14.6" x14ac:dyDescent="0.4">
      <c r="A716" s="7" t="s">
        <v>245</v>
      </c>
      <c r="B716" s="4" t="s">
        <v>246</v>
      </c>
      <c r="C716" s="4" t="s">
        <v>6</v>
      </c>
      <c r="D716" s="10" t="str">
        <f t="shared" si="0"/>
        <v>Online_Shopping_Platform</v>
      </c>
      <c r="E716" s="8" t="s">
        <v>1522</v>
      </c>
      <c r="F716" s="8"/>
    </row>
    <row r="717" spans="1:6" ht="14.6" x14ac:dyDescent="0.4">
      <c r="A717" s="7" t="s">
        <v>258</v>
      </c>
      <c r="B717" s="4" t="s">
        <v>259</v>
      </c>
      <c r="C717" s="4" t="s">
        <v>6</v>
      </c>
      <c r="D717" s="10" t="str">
        <f t="shared" si="0"/>
        <v>Online_Shopping_Platform</v>
      </c>
      <c r="E717" s="8" t="s">
        <v>1522</v>
      </c>
      <c r="F717" s="8"/>
    </row>
    <row r="718" spans="1:6" ht="14.6" x14ac:dyDescent="0.4">
      <c r="A718" s="7" t="s">
        <v>275</v>
      </c>
      <c r="B718" s="4" t="s">
        <v>276</v>
      </c>
      <c r="C718" s="4" t="s">
        <v>6</v>
      </c>
      <c r="D718" s="10" t="str">
        <f t="shared" si="0"/>
        <v>Online_Shopping_Platform</v>
      </c>
      <c r="E718" s="8" t="s">
        <v>1522</v>
      </c>
      <c r="F718" s="8"/>
    </row>
    <row r="719" spans="1:6" ht="14.6" x14ac:dyDescent="0.4">
      <c r="A719" s="7" t="s">
        <v>279</v>
      </c>
      <c r="B719" s="4" t="s">
        <v>280</v>
      </c>
      <c r="C719" s="4" t="s">
        <v>6</v>
      </c>
      <c r="D719" s="10" t="str">
        <f t="shared" si="0"/>
        <v>Online_Shopping_Platform</v>
      </c>
      <c r="E719" s="8" t="s">
        <v>1522</v>
      </c>
      <c r="F719" s="8"/>
    </row>
    <row r="720" spans="1:6" ht="14.6" x14ac:dyDescent="0.4">
      <c r="A720" s="7" t="s">
        <v>292</v>
      </c>
      <c r="B720" s="4" t="s">
        <v>137</v>
      </c>
      <c r="C720" s="4" t="s">
        <v>6</v>
      </c>
      <c r="D720" s="10" t="str">
        <f t="shared" si="0"/>
        <v>Online_Shopping_Platform</v>
      </c>
      <c r="E720" s="8" t="s">
        <v>1522</v>
      </c>
      <c r="F720" s="8"/>
    </row>
    <row r="721" spans="1:6" ht="14.6" x14ac:dyDescent="0.4">
      <c r="A721" s="7" t="s">
        <v>313</v>
      </c>
      <c r="B721" s="4" t="s">
        <v>314</v>
      </c>
      <c r="C721" s="4" t="s">
        <v>6</v>
      </c>
      <c r="D721" s="10" t="str">
        <f t="shared" si="0"/>
        <v>Online_Shopping_Platform</v>
      </c>
      <c r="E721" s="8" t="s">
        <v>1522</v>
      </c>
      <c r="F721" s="8"/>
    </row>
    <row r="722" spans="1:6" ht="14.6" x14ac:dyDescent="0.4">
      <c r="A722" s="7" t="s">
        <v>334</v>
      </c>
      <c r="B722" s="4" t="s">
        <v>335</v>
      </c>
      <c r="C722" s="4" t="s">
        <v>6</v>
      </c>
      <c r="D722" s="10" t="str">
        <f t="shared" si="0"/>
        <v>Online_Shopping_Platform</v>
      </c>
      <c r="E722" s="8" t="s">
        <v>1522</v>
      </c>
      <c r="F722" s="8"/>
    </row>
    <row r="723" spans="1:6" ht="14.6" x14ac:dyDescent="0.4">
      <c r="A723" s="7" t="s">
        <v>346</v>
      </c>
      <c r="B723" s="4" t="s">
        <v>347</v>
      </c>
      <c r="C723" s="4" t="s">
        <v>6</v>
      </c>
      <c r="D723" s="10" t="str">
        <f t="shared" si="0"/>
        <v>Online_Shopping_Platform</v>
      </c>
      <c r="E723" s="8" t="s">
        <v>1522</v>
      </c>
      <c r="F723" s="8"/>
    </row>
    <row r="724" spans="1:6" ht="14.6" x14ac:dyDescent="0.4">
      <c r="A724" s="7" t="s">
        <v>398</v>
      </c>
      <c r="B724" s="4" t="s">
        <v>74</v>
      </c>
      <c r="C724" s="4" t="s">
        <v>6</v>
      </c>
      <c r="D724" s="10" t="str">
        <f t="shared" si="0"/>
        <v>Online_Shopping_Platform</v>
      </c>
      <c r="E724" s="8" t="s">
        <v>1522</v>
      </c>
      <c r="F724" s="8"/>
    </row>
    <row r="725" spans="1:6" ht="14.6" x14ac:dyDescent="0.4">
      <c r="A725" s="7" t="s">
        <v>435</v>
      </c>
      <c r="B725" s="4" t="s">
        <v>167</v>
      </c>
      <c r="C725" s="4" t="s">
        <v>6</v>
      </c>
      <c r="D725" s="10" t="str">
        <f t="shared" si="0"/>
        <v>Online_Shopping_Platform</v>
      </c>
      <c r="E725" s="8" t="s">
        <v>1522</v>
      </c>
      <c r="F725" s="8"/>
    </row>
    <row r="726" spans="1:6" ht="14.6" x14ac:dyDescent="0.4">
      <c r="A726" s="7" t="s">
        <v>466</v>
      </c>
      <c r="B726" s="4" t="s">
        <v>467</v>
      </c>
      <c r="C726" s="4" t="s">
        <v>6</v>
      </c>
      <c r="D726" s="10" t="str">
        <f t="shared" si="0"/>
        <v>Online_Shopping_Platform</v>
      </c>
      <c r="E726" s="8" t="s">
        <v>1522</v>
      </c>
      <c r="F726" s="8"/>
    </row>
    <row r="727" spans="1:6" ht="14.6" x14ac:dyDescent="0.4">
      <c r="A727" s="7" t="s">
        <v>489</v>
      </c>
      <c r="B727" s="4" t="s">
        <v>490</v>
      </c>
      <c r="C727" s="4" t="s">
        <v>6</v>
      </c>
      <c r="D727" s="10" t="str">
        <f t="shared" si="0"/>
        <v>Online_Shopping_Platform</v>
      </c>
      <c r="E727" s="8" t="s">
        <v>1522</v>
      </c>
      <c r="F727" s="8"/>
    </row>
    <row r="728" spans="1:6" ht="14.6" x14ac:dyDescent="0.4">
      <c r="A728" s="7" t="s">
        <v>514</v>
      </c>
      <c r="B728" s="4" t="s">
        <v>146</v>
      </c>
      <c r="C728" s="4" t="s">
        <v>6</v>
      </c>
      <c r="D728" s="10" t="str">
        <f t="shared" si="0"/>
        <v>Online_Shopping_Platform</v>
      </c>
      <c r="E728" s="8" t="s">
        <v>1522</v>
      </c>
      <c r="F728" s="8"/>
    </row>
    <row r="729" spans="1:6" ht="14.6" x14ac:dyDescent="0.4">
      <c r="A729" s="7" t="s">
        <v>571</v>
      </c>
      <c r="B729" s="4" t="s">
        <v>213</v>
      </c>
      <c r="C729" s="4" t="s">
        <v>6</v>
      </c>
      <c r="D729" s="10" t="str">
        <f t="shared" si="0"/>
        <v>Online_Shopping_Platform</v>
      </c>
      <c r="E729" s="8" t="s">
        <v>1522</v>
      </c>
      <c r="F729" s="8"/>
    </row>
    <row r="730" spans="1:6" ht="14.6" x14ac:dyDescent="0.4">
      <c r="A730" s="7" t="s">
        <v>654</v>
      </c>
      <c r="B730" s="4" t="s">
        <v>98</v>
      </c>
      <c r="C730" s="4" t="s">
        <v>6</v>
      </c>
      <c r="D730" s="10" t="str">
        <f t="shared" si="0"/>
        <v>Online_Shopping_Platform</v>
      </c>
      <c r="E730" s="8" t="s">
        <v>1522</v>
      </c>
      <c r="F730" s="8"/>
    </row>
    <row r="731" spans="1:6" ht="14.6" x14ac:dyDescent="0.4">
      <c r="A731" s="7" t="s">
        <v>655</v>
      </c>
      <c r="B731" s="4" t="s">
        <v>511</v>
      </c>
      <c r="C731" s="4" t="s">
        <v>6</v>
      </c>
      <c r="D731" s="10" t="str">
        <f t="shared" si="0"/>
        <v>Online_Shopping_Platform</v>
      </c>
      <c r="E731" s="8" t="s">
        <v>1522</v>
      </c>
      <c r="F731" s="8"/>
    </row>
    <row r="732" spans="1:6" ht="14.6" x14ac:dyDescent="0.4">
      <c r="A732" s="7" t="s">
        <v>669</v>
      </c>
      <c r="B732" s="4" t="s">
        <v>272</v>
      </c>
      <c r="C732" s="4" t="s">
        <v>6</v>
      </c>
      <c r="D732" s="10" t="str">
        <f t="shared" si="0"/>
        <v>Online_Shopping_Platform</v>
      </c>
      <c r="E732" s="8" t="s">
        <v>1522</v>
      </c>
      <c r="F732" s="8"/>
    </row>
    <row r="733" spans="1:6" ht="14.6" x14ac:dyDescent="0.4">
      <c r="A733" s="7" t="s">
        <v>695</v>
      </c>
      <c r="B733" s="4" t="s">
        <v>291</v>
      </c>
      <c r="C733" s="4" t="s">
        <v>6</v>
      </c>
      <c r="D733" s="10" t="str">
        <f t="shared" si="0"/>
        <v>Online_Shopping_Platform</v>
      </c>
      <c r="E733" s="8" t="s">
        <v>1522</v>
      </c>
      <c r="F733" s="8"/>
    </row>
    <row r="734" spans="1:6" ht="14.6" x14ac:dyDescent="0.4">
      <c r="A734" s="7" t="s">
        <v>696</v>
      </c>
      <c r="B734" s="4" t="s">
        <v>324</v>
      </c>
      <c r="C734" s="4" t="s">
        <v>6</v>
      </c>
      <c r="D734" s="10" t="str">
        <f t="shared" si="0"/>
        <v>Online_Shopping_Platform</v>
      </c>
      <c r="E734" s="8" t="s">
        <v>1522</v>
      </c>
      <c r="F734" s="8"/>
    </row>
    <row r="735" spans="1:6" ht="14.6" x14ac:dyDescent="0.4">
      <c r="A735" s="7" t="s">
        <v>739</v>
      </c>
      <c r="B735" s="4" t="s">
        <v>182</v>
      </c>
      <c r="C735" s="4" t="s">
        <v>6</v>
      </c>
      <c r="D735" s="10" t="str">
        <f t="shared" si="0"/>
        <v>Online_Shopping_Platform</v>
      </c>
      <c r="E735" s="8" t="s">
        <v>1522</v>
      </c>
      <c r="F735" s="8"/>
    </row>
    <row r="736" spans="1:6" ht="14.6" x14ac:dyDescent="0.4">
      <c r="A736" s="7" t="s">
        <v>743</v>
      </c>
      <c r="B736" s="4" t="s">
        <v>343</v>
      </c>
      <c r="C736" s="4" t="s">
        <v>6</v>
      </c>
      <c r="D736" s="10" t="str">
        <f t="shared" si="0"/>
        <v>Online_Shopping_Platform</v>
      </c>
      <c r="E736" s="8" t="s">
        <v>1522</v>
      </c>
      <c r="F736" s="8"/>
    </row>
    <row r="737" spans="1:6" ht="14.6" x14ac:dyDescent="0.4">
      <c r="A737" s="7" t="s">
        <v>758</v>
      </c>
      <c r="B737" s="4" t="s">
        <v>204</v>
      </c>
      <c r="C737" s="4" t="s">
        <v>6</v>
      </c>
      <c r="D737" s="10" t="str">
        <f t="shared" si="0"/>
        <v>Online_Shopping_Platform</v>
      </c>
      <c r="E737" s="8" t="s">
        <v>1522</v>
      </c>
      <c r="F737" s="8"/>
    </row>
    <row r="738" spans="1:6" ht="14.6" x14ac:dyDescent="0.4">
      <c r="A738" s="7" t="s">
        <v>764</v>
      </c>
      <c r="B738" s="4" t="s">
        <v>751</v>
      </c>
      <c r="C738" s="4" t="s">
        <v>6</v>
      </c>
      <c r="D738" s="10" t="str">
        <f t="shared" si="0"/>
        <v>Online_Shopping_Platform</v>
      </c>
      <c r="E738" s="8" t="s">
        <v>1522</v>
      </c>
      <c r="F738" s="8"/>
    </row>
    <row r="739" spans="1:6" ht="14.6" x14ac:dyDescent="0.4">
      <c r="A739" s="7" t="s">
        <v>790</v>
      </c>
      <c r="B739" s="4" t="s">
        <v>160</v>
      </c>
      <c r="C739" s="4" t="s">
        <v>6</v>
      </c>
      <c r="D739" s="10" t="str">
        <f t="shared" si="0"/>
        <v>Online_Shopping_Platform</v>
      </c>
      <c r="E739" s="8" t="s">
        <v>1522</v>
      </c>
      <c r="F739" s="8"/>
    </row>
    <row r="740" spans="1:6" ht="14.6" x14ac:dyDescent="0.4">
      <c r="A740" s="7" t="s">
        <v>812</v>
      </c>
      <c r="B740" s="4" t="s">
        <v>232</v>
      </c>
      <c r="C740" s="4" t="s">
        <v>6</v>
      </c>
      <c r="D740" s="10" t="str">
        <f t="shared" si="0"/>
        <v>Online_Shopping_Platform</v>
      </c>
      <c r="E740" s="8" t="s">
        <v>1522</v>
      </c>
      <c r="F740" s="8"/>
    </row>
    <row r="741" spans="1:6" ht="14.6" x14ac:dyDescent="0.4">
      <c r="A741" s="7" t="s">
        <v>821</v>
      </c>
      <c r="B741" s="4" t="s">
        <v>822</v>
      </c>
      <c r="C741" s="4" t="s">
        <v>6</v>
      </c>
      <c r="D741" s="10" t="str">
        <f t="shared" si="0"/>
        <v>Online_Shopping_Platform</v>
      </c>
      <c r="E741" s="8" t="s">
        <v>1522</v>
      </c>
      <c r="F741" s="8"/>
    </row>
    <row r="742" spans="1:6" ht="14.6" x14ac:dyDescent="0.4">
      <c r="A742" s="7" t="s">
        <v>833</v>
      </c>
      <c r="B742" s="4" t="s">
        <v>834</v>
      </c>
      <c r="C742" s="4" t="s">
        <v>6</v>
      </c>
      <c r="D742" s="10" t="str">
        <f t="shared" si="0"/>
        <v>Online_Shopping_Platform</v>
      </c>
      <c r="E742" s="8" t="s">
        <v>1522</v>
      </c>
      <c r="F742" s="8"/>
    </row>
    <row r="743" spans="1:6" ht="14.6" x14ac:dyDescent="0.4">
      <c r="A743" s="7" t="s">
        <v>835</v>
      </c>
      <c r="B743" s="4" t="s">
        <v>372</v>
      </c>
      <c r="C743" s="4" t="s">
        <v>6</v>
      </c>
      <c r="D743" s="10" t="str">
        <f t="shared" si="0"/>
        <v>Online_Shopping_Platform</v>
      </c>
      <c r="E743" s="8" t="s">
        <v>1522</v>
      </c>
      <c r="F743" s="8"/>
    </row>
    <row r="744" spans="1:6" ht="14.6" x14ac:dyDescent="0.4">
      <c r="A744" s="7" t="s">
        <v>887</v>
      </c>
      <c r="B744" s="4" t="s">
        <v>146</v>
      </c>
      <c r="C744" s="4" t="s">
        <v>6</v>
      </c>
      <c r="D744" s="10" t="str">
        <f t="shared" si="0"/>
        <v>Online_Shopping_Platform</v>
      </c>
      <c r="E744" s="8" t="s">
        <v>1522</v>
      </c>
      <c r="F744" s="8"/>
    </row>
    <row r="745" spans="1:6" ht="14.6" x14ac:dyDescent="0.4">
      <c r="A745" s="7" t="s">
        <v>903</v>
      </c>
      <c r="B745" s="4" t="s">
        <v>733</v>
      </c>
      <c r="C745" s="4" t="s">
        <v>6</v>
      </c>
      <c r="D745" s="10" t="str">
        <f t="shared" si="0"/>
        <v>Online_Shopping_Platform</v>
      </c>
      <c r="E745" s="8" t="s">
        <v>1522</v>
      </c>
      <c r="F745" s="8"/>
    </row>
    <row r="746" spans="1:6" ht="14.6" x14ac:dyDescent="0.4">
      <c r="A746" s="7" t="s">
        <v>930</v>
      </c>
      <c r="B746" s="4" t="s">
        <v>406</v>
      </c>
      <c r="C746" s="4" t="s">
        <v>6</v>
      </c>
      <c r="D746" s="10" t="str">
        <f t="shared" si="0"/>
        <v>Online_Shopping_Platform</v>
      </c>
      <c r="E746" s="8" t="s">
        <v>1522</v>
      </c>
      <c r="F746" s="8"/>
    </row>
    <row r="747" spans="1:6" ht="14.6" x14ac:dyDescent="0.4">
      <c r="A747" s="7" t="s">
        <v>964</v>
      </c>
      <c r="B747" s="4" t="s">
        <v>428</v>
      </c>
      <c r="C747" s="4" t="s">
        <v>6</v>
      </c>
      <c r="D747" s="10" t="str">
        <f t="shared" si="0"/>
        <v>Online_Shopping_Platform</v>
      </c>
      <c r="E747" s="8" t="s">
        <v>1522</v>
      </c>
      <c r="F747" s="8"/>
    </row>
    <row r="748" spans="1:6" ht="14.6" x14ac:dyDescent="0.4">
      <c r="A748" s="7" t="s">
        <v>974</v>
      </c>
      <c r="B748" s="4" t="s">
        <v>259</v>
      </c>
      <c r="C748" s="4" t="s">
        <v>6</v>
      </c>
      <c r="D748" s="10" t="str">
        <f t="shared" si="0"/>
        <v>Online_Shopping_Platform</v>
      </c>
      <c r="E748" s="8" t="s">
        <v>1522</v>
      </c>
      <c r="F748" s="8"/>
    </row>
    <row r="749" spans="1:6" ht="14.6" x14ac:dyDescent="0.4">
      <c r="A749" s="7" t="s">
        <v>996</v>
      </c>
      <c r="B749" s="4" t="s">
        <v>997</v>
      </c>
      <c r="C749" s="4" t="s">
        <v>6</v>
      </c>
      <c r="D749" s="10" t="str">
        <f t="shared" si="0"/>
        <v>Online_Shopping_Platform</v>
      </c>
      <c r="E749" s="8" t="s">
        <v>1522</v>
      </c>
      <c r="F749" s="8"/>
    </row>
    <row r="750" spans="1:6" ht="14.6" x14ac:dyDescent="0.4">
      <c r="A750" s="7" t="s">
        <v>1026</v>
      </c>
      <c r="B750" s="4" t="s">
        <v>1027</v>
      </c>
      <c r="C750" s="4" t="s">
        <v>6</v>
      </c>
      <c r="D750" s="10" t="str">
        <f t="shared" si="0"/>
        <v>Online_Shopping_Platform</v>
      </c>
      <c r="E750" s="8" t="s">
        <v>1522</v>
      </c>
      <c r="F750" s="8"/>
    </row>
    <row r="751" spans="1:6" ht="14.6" x14ac:dyDescent="0.4">
      <c r="A751" s="7" t="s">
        <v>1043</v>
      </c>
      <c r="B751" s="4" t="s">
        <v>1031</v>
      </c>
      <c r="C751" s="4" t="s">
        <v>6</v>
      </c>
      <c r="D751" s="10" t="str">
        <f t="shared" si="0"/>
        <v>Online_Shopping_Platform</v>
      </c>
      <c r="E751" s="8" t="s">
        <v>1522</v>
      </c>
      <c r="F751" s="8"/>
    </row>
    <row r="752" spans="1:6" ht="14.6" x14ac:dyDescent="0.4">
      <c r="A752" s="7" t="s">
        <v>1053</v>
      </c>
      <c r="B752" s="4" t="s">
        <v>1054</v>
      </c>
      <c r="C752" s="4" t="s">
        <v>6</v>
      </c>
      <c r="D752" s="10" t="str">
        <f t="shared" si="0"/>
        <v>Online_Shopping_Platform</v>
      </c>
      <c r="E752" s="8" t="s">
        <v>1522</v>
      </c>
      <c r="F752" s="8"/>
    </row>
    <row r="753" spans="1:6" ht="14.6" x14ac:dyDescent="0.4">
      <c r="A753" s="7" t="s">
        <v>1083</v>
      </c>
      <c r="B753" s="4" t="s">
        <v>1070</v>
      </c>
      <c r="C753" s="4" t="s">
        <v>6</v>
      </c>
      <c r="D753" s="10" t="str">
        <f t="shared" si="0"/>
        <v>Online_Shopping_Platform</v>
      </c>
      <c r="E753" s="8" t="s">
        <v>1522</v>
      </c>
      <c r="F753" s="8"/>
    </row>
    <row r="754" spans="1:6" ht="14.6" x14ac:dyDescent="0.4">
      <c r="A754" s="7" t="s">
        <v>1098</v>
      </c>
      <c r="B754" s="4" t="s">
        <v>1080</v>
      </c>
      <c r="C754" s="4" t="s">
        <v>6</v>
      </c>
      <c r="D754" s="10" t="str">
        <f t="shared" si="0"/>
        <v>Online_Shopping_Platform</v>
      </c>
      <c r="E754" s="8" t="s">
        <v>1522</v>
      </c>
      <c r="F754" s="8"/>
    </row>
    <row r="755" spans="1:6" ht="14.6" x14ac:dyDescent="0.4">
      <c r="A755" s="7" t="s">
        <v>1113</v>
      </c>
      <c r="B755" s="4" t="s">
        <v>1067</v>
      </c>
      <c r="C755" s="4" t="s">
        <v>6</v>
      </c>
      <c r="D755" s="10" t="str">
        <f t="shared" si="0"/>
        <v>Online_Shopping_Platform</v>
      </c>
      <c r="E755" s="8" t="s">
        <v>1522</v>
      </c>
      <c r="F755" s="8"/>
    </row>
    <row r="756" spans="1:6" ht="14.6" x14ac:dyDescent="0.4">
      <c r="A756" s="7" t="s">
        <v>1122</v>
      </c>
      <c r="B756" s="4" t="s">
        <v>1054</v>
      </c>
      <c r="C756" s="4" t="s">
        <v>6</v>
      </c>
      <c r="D756" s="10" t="str">
        <f t="shared" si="0"/>
        <v>Online_Shopping_Platform</v>
      </c>
      <c r="E756" s="8" t="s">
        <v>1522</v>
      </c>
      <c r="F756" s="8"/>
    </row>
    <row r="757" spans="1:6" ht="14.6" x14ac:dyDescent="0.4">
      <c r="A757" s="7" t="s">
        <v>1135</v>
      </c>
      <c r="B757" s="4" t="s">
        <v>1027</v>
      </c>
      <c r="C757" s="4" t="s">
        <v>6</v>
      </c>
      <c r="D757" s="10" t="str">
        <f t="shared" si="0"/>
        <v>Online_Shopping_Platform</v>
      </c>
      <c r="E757" s="8" t="s">
        <v>1522</v>
      </c>
      <c r="F757" s="8"/>
    </row>
    <row r="758" spans="1:6" ht="14.6" x14ac:dyDescent="0.4">
      <c r="A758" s="7" t="s">
        <v>1152</v>
      </c>
      <c r="B758" s="4" t="s">
        <v>1151</v>
      </c>
      <c r="C758" s="4" t="s">
        <v>6</v>
      </c>
      <c r="D758" s="10" t="str">
        <f t="shared" si="0"/>
        <v>Online_Shopping_Platform</v>
      </c>
      <c r="E758" s="8" t="s">
        <v>1522</v>
      </c>
      <c r="F758" s="8"/>
    </row>
    <row r="759" spans="1:6" ht="14.6" x14ac:dyDescent="0.4">
      <c r="A759" s="7" t="s">
        <v>1190</v>
      </c>
      <c r="B759" s="4" t="s">
        <v>1191</v>
      </c>
      <c r="C759" s="4" t="s">
        <v>6</v>
      </c>
      <c r="D759" s="10" t="str">
        <f t="shared" si="0"/>
        <v>Online_Shopping_Platform</v>
      </c>
      <c r="E759" s="8" t="s">
        <v>1522</v>
      </c>
      <c r="F759" s="8"/>
    </row>
    <row r="760" spans="1:6" ht="14.6" x14ac:dyDescent="0.4">
      <c r="A760" s="7" t="s">
        <v>1193</v>
      </c>
      <c r="B760" s="4" t="s">
        <v>1176</v>
      </c>
      <c r="C760" s="4" t="s">
        <v>6</v>
      </c>
      <c r="D760" s="10" t="str">
        <f t="shared" si="0"/>
        <v>Online_Shopping_Platform</v>
      </c>
      <c r="E760" s="8" t="s">
        <v>1522</v>
      </c>
      <c r="F760" s="8"/>
    </row>
    <row r="761" spans="1:6" ht="14.6" x14ac:dyDescent="0.4">
      <c r="A761" s="7" t="s">
        <v>1197</v>
      </c>
      <c r="B761" s="4" t="s">
        <v>1147</v>
      </c>
      <c r="C761" s="4" t="s">
        <v>6</v>
      </c>
      <c r="D761" s="10" t="str">
        <f t="shared" si="0"/>
        <v>Online_Shopping_Platform</v>
      </c>
      <c r="E761" s="8" t="s">
        <v>1522</v>
      </c>
      <c r="F761" s="8"/>
    </row>
    <row r="762" spans="1:6" ht="14.6" x14ac:dyDescent="0.4">
      <c r="A762" s="7" t="s">
        <v>1214</v>
      </c>
      <c r="B762" s="4" t="s">
        <v>1167</v>
      </c>
      <c r="C762" s="4" t="s">
        <v>6</v>
      </c>
      <c r="D762" s="10" t="str">
        <f t="shared" si="0"/>
        <v>Online_Shopping_Platform</v>
      </c>
      <c r="E762" s="8" t="s">
        <v>1522</v>
      </c>
      <c r="F762" s="8"/>
    </row>
    <row r="763" spans="1:6" ht="14.6" x14ac:dyDescent="0.4">
      <c r="A763" s="7" t="s">
        <v>1222</v>
      </c>
      <c r="B763" s="4" t="s">
        <v>1167</v>
      </c>
      <c r="C763" s="4" t="s">
        <v>6</v>
      </c>
      <c r="D763" s="10" t="str">
        <f t="shared" si="0"/>
        <v>Online_Shopping_Platform</v>
      </c>
      <c r="E763" s="8" t="s">
        <v>1522</v>
      </c>
      <c r="F763" s="8"/>
    </row>
    <row r="764" spans="1:6" ht="14.6" x14ac:dyDescent="0.4">
      <c r="A764" s="7" t="s">
        <v>1241</v>
      </c>
      <c r="B764" s="4" t="s">
        <v>1217</v>
      </c>
      <c r="C764" s="4" t="s">
        <v>6</v>
      </c>
      <c r="D764" s="10" t="str">
        <f t="shared" si="0"/>
        <v>Online_Shopping_Platform</v>
      </c>
      <c r="E764" s="8" t="s">
        <v>1522</v>
      </c>
      <c r="F764" s="8"/>
    </row>
    <row r="765" spans="1:6" ht="14.6" x14ac:dyDescent="0.4">
      <c r="A765" s="7" t="s">
        <v>1245</v>
      </c>
      <c r="B765" s="4" t="s">
        <v>1167</v>
      </c>
      <c r="C765" s="4" t="s">
        <v>6</v>
      </c>
      <c r="D765" s="10" t="str">
        <f t="shared" si="0"/>
        <v>Online_Shopping_Platform</v>
      </c>
      <c r="E765" s="8" t="s">
        <v>1522</v>
      </c>
      <c r="F765" s="8"/>
    </row>
    <row r="766" spans="1:6" ht="14.6" x14ac:dyDescent="0.4">
      <c r="A766" s="7" t="s">
        <v>1300</v>
      </c>
      <c r="B766" s="4" t="s">
        <v>1258</v>
      </c>
      <c r="C766" s="4" t="s">
        <v>6</v>
      </c>
      <c r="D766" s="10" t="str">
        <f t="shared" si="0"/>
        <v>Online_Shopping_Platform</v>
      </c>
      <c r="E766" s="8" t="s">
        <v>1522</v>
      </c>
      <c r="F766" s="8"/>
    </row>
    <row r="767" spans="1:6" ht="14.6" x14ac:dyDescent="0.4">
      <c r="A767" s="7" t="s">
        <v>1306</v>
      </c>
      <c r="B767" s="4" t="s">
        <v>1258</v>
      </c>
      <c r="C767" s="4" t="s">
        <v>6</v>
      </c>
      <c r="D767" s="10" t="str">
        <f t="shared" si="0"/>
        <v>Online_Shopping_Platform</v>
      </c>
      <c r="E767" s="8" t="s">
        <v>1522</v>
      </c>
      <c r="F767" s="8"/>
    </row>
    <row r="768" spans="1:6" ht="14.6" x14ac:dyDescent="0.4">
      <c r="A768" s="7" t="s">
        <v>1323</v>
      </c>
      <c r="B768" s="4" t="s">
        <v>1262</v>
      </c>
      <c r="C768" s="4" t="s">
        <v>6</v>
      </c>
      <c r="D768" s="10" t="str">
        <f t="shared" si="0"/>
        <v>Online_Shopping_Platform</v>
      </c>
      <c r="E768" s="8" t="s">
        <v>1522</v>
      </c>
      <c r="F768" s="8"/>
    </row>
    <row r="769" spans="1:6" ht="14.6" x14ac:dyDescent="0.4">
      <c r="A769" s="7" t="s">
        <v>1330</v>
      </c>
      <c r="B769" s="4" t="s">
        <v>1262</v>
      </c>
      <c r="C769" s="4" t="s">
        <v>6</v>
      </c>
      <c r="D769" s="10" t="str">
        <f t="shared" si="0"/>
        <v>Online_Shopping_Platform</v>
      </c>
      <c r="E769" s="8" t="s">
        <v>1522</v>
      </c>
      <c r="F769" s="8"/>
    </row>
    <row r="770" spans="1:6" ht="14.6" x14ac:dyDescent="0.4">
      <c r="A770" s="7" t="s">
        <v>1342</v>
      </c>
      <c r="B770" s="4" t="s">
        <v>1258</v>
      </c>
      <c r="C770" s="4" t="s">
        <v>6</v>
      </c>
      <c r="D770" s="10" t="str">
        <f t="shared" si="0"/>
        <v>Online_Shopping_Platform</v>
      </c>
      <c r="E770" s="8" t="s">
        <v>1522</v>
      </c>
      <c r="F770" s="8"/>
    </row>
    <row r="771" spans="1:6" ht="14.6" x14ac:dyDescent="0.4">
      <c r="A771" s="7" t="s">
        <v>1348</v>
      </c>
      <c r="B771" s="4" t="s">
        <v>1349</v>
      </c>
      <c r="C771" s="4" t="s">
        <v>6</v>
      </c>
      <c r="D771" s="10" t="str">
        <f t="shared" si="0"/>
        <v>Online_Shopping_Platform</v>
      </c>
      <c r="E771" s="8" t="s">
        <v>1522</v>
      </c>
      <c r="F771" s="8"/>
    </row>
    <row r="772" spans="1:6" ht="14.6" x14ac:dyDescent="0.4">
      <c r="A772" s="7" t="s">
        <v>1363</v>
      </c>
      <c r="B772" s="4" t="s">
        <v>1355</v>
      </c>
      <c r="C772" s="4" t="s">
        <v>6</v>
      </c>
      <c r="D772" s="10" t="str">
        <f t="shared" si="0"/>
        <v>Online_Shopping_Platform</v>
      </c>
      <c r="E772" s="8" t="s">
        <v>1522</v>
      </c>
      <c r="F772" s="8"/>
    </row>
    <row r="773" spans="1:6" ht="14.6" x14ac:dyDescent="0.4">
      <c r="A773" s="7" t="s">
        <v>1382</v>
      </c>
      <c r="B773" s="4" t="s">
        <v>1357</v>
      </c>
      <c r="C773" s="4" t="s">
        <v>6</v>
      </c>
      <c r="D773" s="10" t="str">
        <f t="shared" si="0"/>
        <v>Online_Shopping_Platform</v>
      </c>
      <c r="E773" s="8" t="s">
        <v>1522</v>
      </c>
      <c r="F773" s="8"/>
    </row>
    <row r="774" spans="1:6" ht="14.6" x14ac:dyDescent="0.4">
      <c r="A774" s="7" t="s">
        <v>1412</v>
      </c>
      <c r="B774" s="4" t="s">
        <v>1357</v>
      </c>
      <c r="C774" s="4" t="s">
        <v>6</v>
      </c>
      <c r="D774" s="10" t="str">
        <f t="shared" si="0"/>
        <v>Online_Shopping_Platform</v>
      </c>
      <c r="E774" s="8" t="s">
        <v>1522</v>
      </c>
      <c r="F774" s="8"/>
    </row>
    <row r="775" spans="1:6" ht="14.6" x14ac:dyDescent="0.4">
      <c r="A775" s="7" t="s">
        <v>1420</v>
      </c>
      <c r="B775" s="4" t="s">
        <v>1421</v>
      </c>
      <c r="C775" s="4" t="s">
        <v>6</v>
      </c>
      <c r="D775" s="10" t="str">
        <f t="shared" si="0"/>
        <v>Online_Shopping_Platform</v>
      </c>
      <c r="E775" s="8" t="s">
        <v>1522</v>
      </c>
      <c r="F775" s="8"/>
    </row>
    <row r="776" spans="1:6" ht="14.6" x14ac:dyDescent="0.4">
      <c r="A776" s="7" t="s">
        <v>1423</v>
      </c>
      <c r="B776" s="4" t="s">
        <v>1355</v>
      </c>
      <c r="C776" s="4" t="s">
        <v>6</v>
      </c>
      <c r="D776" s="10" t="str">
        <f t="shared" si="0"/>
        <v>Online_Shopping_Platform</v>
      </c>
      <c r="E776" s="8" t="s">
        <v>1522</v>
      </c>
      <c r="F776" s="8"/>
    </row>
    <row r="777" spans="1:6" ht="14.6" x14ac:dyDescent="0.4">
      <c r="A777" s="7" t="s">
        <v>1435</v>
      </c>
      <c r="B777" s="4" t="s">
        <v>1427</v>
      </c>
      <c r="C777" s="4" t="s">
        <v>6</v>
      </c>
      <c r="D777" s="10" t="str">
        <f t="shared" si="0"/>
        <v>Online_Shopping_Platform</v>
      </c>
      <c r="E777" s="8" t="s">
        <v>1522</v>
      </c>
      <c r="F777" s="8"/>
    </row>
    <row r="778" spans="1:6" ht="14.6" x14ac:dyDescent="0.4">
      <c r="A778" s="7" t="s">
        <v>1450</v>
      </c>
      <c r="B778" s="4" t="s">
        <v>1427</v>
      </c>
      <c r="C778" s="4" t="s">
        <v>6</v>
      </c>
      <c r="D778" s="10" t="str">
        <f t="shared" si="0"/>
        <v>Online_Shopping_Platform</v>
      </c>
      <c r="E778" s="8" t="s">
        <v>1522</v>
      </c>
      <c r="F778" s="8"/>
    </row>
    <row r="779" spans="1:6" ht="14.6" x14ac:dyDescent="0.4">
      <c r="A779" s="7" t="s">
        <v>1469</v>
      </c>
      <c r="B779" s="4" t="s">
        <v>1449</v>
      </c>
      <c r="C779" s="4" t="s">
        <v>6</v>
      </c>
      <c r="D779" s="10" t="str">
        <f t="shared" si="0"/>
        <v>Online_Shopping_Platform</v>
      </c>
      <c r="E779" s="8" t="s">
        <v>1522</v>
      </c>
      <c r="F779" s="8"/>
    </row>
    <row r="780" spans="1:6" ht="14.6" x14ac:dyDescent="0.4">
      <c r="A780" s="7" t="s">
        <v>1516</v>
      </c>
      <c r="B780" s="4" t="s">
        <v>1505</v>
      </c>
      <c r="C780" s="4" t="s">
        <v>6</v>
      </c>
      <c r="D780" s="10" t="str">
        <f t="shared" si="0"/>
        <v>Online_Shopping_Platform</v>
      </c>
      <c r="E780" s="8" t="s">
        <v>1522</v>
      </c>
      <c r="F780" s="8"/>
    </row>
    <row r="781" spans="1:6" ht="14.6" x14ac:dyDescent="0.4">
      <c r="A781" s="7" t="s">
        <v>53</v>
      </c>
      <c r="B781" s="4" t="s">
        <v>54</v>
      </c>
      <c r="C781" s="4" t="s">
        <v>55</v>
      </c>
      <c r="D781" s="10" t="str">
        <f t="shared" si="0"/>
        <v>Patient_Records_System</v>
      </c>
      <c r="E781" s="8" t="s">
        <v>1522</v>
      </c>
      <c r="F781" s="8" t="s">
        <v>1546</v>
      </c>
    </row>
    <row r="782" spans="1:6" ht="14.6" x14ac:dyDescent="0.4">
      <c r="A782" s="7" t="s">
        <v>77</v>
      </c>
      <c r="B782" s="4" t="s">
        <v>78</v>
      </c>
      <c r="C782" s="4" t="s">
        <v>55</v>
      </c>
      <c r="D782" s="10" t="str">
        <f t="shared" si="0"/>
        <v>Patient_Records_System</v>
      </c>
      <c r="E782" s="8" t="s">
        <v>1522</v>
      </c>
      <c r="F782" s="8"/>
    </row>
    <row r="783" spans="1:6" ht="14.6" x14ac:dyDescent="0.4">
      <c r="A783" s="7" t="s">
        <v>79</v>
      </c>
      <c r="B783" s="4" t="s">
        <v>80</v>
      </c>
      <c r="C783" s="4" t="s">
        <v>55</v>
      </c>
      <c r="D783" s="10" t="str">
        <f t="shared" si="0"/>
        <v>Patient_Records_System</v>
      </c>
      <c r="E783" s="8" t="s">
        <v>1522</v>
      </c>
      <c r="F783" s="8"/>
    </row>
    <row r="784" spans="1:6" ht="14.6" x14ac:dyDescent="0.4">
      <c r="A784" s="7" t="s">
        <v>115</v>
      </c>
      <c r="B784" s="4" t="s">
        <v>116</v>
      </c>
      <c r="C784" s="4" t="s">
        <v>55</v>
      </c>
      <c r="D784" s="10" t="str">
        <f t="shared" si="0"/>
        <v>Patient_Records_System</v>
      </c>
      <c r="E784" s="8" t="s">
        <v>1522</v>
      </c>
      <c r="F784" s="8"/>
    </row>
    <row r="785" spans="1:6" ht="14.6" x14ac:dyDescent="0.4">
      <c r="A785" s="7" t="s">
        <v>192</v>
      </c>
      <c r="B785" s="4" t="s">
        <v>193</v>
      </c>
      <c r="C785" s="4" t="s">
        <v>55</v>
      </c>
      <c r="D785" s="10" t="str">
        <f t="shared" si="0"/>
        <v>Patient_Records_System</v>
      </c>
      <c r="E785" s="8" t="s">
        <v>1522</v>
      </c>
      <c r="F785" s="8"/>
    </row>
    <row r="786" spans="1:6" ht="14.6" x14ac:dyDescent="0.4">
      <c r="A786" s="7" t="s">
        <v>218</v>
      </c>
      <c r="B786" s="4" t="s">
        <v>219</v>
      </c>
      <c r="C786" s="4" t="s">
        <v>55</v>
      </c>
      <c r="D786" s="10" t="str">
        <f t="shared" si="0"/>
        <v>Patient_Records_System</v>
      </c>
      <c r="E786" s="8" t="s">
        <v>1522</v>
      </c>
      <c r="F786" s="8"/>
    </row>
    <row r="787" spans="1:6" ht="14.6" x14ac:dyDescent="0.4">
      <c r="A787" s="7" t="s">
        <v>241</v>
      </c>
      <c r="B787" s="4" t="s">
        <v>242</v>
      </c>
      <c r="C787" s="4" t="s">
        <v>55</v>
      </c>
      <c r="D787" s="10" t="str">
        <f t="shared" si="0"/>
        <v>Patient_Records_System</v>
      </c>
      <c r="E787" s="8" t="s">
        <v>1522</v>
      </c>
      <c r="F787" s="8"/>
    </row>
    <row r="788" spans="1:6" ht="14.6" x14ac:dyDescent="0.4">
      <c r="A788" s="7" t="s">
        <v>261</v>
      </c>
      <c r="B788" s="4" t="s">
        <v>80</v>
      </c>
      <c r="C788" s="4" t="s">
        <v>55</v>
      </c>
      <c r="D788" s="10" t="str">
        <f t="shared" si="0"/>
        <v>Patient_Records_System</v>
      </c>
      <c r="E788" s="8" t="s">
        <v>1522</v>
      </c>
      <c r="F788" s="8"/>
    </row>
    <row r="789" spans="1:6" ht="14.6" x14ac:dyDescent="0.4">
      <c r="A789" s="7" t="s">
        <v>285</v>
      </c>
      <c r="B789" s="4" t="s">
        <v>286</v>
      </c>
      <c r="C789" s="4" t="s">
        <v>55</v>
      </c>
      <c r="D789" s="10" t="str">
        <f t="shared" si="0"/>
        <v>Patient_Records_System</v>
      </c>
      <c r="E789" s="8" t="s">
        <v>1522</v>
      </c>
      <c r="F789" s="8"/>
    </row>
    <row r="790" spans="1:6" ht="14.6" x14ac:dyDescent="0.4">
      <c r="A790" s="7" t="s">
        <v>304</v>
      </c>
      <c r="B790" s="4" t="s">
        <v>305</v>
      </c>
      <c r="C790" s="4" t="s">
        <v>55</v>
      </c>
      <c r="D790" s="10" t="str">
        <f t="shared" si="0"/>
        <v>Patient_Records_System</v>
      </c>
      <c r="E790" s="8" t="s">
        <v>1522</v>
      </c>
      <c r="F790" s="8"/>
    </row>
    <row r="791" spans="1:6" ht="14.6" x14ac:dyDescent="0.4">
      <c r="A791" s="7" t="s">
        <v>315</v>
      </c>
      <c r="B791" s="4" t="s">
        <v>316</v>
      </c>
      <c r="C791" s="4" t="s">
        <v>55</v>
      </c>
      <c r="D791" s="10" t="str">
        <f t="shared" si="0"/>
        <v>Patient_Records_System</v>
      </c>
      <c r="E791" s="8" t="s">
        <v>1522</v>
      </c>
      <c r="F791" s="8"/>
    </row>
    <row r="792" spans="1:6" ht="14.6" x14ac:dyDescent="0.4">
      <c r="A792" s="7" t="s">
        <v>340</v>
      </c>
      <c r="B792" s="4" t="s">
        <v>341</v>
      </c>
      <c r="C792" s="4" t="s">
        <v>55</v>
      </c>
      <c r="D792" s="10" t="str">
        <f t="shared" si="0"/>
        <v>Patient_Records_System</v>
      </c>
      <c r="E792" s="8" t="s">
        <v>1522</v>
      </c>
      <c r="F792" s="8"/>
    </row>
    <row r="793" spans="1:6" ht="14.6" x14ac:dyDescent="0.4">
      <c r="A793" s="7" t="s">
        <v>352</v>
      </c>
      <c r="B793" s="4" t="s">
        <v>28</v>
      </c>
      <c r="C793" s="4" t="s">
        <v>55</v>
      </c>
      <c r="D793" s="10" t="str">
        <f t="shared" si="0"/>
        <v>Patient_Records_System</v>
      </c>
      <c r="E793" s="8" t="s">
        <v>1522</v>
      </c>
      <c r="F793" s="8"/>
    </row>
    <row r="794" spans="1:6" ht="14.6" x14ac:dyDescent="0.4">
      <c r="A794" s="7" t="s">
        <v>361</v>
      </c>
      <c r="B794" s="4" t="s">
        <v>250</v>
      </c>
      <c r="C794" s="4" t="s">
        <v>55</v>
      </c>
      <c r="D794" s="10" t="str">
        <f t="shared" si="0"/>
        <v>Patient_Records_System</v>
      </c>
      <c r="E794" s="8" t="s">
        <v>1522</v>
      </c>
      <c r="F794" s="8"/>
    </row>
    <row r="795" spans="1:6" ht="14.6" x14ac:dyDescent="0.4">
      <c r="A795" s="7" t="s">
        <v>381</v>
      </c>
      <c r="B795" s="4" t="s">
        <v>286</v>
      </c>
      <c r="C795" s="4" t="s">
        <v>55</v>
      </c>
      <c r="D795" s="10" t="str">
        <f t="shared" si="0"/>
        <v>Patient_Records_System</v>
      </c>
      <c r="E795" s="8" t="s">
        <v>1522</v>
      </c>
      <c r="F795" s="8"/>
    </row>
    <row r="796" spans="1:6" ht="14.6" x14ac:dyDescent="0.4">
      <c r="A796" s="7" t="s">
        <v>403</v>
      </c>
      <c r="B796" s="4" t="s">
        <v>404</v>
      </c>
      <c r="C796" s="4" t="s">
        <v>55</v>
      </c>
      <c r="D796" s="10" t="str">
        <f t="shared" si="0"/>
        <v>Patient_Records_System</v>
      </c>
      <c r="E796" s="8" t="s">
        <v>1522</v>
      </c>
      <c r="F796" s="8"/>
    </row>
    <row r="797" spans="1:6" ht="14.6" x14ac:dyDescent="0.4">
      <c r="A797" s="7" t="s">
        <v>412</v>
      </c>
      <c r="B797" s="4" t="s">
        <v>413</v>
      </c>
      <c r="C797" s="4" t="s">
        <v>55</v>
      </c>
      <c r="D797" s="10" t="str">
        <f t="shared" si="0"/>
        <v>Patient_Records_System</v>
      </c>
      <c r="E797" s="8" t="s">
        <v>1522</v>
      </c>
      <c r="F797" s="8"/>
    </row>
    <row r="798" spans="1:6" ht="14.6" x14ac:dyDescent="0.4">
      <c r="A798" s="7" t="s">
        <v>418</v>
      </c>
      <c r="B798" s="4" t="s">
        <v>419</v>
      </c>
      <c r="C798" s="4" t="s">
        <v>55</v>
      </c>
      <c r="D798" s="10" t="str">
        <f t="shared" si="0"/>
        <v>Patient_Records_System</v>
      </c>
      <c r="E798" s="8" t="s">
        <v>1522</v>
      </c>
      <c r="F798" s="8"/>
    </row>
    <row r="799" spans="1:6" ht="14.6" x14ac:dyDescent="0.4">
      <c r="A799" s="7" t="s">
        <v>441</v>
      </c>
      <c r="B799" s="4" t="s">
        <v>372</v>
      </c>
      <c r="C799" s="4" t="s">
        <v>55</v>
      </c>
      <c r="D799" s="10" t="str">
        <f t="shared" si="0"/>
        <v>Patient_Records_System</v>
      </c>
      <c r="E799" s="8" t="s">
        <v>1522</v>
      </c>
      <c r="F799" s="8"/>
    </row>
    <row r="800" spans="1:6" ht="14.6" x14ac:dyDescent="0.4">
      <c r="A800" s="7" t="s">
        <v>442</v>
      </c>
      <c r="B800" s="4" t="s">
        <v>347</v>
      </c>
      <c r="C800" s="4" t="s">
        <v>55</v>
      </c>
      <c r="D800" s="10" t="str">
        <f t="shared" si="0"/>
        <v>Patient_Records_System</v>
      </c>
      <c r="E800" s="8" t="s">
        <v>1522</v>
      </c>
      <c r="F800" s="8"/>
    </row>
    <row r="801" spans="1:6" ht="14.6" x14ac:dyDescent="0.4">
      <c r="A801" s="7" t="s">
        <v>445</v>
      </c>
      <c r="B801" s="4" t="s">
        <v>289</v>
      </c>
      <c r="C801" s="4" t="s">
        <v>55</v>
      </c>
      <c r="D801" s="10" t="str">
        <f t="shared" si="0"/>
        <v>Patient_Records_System</v>
      </c>
      <c r="E801" s="8" t="s">
        <v>1522</v>
      </c>
      <c r="F801" s="8"/>
    </row>
    <row r="802" spans="1:6" ht="14.6" x14ac:dyDescent="0.4">
      <c r="A802" s="7" t="s">
        <v>480</v>
      </c>
      <c r="B802" s="4" t="s">
        <v>20</v>
      </c>
      <c r="C802" s="4" t="s">
        <v>55</v>
      </c>
      <c r="D802" s="10" t="str">
        <f t="shared" si="0"/>
        <v>Patient_Records_System</v>
      </c>
      <c r="E802" s="8" t="s">
        <v>1522</v>
      </c>
      <c r="F802" s="8"/>
    </row>
    <row r="803" spans="1:6" ht="14.6" x14ac:dyDescent="0.4">
      <c r="A803" s="7" t="s">
        <v>517</v>
      </c>
      <c r="B803" s="4" t="s">
        <v>202</v>
      </c>
      <c r="C803" s="4" t="s">
        <v>55</v>
      </c>
      <c r="D803" s="10" t="str">
        <f t="shared" si="0"/>
        <v>Patient_Records_System</v>
      </c>
      <c r="E803" s="8" t="s">
        <v>1522</v>
      </c>
      <c r="F803" s="8"/>
    </row>
    <row r="804" spans="1:6" ht="14.6" x14ac:dyDescent="0.4">
      <c r="A804" s="7" t="s">
        <v>550</v>
      </c>
      <c r="B804" s="4" t="s">
        <v>545</v>
      </c>
      <c r="C804" s="4" t="s">
        <v>55</v>
      </c>
      <c r="D804" s="10" t="str">
        <f t="shared" si="0"/>
        <v>Patient_Records_System</v>
      </c>
      <c r="E804" s="8" t="s">
        <v>1522</v>
      </c>
      <c r="F804" s="8"/>
    </row>
    <row r="805" spans="1:6" ht="14.6" x14ac:dyDescent="0.4">
      <c r="A805" s="7" t="s">
        <v>618</v>
      </c>
      <c r="B805" s="4" t="s">
        <v>612</v>
      </c>
      <c r="C805" s="4" t="s">
        <v>55</v>
      </c>
      <c r="D805" s="10" t="str">
        <f t="shared" si="0"/>
        <v>Patient_Records_System</v>
      </c>
      <c r="E805" s="8" t="s">
        <v>1522</v>
      </c>
      <c r="F805" s="8"/>
    </row>
    <row r="806" spans="1:6" ht="14.6" x14ac:dyDescent="0.4">
      <c r="A806" s="7" t="s">
        <v>651</v>
      </c>
      <c r="B806" s="4" t="s">
        <v>395</v>
      </c>
      <c r="C806" s="4" t="s">
        <v>55</v>
      </c>
      <c r="D806" s="10" t="str">
        <f t="shared" si="0"/>
        <v>Patient_Records_System</v>
      </c>
      <c r="E806" s="8" t="s">
        <v>1522</v>
      </c>
      <c r="F806" s="8"/>
    </row>
    <row r="807" spans="1:6" ht="14.6" x14ac:dyDescent="0.4">
      <c r="A807" s="7" t="s">
        <v>656</v>
      </c>
      <c r="B807" s="4" t="s">
        <v>5</v>
      </c>
      <c r="C807" s="4" t="s">
        <v>55</v>
      </c>
      <c r="D807" s="10" t="str">
        <f t="shared" si="0"/>
        <v>Patient_Records_System</v>
      </c>
      <c r="E807" s="8" t="s">
        <v>1522</v>
      </c>
      <c r="F807" s="8"/>
    </row>
    <row r="808" spans="1:6" ht="14.6" x14ac:dyDescent="0.4">
      <c r="A808" s="7" t="s">
        <v>687</v>
      </c>
      <c r="B808" s="4" t="s">
        <v>169</v>
      </c>
      <c r="C808" s="4" t="s">
        <v>55</v>
      </c>
      <c r="D808" s="10" t="str">
        <f t="shared" si="0"/>
        <v>Patient_Records_System</v>
      </c>
      <c r="E808" s="8" t="s">
        <v>1522</v>
      </c>
      <c r="F808" s="8"/>
    </row>
    <row r="809" spans="1:6" ht="14.6" x14ac:dyDescent="0.4">
      <c r="A809" s="7" t="s">
        <v>691</v>
      </c>
      <c r="B809" s="4" t="s">
        <v>603</v>
      </c>
      <c r="C809" s="4" t="s">
        <v>55</v>
      </c>
      <c r="D809" s="10" t="str">
        <f t="shared" si="0"/>
        <v>Patient_Records_System</v>
      </c>
      <c r="E809" s="8" t="s">
        <v>1522</v>
      </c>
      <c r="F809" s="8"/>
    </row>
    <row r="810" spans="1:6" ht="14.6" x14ac:dyDescent="0.4">
      <c r="A810" s="7" t="s">
        <v>770</v>
      </c>
      <c r="B810" s="4" t="s">
        <v>254</v>
      </c>
      <c r="C810" s="4" t="s">
        <v>55</v>
      </c>
      <c r="D810" s="10" t="str">
        <f t="shared" si="0"/>
        <v>Patient_Records_System</v>
      </c>
      <c r="E810" s="8" t="s">
        <v>1522</v>
      </c>
      <c r="F810" s="8"/>
    </row>
    <row r="811" spans="1:6" ht="14.6" x14ac:dyDescent="0.4">
      <c r="A811" s="7" t="s">
        <v>824</v>
      </c>
      <c r="B811" s="4" t="s">
        <v>365</v>
      </c>
      <c r="C811" s="4" t="s">
        <v>55</v>
      </c>
      <c r="D811" s="10" t="str">
        <f t="shared" si="0"/>
        <v>Patient_Records_System</v>
      </c>
      <c r="E811" s="8" t="s">
        <v>1522</v>
      </c>
      <c r="F811" s="8"/>
    </row>
    <row r="812" spans="1:6" ht="14.6" x14ac:dyDescent="0.4">
      <c r="A812" s="7" t="s">
        <v>851</v>
      </c>
      <c r="B812" s="4" t="s">
        <v>211</v>
      </c>
      <c r="C812" s="4" t="s">
        <v>55</v>
      </c>
      <c r="D812" s="10" t="str">
        <f t="shared" si="0"/>
        <v>Patient_Records_System</v>
      </c>
      <c r="E812" s="8" t="s">
        <v>1522</v>
      </c>
      <c r="F812" s="8"/>
    </row>
    <row r="813" spans="1:6" ht="14.6" x14ac:dyDescent="0.4">
      <c r="A813" s="7" t="s">
        <v>852</v>
      </c>
      <c r="B813" s="4" t="s">
        <v>757</v>
      </c>
      <c r="C813" s="4" t="s">
        <v>55</v>
      </c>
      <c r="D813" s="10" t="str">
        <f t="shared" si="0"/>
        <v>Patient_Records_System</v>
      </c>
      <c r="E813" s="8" t="s">
        <v>1522</v>
      </c>
      <c r="F813" s="8"/>
    </row>
    <row r="814" spans="1:6" ht="14.6" x14ac:dyDescent="0.4">
      <c r="A814" s="7" t="s">
        <v>854</v>
      </c>
      <c r="B814" s="4" t="s">
        <v>252</v>
      </c>
      <c r="C814" s="4" t="s">
        <v>55</v>
      </c>
      <c r="D814" s="10" t="str">
        <f t="shared" si="0"/>
        <v>Patient_Records_System</v>
      </c>
      <c r="E814" s="8" t="s">
        <v>1522</v>
      </c>
      <c r="F814" s="8"/>
    </row>
    <row r="815" spans="1:6" ht="14.6" x14ac:dyDescent="0.4">
      <c r="A815" s="7" t="s">
        <v>858</v>
      </c>
      <c r="B815" s="4" t="s">
        <v>269</v>
      </c>
      <c r="C815" s="4" t="s">
        <v>55</v>
      </c>
      <c r="D815" s="10" t="str">
        <f t="shared" si="0"/>
        <v>Patient_Records_System</v>
      </c>
      <c r="E815" s="8" t="s">
        <v>1522</v>
      </c>
      <c r="F815" s="8"/>
    </row>
    <row r="816" spans="1:6" ht="14.6" x14ac:dyDescent="0.4">
      <c r="A816" s="7" t="s">
        <v>872</v>
      </c>
      <c r="B816" s="4" t="s">
        <v>105</v>
      </c>
      <c r="C816" s="4" t="s">
        <v>55</v>
      </c>
      <c r="D816" s="10" t="str">
        <f t="shared" si="0"/>
        <v>Patient_Records_System</v>
      </c>
      <c r="E816" s="8" t="s">
        <v>1522</v>
      </c>
      <c r="F816" s="8"/>
    </row>
    <row r="817" spans="1:6" ht="14.6" x14ac:dyDescent="0.4">
      <c r="A817" s="7" t="s">
        <v>878</v>
      </c>
      <c r="B817" s="4" t="s">
        <v>879</v>
      </c>
      <c r="C817" s="4" t="s">
        <v>55</v>
      </c>
      <c r="D817" s="10" t="str">
        <f t="shared" si="0"/>
        <v>Patient_Records_System</v>
      </c>
      <c r="E817" s="8" t="s">
        <v>1522</v>
      </c>
      <c r="F817" s="8"/>
    </row>
    <row r="818" spans="1:6" ht="14.6" x14ac:dyDescent="0.4">
      <c r="A818" s="7" t="s">
        <v>913</v>
      </c>
      <c r="B818" s="4" t="s">
        <v>234</v>
      </c>
      <c r="C818" s="4" t="s">
        <v>55</v>
      </c>
      <c r="D818" s="10" t="str">
        <f t="shared" si="0"/>
        <v>Patient_Records_System</v>
      </c>
      <c r="E818" s="8" t="s">
        <v>1522</v>
      </c>
      <c r="F818" s="8"/>
    </row>
    <row r="819" spans="1:6" ht="14.6" x14ac:dyDescent="0.4">
      <c r="A819" s="7" t="s">
        <v>936</v>
      </c>
      <c r="B819" s="4" t="s">
        <v>485</v>
      </c>
      <c r="C819" s="4" t="s">
        <v>55</v>
      </c>
      <c r="D819" s="10" t="str">
        <f t="shared" si="0"/>
        <v>Patient_Records_System</v>
      </c>
      <c r="E819" s="8" t="s">
        <v>1522</v>
      </c>
      <c r="F819" s="8"/>
    </row>
    <row r="820" spans="1:6" ht="14.6" x14ac:dyDescent="0.4">
      <c r="A820" s="7" t="s">
        <v>943</v>
      </c>
      <c r="B820" s="4" t="s">
        <v>944</v>
      </c>
      <c r="C820" s="4" t="s">
        <v>55</v>
      </c>
      <c r="D820" s="10" t="str">
        <f t="shared" si="0"/>
        <v>Patient_Records_System</v>
      </c>
      <c r="E820" s="8" t="s">
        <v>1522</v>
      </c>
      <c r="F820" s="8"/>
    </row>
    <row r="821" spans="1:6" ht="14.6" x14ac:dyDescent="0.4">
      <c r="A821" s="7" t="s">
        <v>966</v>
      </c>
      <c r="B821" s="4" t="s">
        <v>795</v>
      </c>
      <c r="C821" s="4" t="s">
        <v>55</v>
      </c>
      <c r="D821" s="10" t="str">
        <f t="shared" si="0"/>
        <v>Patient_Records_System</v>
      </c>
      <c r="E821" s="8" t="s">
        <v>1522</v>
      </c>
      <c r="F821" s="8"/>
    </row>
    <row r="822" spans="1:6" ht="14.6" x14ac:dyDescent="0.4">
      <c r="A822" s="7" t="s">
        <v>967</v>
      </c>
      <c r="B822" s="4" t="s">
        <v>252</v>
      </c>
      <c r="C822" s="4" t="s">
        <v>55</v>
      </c>
      <c r="D822" s="10" t="str">
        <f t="shared" si="0"/>
        <v>Patient_Records_System</v>
      </c>
      <c r="E822" s="8" t="s">
        <v>1522</v>
      </c>
      <c r="F822" s="8"/>
    </row>
    <row r="823" spans="1:6" ht="14.6" x14ac:dyDescent="0.4">
      <c r="A823" s="7" t="s">
        <v>972</v>
      </c>
      <c r="B823" s="4" t="s">
        <v>973</v>
      </c>
      <c r="C823" s="4" t="s">
        <v>55</v>
      </c>
      <c r="D823" s="10" t="str">
        <f t="shared" si="0"/>
        <v>Patient_Records_System</v>
      </c>
      <c r="E823" s="8" t="s">
        <v>1522</v>
      </c>
      <c r="F823" s="8"/>
    </row>
    <row r="824" spans="1:6" ht="14.6" x14ac:dyDescent="0.4">
      <c r="A824" s="7" t="s">
        <v>995</v>
      </c>
      <c r="B824" s="4" t="s">
        <v>567</v>
      </c>
      <c r="C824" s="4" t="s">
        <v>55</v>
      </c>
      <c r="D824" s="10" t="str">
        <f t="shared" si="0"/>
        <v>Patient_Records_System</v>
      </c>
      <c r="E824" s="8" t="s">
        <v>1522</v>
      </c>
      <c r="F824" s="8"/>
    </row>
    <row r="825" spans="1:6" ht="14.6" x14ac:dyDescent="0.4">
      <c r="A825" s="7" t="s">
        <v>1002</v>
      </c>
      <c r="B825" s="4" t="s">
        <v>204</v>
      </c>
      <c r="C825" s="4" t="s">
        <v>55</v>
      </c>
      <c r="D825" s="10" t="str">
        <f t="shared" si="0"/>
        <v>Patient_Records_System</v>
      </c>
      <c r="E825" s="8" t="s">
        <v>1522</v>
      </c>
      <c r="F825" s="8"/>
    </row>
    <row r="826" spans="1:6" ht="14.6" x14ac:dyDescent="0.4">
      <c r="A826" s="7" t="s">
        <v>1018</v>
      </c>
      <c r="B826" s="4" t="s">
        <v>413</v>
      </c>
      <c r="C826" s="4" t="s">
        <v>55</v>
      </c>
      <c r="D826" s="10" t="str">
        <f t="shared" si="0"/>
        <v>Patient_Records_System</v>
      </c>
      <c r="E826" s="8" t="s">
        <v>1522</v>
      </c>
      <c r="F826" s="8"/>
    </row>
    <row r="827" spans="1:6" ht="14.6" x14ac:dyDescent="0.4">
      <c r="A827" s="7" t="s">
        <v>1028</v>
      </c>
      <c r="B827" s="4" t="s">
        <v>1029</v>
      </c>
      <c r="C827" s="4" t="s">
        <v>55</v>
      </c>
      <c r="D827" s="10" t="str">
        <f t="shared" si="0"/>
        <v>Patient_Records_System</v>
      </c>
      <c r="E827" s="8" t="s">
        <v>1522</v>
      </c>
      <c r="F827" s="8"/>
    </row>
    <row r="828" spans="1:6" ht="14.6" x14ac:dyDescent="0.4">
      <c r="A828" s="7" t="s">
        <v>1036</v>
      </c>
      <c r="B828" s="4" t="s">
        <v>1035</v>
      </c>
      <c r="C828" s="4" t="s">
        <v>55</v>
      </c>
      <c r="D828" s="10" t="str">
        <f t="shared" si="0"/>
        <v>Patient_Records_System</v>
      </c>
      <c r="E828" s="8" t="s">
        <v>1522</v>
      </c>
      <c r="F828" s="8"/>
    </row>
    <row r="829" spans="1:6" ht="14.6" x14ac:dyDescent="0.4">
      <c r="A829" s="7" t="s">
        <v>1063</v>
      </c>
      <c r="B829" s="4" t="s">
        <v>1045</v>
      </c>
      <c r="C829" s="4" t="s">
        <v>55</v>
      </c>
      <c r="D829" s="10" t="str">
        <f t="shared" si="0"/>
        <v>Patient_Records_System</v>
      </c>
      <c r="E829" s="8" t="s">
        <v>1522</v>
      </c>
      <c r="F829" s="8"/>
    </row>
    <row r="830" spans="1:6" ht="14.6" x14ac:dyDescent="0.4">
      <c r="A830" s="7" t="s">
        <v>1093</v>
      </c>
      <c r="B830" s="4" t="s">
        <v>1051</v>
      </c>
      <c r="C830" s="4" t="s">
        <v>55</v>
      </c>
      <c r="D830" s="10" t="str">
        <f t="shared" si="0"/>
        <v>Patient_Records_System</v>
      </c>
      <c r="E830" s="8" t="s">
        <v>1522</v>
      </c>
      <c r="F830" s="8"/>
    </row>
    <row r="831" spans="1:6" ht="14.6" x14ac:dyDescent="0.4">
      <c r="A831" s="7" t="s">
        <v>1114</v>
      </c>
      <c r="B831" s="4" t="s">
        <v>1067</v>
      </c>
      <c r="C831" s="4" t="s">
        <v>55</v>
      </c>
      <c r="D831" s="10" t="str">
        <f t="shared" si="0"/>
        <v>Patient_Records_System</v>
      </c>
      <c r="E831" s="8" t="s">
        <v>1522</v>
      </c>
      <c r="F831" s="8"/>
    </row>
    <row r="832" spans="1:6" ht="14.6" x14ac:dyDescent="0.4">
      <c r="A832" s="7" t="s">
        <v>1123</v>
      </c>
      <c r="B832" s="4" t="s">
        <v>1067</v>
      </c>
      <c r="C832" s="4" t="s">
        <v>55</v>
      </c>
      <c r="D832" s="10" t="str">
        <f t="shared" si="0"/>
        <v>Patient_Records_System</v>
      </c>
      <c r="E832" s="8" t="s">
        <v>1522</v>
      </c>
      <c r="F832" s="8"/>
    </row>
    <row r="833" spans="1:6" ht="14.6" x14ac:dyDescent="0.4">
      <c r="A833" s="7" t="s">
        <v>1130</v>
      </c>
      <c r="B833" s="4" t="s">
        <v>1035</v>
      </c>
      <c r="C833" s="4" t="s">
        <v>55</v>
      </c>
      <c r="D833" s="10" t="str">
        <f t="shared" si="0"/>
        <v>Patient_Records_System</v>
      </c>
      <c r="E833" s="8" t="s">
        <v>1522</v>
      </c>
      <c r="F833" s="8"/>
    </row>
    <row r="834" spans="1:6" ht="14.6" x14ac:dyDescent="0.4">
      <c r="A834" s="7" t="s">
        <v>1131</v>
      </c>
      <c r="B834" s="4" t="s">
        <v>1087</v>
      </c>
      <c r="C834" s="4" t="s">
        <v>55</v>
      </c>
      <c r="D834" s="10" t="str">
        <f t="shared" si="0"/>
        <v>Patient_Records_System</v>
      </c>
      <c r="E834" s="8" t="s">
        <v>1522</v>
      </c>
      <c r="F834" s="8"/>
    </row>
    <row r="835" spans="1:6" ht="14.6" x14ac:dyDescent="0.4">
      <c r="A835" s="7" t="s">
        <v>1142</v>
      </c>
      <c r="B835" s="4" t="s">
        <v>1080</v>
      </c>
      <c r="C835" s="4" t="s">
        <v>55</v>
      </c>
      <c r="D835" s="10" t="str">
        <f t="shared" si="0"/>
        <v>Patient_Records_System</v>
      </c>
      <c r="E835" s="8" t="s">
        <v>1522</v>
      </c>
      <c r="F835" s="8"/>
    </row>
    <row r="836" spans="1:6" ht="14.6" x14ac:dyDescent="0.4">
      <c r="A836" s="7" t="s">
        <v>1157</v>
      </c>
      <c r="B836" s="4" t="s">
        <v>1158</v>
      </c>
      <c r="C836" s="4" t="s">
        <v>55</v>
      </c>
      <c r="D836" s="10" t="str">
        <f t="shared" si="0"/>
        <v>Patient_Records_System</v>
      </c>
      <c r="E836" s="8" t="s">
        <v>1522</v>
      </c>
      <c r="F836" s="8"/>
    </row>
    <row r="837" spans="1:6" ht="14.6" x14ac:dyDescent="0.4">
      <c r="A837" s="7" t="s">
        <v>1228</v>
      </c>
      <c r="B837" s="4" t="s">
        <v>1151</v>
      </c>
      <c r="C837" s="4" t="s">
        <v>55</v>
      </c>
      <c r="D837" s="10" t="str">
        <f t="shared" si="0"/>
        <v>Patient_Records_System</v>
      </c>
      <c r="E837" s="8" t="s">
        <v>1522</v>
      </c>
      <c r="F837" s="8"/>
    </row>
    <row r="838" spans="1:6" ht="14.6" x14ac:dyDescent="0.4">
      <c r="A838" s="7" t="s">
        <v>1230</v>
      </c>
      <c r="B838" s="4" t="s">
        <v>1178</v>
      </c>
      <c r="C838" s="4" t="s">
        <v>55</v>
      </c>
      <c r="D838" s="10" t="str">
        <f t="shared" si="0"/>
        <v>Patient_Records_System</v>
      </c>
      <c r="E838" s="8" t="s">
        <v>1522</v>
      </c>
      <c r="F838" s="8"/>
    </row>
    <row r="839" spans="1:6" ht="14.6" x14ac:dyDescent="0.4">
      <c r="A839" s="7" t="s">
        <v>1237</v>
      </c>
      <c r="B839" s="4" t="s">
        <v>1158</v>
      </c>
      <c r="C839" s="4" t="s">
        <v>55</v>
      </c>
      <c r="D839" s="10" t="str">
        <f t="shared" si="0"/>
        <v>Patient_Records_System</v>
      </c>
      <c r="E839" s="8" t="s">
        <v>1522</v>
      </c>
      <c r="F839" s="8"/>
    </row>
    <row r="840" spans="1:6" ht="14.6" x14ac:dyDescent="0.4">
      <c r="A840" s="7" t="s">
        <v>1261</v>
      </c>
      <c r="B840" s="4" t="s">
        <v>1262</v>
      </c>
      <c r="C840" s="4" t="s">
        <v>55</v>
      </c>
      <c r="D840" s="10" t="str">
        <f t="shared" si="0"/>
        <v>Patient_Records_System</v>
      </c>
      <c r="E840" s="8" t="s">
        <v>1522</v>
      </c>
      <c r="F840" s="8"/>
    </row>
    <row r="841" spans="1:6" ht="14.6" x14ac:dyDescent="0.4">
      <c r="A841" s="7" t="s">
        <v>1264</v>
      </c>
      <c r="B841" s="4" t="s">
        <v>1256</v>
      </c>
      <c r="C841" s="4" t="s">
        <v>55</v>
      </c>
      <c r="D841" s="10" t="str">
        <f t="shared" si="0"/>
        <v>Patient_Records_System</v>
      </c>
      <c r="E841" s="8" t="s">
        <v>1522</v>
      </c>
      <c r="F841" s="8"/>
    </row>
    <row r="842" spans="1:6" ht="14.6" x14ac:dyDescent="0.4">
      <c r="A842" s="7" t="s">
        <v>1291</v>
      </c>
      <c r="B842" s="4" t="s">
        <v>1262</v>
      </c>
      <c r="C842" s="4" t="s">
        <v>55</v>
      </c>
      <c r="D842" s="10" t="str">
        <f t="shared" si="0"/>
        <v>Patient_Records_System</v>
      </c>
      <c r="E842" s="8" t="s">
        <v>1522</v>
      </c>
      <c r="F842" s="8"/>
    </row>
    <row r="843" spans="1:6" ht="14.6" x14ac:dyDescent="0.4">
      <c r="A843" s="7" t="s">
        <v>1344</v>
      </c>
      <c r="B843" s="4" t="s">
        <v>1345</v>
      </c>
      <c r="C843" s="4" t="s">
        <v>55</v>
      </c>
      <c r="D843" s="10" t="str">
        <f t="shared" si="0"/>
        <v>Patient_Records_System</v>
      </c>
      <c r="E843" s="8" t="s">
        <v>1522</v>
      </c>
      <c r="F843" s="8"/>
    </row>
    <row r="844" spans="1:6" ht="14.6" x14ac:dyDescent="0.4">
      <c r="A844" s="7" t="s">
        <v>1346</v>
      </c>
      <c r="B844" s="4" t="s">
        <v>1347</v>
      </c>
      <c r="C844" s="4" t="s">
        <v>55</v>
      </c>
      <c r="D844" s="10" t="str">
        <f t="shared" si="0"/>
        <v>Patient_Records_System</v>
      </c>
      <c r="E844" s="8" t="s">
        <v>1522</v>
      </c>
      <c r="F844" s="8"/>
    </row>
    <row r="845" spans="1:6" ht="14.6" x14ac:dyDescent="0.4">
      <c r="A845" s="7" t="s">
        <v>1387</v>
      </c>
      <c r="B845" s="4" t="s">
        <v>1361</v>
      </c>
      <c r="C845" s="4" t="s">
        <v>55</v>
      </c>
      <c r="D845" s="10" t="str">
        <f t="shared" si="0"/>
        <v>Patient_Records_System</v>
      </c>
      <c r="E845" s="8" t="s">
        <v>1522</v>
      </c>
      <c r="F845" s="8"/>
    </row>
    <row r="846" spans="1:6" ht="14.6" x14ac:dyDescent="0.4">
      <c r="A846" s="7" t="s">
        <v>1390</v>
      </c>
      <c r="B846" s="4" t="s">
        <v>1353</v>
      </c>
      <c r="C846" s="4" t="s">
        <v>55</v>
      </c>
      <c r="D846" s="10" t="str">
        <f t="shared" si="0"/>
        <v>Patient_Records_System</v>
      </c>
      <c r="E846" s="8" t="s">
        <v>1522</v>
      </c>
      <c r="F846" s="8"/>
    </row>
    <row r="847" spans="1:6" ht="14.6" x14ac:dyDescent="0.4">
      <c r="A847" s="7" t="s">
        <v>1397</v>
      </c>
      <c r="B847" s="4" t="s">
        <v>1357</v>
      </c>
      <c r="C847" s="4" t="s">
        <v>55</v>
      </c>
      <c r="D847" s="10" t="str">
        <f t="shared" si="0"/>
        <v>Patient_Records_System</v>
      </c>
      <c r="E847" s="8" t="s">
        <v>1522</v>
      </c>
      <c r="F847" s="8"/>
    </row>
    <row r="848" spans="1:6" ht="14.6" x14ac:dyDescent="0.4">
      <c r="A848" s="7" t="s">
        <v>1463</v>
      </c>
      <c r="B848" s="4" t="s">
        <v>1437</v>
      </c>
      <c r="C848" s="4" t="s">
        <v>55</v>
      </c>
      <c r="D848" s="10" t="str">
        <f t="shared" si="0"/>
        <v>Patient_Records_System</v>
      </c>
      <c r="E848" s="8" t="s">
        <v>1522</v>
      </c>
      <c r="F848" s="8"/>
    </row>
    <row r="849" spans="1:6" ht="14.6" x14ac:dyDescent="0.4">
      <c r="A849" s="7" t="s">
        <v>1490</v>
      </c>
      <c r="B849" s="4" t="s">
        <v>1473</v>
      </c>
      <c r="C849" s="4" t="s">
        <v>55</v>
      </c>
      <c r="D849" s="10" t="str">
        <f t="shared" si="0"/>
        <v>Patient_Records_System</v>
      </c>
      <c r="E849" s="8" t="s">
        <v>1522</v>
      </c>
      <c r="F849" s="8"/>
    </row>
    <row r="850" spans="1:6" ht="14.6" x14ac:dyDescent="0.4">
      <c r="A850" s="7" t="s">
        <v>1499</v>
      </c>
      <c r="B850" s="4" t="s">
        <v>1500</v>
      </c>
      <c r="C850" s="4" t="s">
        <v>55</v>
      </c>
      <c r="D850" s="10" t="str">
        <f t="shared" si="0"/>
        <v>Patient_Records_System</v>
      </c>
      <c r="E850" s="8" t="s">
        <v>1522</v>
      </c>
      <c r="F850" s="8"/>
    </row>
    <row r="851" spans="1:6" ht="14.6" x14ac:dyDescent="0.4">
      <c r="A851" s="7" t="s">
        <v>1507</v>
      </c>
      <c r="B851" s="4" t="s">
        <v>1500</v>
      </c>
      <c r="C851" s="4" t="s">
        <v>55</v>
      </c>
      <c r="D851" s="10" t="str">
        <f t="shared" si="0"/>
        <v>Patient_Records_System</v>
      </c>
      <c r="E851" s="8" t="s">
        <v>1522</v>
      </c>
      <c r="F851" s="8"/>
    </row>
    <row r="852" spans="1:6" ht="14.6" x14ac:dyDescent="0.4">
      <c r="A852" s="7" t="s">
        <v>32</v>
      </c>
      <c r="B852" s="4" t="s">
        <v>33</v>
      </c>
      <c r="C852" s="4" t="s">
        <v>34</v>
      </c>
      <c r="D852" s="10" t="str">
        <f t="shared" si="0"/>
        <v>Payment_Gateway</v>
      </c>
      <c r="E852" s="8" t="s">
        <v>1522</v>
      </c>
      <c r="F852" s="8" t="s">
        <v>1547</v>
      </c>
    </row>
    <row r="853" spans="1:6" ht="14.6" x14ac:dyDescent="0.4">
      <c r="A853" s="7" t="s">
        <v>41</v>
      </c>
      <c r="B853" s="4" t="s">
        <v>42</v>
      </c>
      <c r="C853" s="4" t="s">
        <v>34</v>
      </c>
      <c r="D853" s="10" t="str">
        <f t="shared" si="0"/>
        <v>Payment_Gateway</v>
      </c>
      <c r="E853" s="8" t="s">
        <v>1522</v>
      </c>
      <c r="F853" s="8"/>
    </row>
    <row r="854" spans="1:6" ht="14.6" x14ac:dyDescent="0.4">
      <c r="A854" s="7" t="s">
        <v>50</v>
      </c>
      <c r="B854" s="4" t="s">
        <v>40</v>
      </c>
      <c r="C854" s="4" t="s">
        <v>34</v>
      </c>
      <c r="D854" s="10" t="str">
        <f t="shared" si="0"/>
        <v>Payment_Gateway</v>
      </c>
      <c r="E854" s="8" t="s">
        <v>1522</v>
      </c>
      <c r="F854" s="8"/>
    </row>
    <row r="855" spans="1:6" ht="14.6" x14ac:dyDescent="0.4">
      <c r="A855" s="7" t="s">
        <v>106</v>
      </c>
      <c r="B855" s="4" t="s">
        <v>82</v>
      </c>
      <c r="C855" s="4" t="s">
        <v>34</v>
      </c>
      <c r="D855" s="10" t="str">
        <f t="shared" si="0"/>
        <v>Payment_Gateway</v>
      </c>
      <c r="E855" s="8" t="s">
        <v>1522</v>
      </c>
      <c r="F855" s="8"/>
    </row>
    <row r="856" spans="1:6" ht="14.6" x14ac:dyDescent="0.4">
      <c r="A856" s="7" t="s">
        <v>123</v>
      </c>
      <c r="B856" s="4" t="s">
        <v>124</v>
      </c>
      <c r="C856" s="4" t="s">
        <v>34</v>
      </c>
      <c r="D856" s="10" t="str">
        <f t="shared" si="0"/>
        <v>Payment_Gateway</v>
      </c>
      <c r="E856" s="8" t="s">
        <v>1522</v>
      </c>
      <c r="F856" s="8"/>
    </row>
    <row r="857" spans="1:6" ht="14.6" x14ac:dyDescent="0.4">
      <c r="A857" s="7" t="s">
        <v>153</v>
      </c>
      <c r="B857" s="4" t="s">
        <v>154</v>
      </c>
      <c r="C857" s="4" t="s">
        <v>34</v>
      </c>
      <c r="D857" s="10" t="str">
        <f t="shared" si="0"/>
        <v>Payment_Gateway</v>
      </c>
      <c r="E857" s="8" t="s">
        <v>1522</v>
      </c>
      <c r="F857" s="8"/>
    </row>
    <row r="858" spans="1:6" ht="14.6" x14ac:dyDescent="0.4">
      <c r="A858" s="7" t="s">
        <v>161</v>
      </c>
      <c r="B858" s="4" t="s">
        <v>162</v>
      </c>
      <c r="C858" s="4" t="s">
        <v>34</v>
      </c>
      <c r="D858" s="10" t="str">
        <f t="shared" si="0"/>
        <v>Payment_Gateway</v>
      </c>
      <c r="E858" s="8" t="s">
        <v>1522</v>
      </c>
      <c r="F858" s="8"/>
    </row>
    <row r="859" spans="1:6" ht="14.6" x14ac:dyDescent="0.4">
      <c r="A859" s="7" t="s">
        <v>170</v>
      </c>
      <c r="B859" s="4" t="s">
        <v>171</v>
      </c>
      <c r="C859" s="4" t="s">
        <v>34</v>
      </c>
      <c r="D859" s="10" t="str">
        <f t="shared" si="0"/>
        <v>Payment_Gateway</v>
      </c>
      <c r="E859" s="8" t="s">
        <v>1522</v>
      </c>
      <c r="F859" s="8"/>
    </row>
    <row r="860" spans="1:6" ht="14.6" x14ac:dyDescent="0.4">
      <c r="A860" s="7" t="s">
        <v>223</v>
      </c>
      <c r="B860" s="4" t="s">
        <v>224</v>
      </c>
      <c r="C860" s="4" t="s">
        <v>34</v>
      </c>
      <c r="D860" s="10" t="str">
        <f t="shared" si="0"/>
        <v>Payment_Gateway</v>
      </c>
      <c r="E860" s="8" t="s">
        <v>1522</v>
      </c>
      <c r="F860" s="8"/>
    </row>
    <row r="861" spans="1:6" ht="14.6" x14ac:dyDescent="0.4">
      <c r="A861" s="7" t="s">
        <v>290</v>
      </c>
      <c r="B861" s="4" t="s">
        <v>291</v>
      </c>
      <c r="C861" s="4" t="s">
        <v>34</v>
      </c>
      <c r="D861" s="10" t="str">
        <f t="shared" si="0"/>
        <v>Payment_Gateway</v>
      </c>
      <c r="E861" s="8" t="s">
        <v>1522</v>
      </c>
      <c r="F861" s="8"/>
    </row>
    <row r="862" spans="1:6" ht="14.6" x14ac:dyDescent="0.4">
      <c r="A862" s="7" t="s">
        <v>357</v>
      </c>
      <c r="B862" s="4" t="s">
        <v>236</v>
      </c>
      <c r="C862" s="4" t="s">
        <v>34</v>
      </c>
      <c r="D862" s="10" t="str">
        <f t="shared" si="0"/>
        <v>Payment_Gateway</v>
      </c>
      <c r="E862" s="8" t="s">
        <v>1522</v>
      </c>
      <c r="F862" s="8"/>
    </row>
    <row r="863" spans="1:6" ht="14.6" x14ac:dyDescent="0.4">
      <c r="A863" s="7" t="s">
        <v>364</v>
      </c>
      <c r="B863" s="4" t="s">
        <v>365</v>
      </c>
      <c r="C863" s="4" t="s">
        <v>34</v>
      </c>
      <c r="D863" s="10" t="str">
        <f t="shared" si="0"/>
        <v>Payment_Gateway</v>
      </c>
      <c r="E863" s="8" t="s">
        <v>1522</v>
      </c>
      <c r="F863" s="8"/>
    </row>
    <row r="864" spans="1:6" ht="14.6" x14ac:dyDescent="0.4">
      <c r="A864" s="7" t="s">
        <v>378</v>
      </c>
      <c r="B864" s="4" t="s">
        <v>116</v>
      </c>
      <c r="C864" s="4" t="s">
        <v>34</v>
      </c>
      <c r="D864" s="10" t="str">
        <f t="shared" si="0"/>
        <v>Payment_Gateway</v>
      </c>
      <c r="E864" s="8" t="s">
        <v>1522</v>
      </c>
      <c r="F864" s="8"/>
    </row>
    <row r="865" spans="1:6" ht="14.6" x14ac:dyDescent="0.4">
      <c r="A865" s="7" t="s">
        <v>408</v>
      </c>
      <c r="B865" s="4" t="s">
        <v>409</v>
      </c>
      <c r="C865" s="4" t="s">
        <v>34</v>
      </c>
      <c r="D865" s="10" t="str">
        <f t="shared" si="0"/>
        <v>Payment_Gateway</v>
      </c>
      <c r="E865" s="8" t="s">
        <v>1522</v>
      </c>
      <c r="F865" s="8"/>
    </row>
    <row r="866" spans="1:6" ht="14.6" x14ac:dyDescent="0.4">
      <c r="A866" s="7" t="s">
        <v>431</v>
      </c>
      <c r="B866" s="4" t="s">
        <v>40</v>
      </c>
      <c r="C866" s="4" t="s">
        <v>34</v>
      </c>
      <c r="D866" s="10" t="str">
        <f t="shared" si="0"/>
        <v>Payment_Gateway</v>
      </c>
      <c r="E866" s="8" t="s">
        <v>1522</v>
      </c>
      <c r="F866" s="8"/>
    </row>
    <row r="867" spans="1:6" ht="14.6" x14ac:dyDescent="0.4">
      <c r="A867" s="7" t="s">
        <v>495</v>
      </c>
      <c r="B867" s="4" t="s">
        <v>86</v>
      </c>
      <c r="C867" s="4" t="s">
        <v>34</v>
      </c>
      <c r="D867" s="10" t="str">
        <f t="shared" si="0"/>
        <v>Payment_Gateway</v>
      </c>
      <c r="E867" s="8" t="s">
        <v>1522</v>
      </c>
      <c r="F867" s="8"/>
    </row>
    <row r="868" spans="1:6" ht="14.6" x14ac:dyDescent="0.4">
      <c r="A868" s="7" t="s">
        <v>518</v>
      </c>
      <c r="B868" s="4" t="s">
        <v>519</v>
      </c>
      <c r="C868" s="4" t="s">
        <v>34</v>
      </c>
      <c r="D868" s="10" t="str">
        <f t="shared" si="0"/>
        <v>Payment_Gateway</v>
      </c>
      <c r="E868" s="8" t="s">
        <v>1522</v>
      </c>
      <c r="F868" s="8"/>
    </row>
    <row r="869" spans="1:6" ht="14.6" x14ac:dyDescent="0.4">
      <c r="A869" s="7" t="s">
        <v>551</v>
      </c>
      <c r="B869" s="4" t="s">
        <v>552</v>
      </c>
      <c r="C869" s="4" t="s">
        <v>34</v>
      </c>
      <c r="D869" s="10" t="str">
        <f t="shared" si="0"/>
        <v>Payment_Gateway</v>
      </c>
      <c r="E869" s="8" t="s">
        <v>1522</v>
      </c>
      <c r="F869" s="8"/>
    </row>
    <row r="870" spans="1:6" ht="14.6" x14ac:dyDescent="0.4">
      <c r="A870" s="7" t="s">
        <v>566</v>
      </c>
      <c r="B870" s="4" t="s">
        <v>567</v>
      </c>
      <c r="C870" s="4" t="s">
        <v>34</v>
      </c>
      <c r="D870" s="10" t="str">
        <f t="shared" si="0"/>
        <v>Payment_Gateway</v>
      </c>
      <c r="E870" s="8" t="s">
        <v>1522</v>
      </c>
      <c r="F870" s="8"/>
    </row>
    <row r="871" spans="1:6" ht="14.6" x14ac:dyDescent="0.4">
      <c r="A871" s="7" t="s">
        <v>596</v>
      </c>
      <c r="B871" s="4" t="s">
        <v>554</v>
      </c>
      <c r="C871" s="4" t="s">
        <v>34</v>
      </c>
      <c r="D871" s="10" t="str">
        <f t="shared" si="0"/>
        <v>Payment_Gateway</v>
      </c>
      <c r="E871" s="8" t="s">
        <v>1522</v>
      </c>
      <c r="F871" s="8"/>
    </row>
    <row r="872" spans="1:6" ht="14.6" x14ac:dyDescent="0.4">
      <c r="A872" s="7" t="s">
        <v>599</v>
      </c>
      <c r="B872" s="4" t="s">
        <v>554</v>
      </c>
      <c r="C872" s="4" t="s">
        <v>34</v>
      </c>
      <c r="D872" s="10" t="str">
        <f t="shared" si="0"/>
        <v>Payment_Gateway</v>
      </c>
      <c r="E872" s="8" t="s">
        <v>1522</v>
      </c>
      <c r="F872" s="8"/>
    </row>
    <row r="873" spans="1:6" ht="14.6" x14ac:dyDescent="0.4">
      <c r="A873" s="7" t="s">
        <v>604</v>
      </c>
      <c r="B873" s="4" t="s">
        <v>605</v>
      </c>
      <c r="C873" s="4" t="s">
        <v>34</v>
      </c>
      <c r="D873" s="10" t="str">
        <f t="shared" si="0"/>
        <v>Payment_Gateway</v>
      </c>
      <c r="E873" s="8" t="s">
        <v>1522</v>
      </c>
      <c r="F873" s="8"/>
    </row>
    <row r="874" spans="1:6" ht="14.6" x14ac:dyDescent="0.4">
      <c r="A874" s="7" t="s">
        <v>622</v>
      </c>
      <c r="B874" s="4" t="s">
        <v>124</v>
      </c>
      <c r="C874" s="4" t="s">
        <v>34</v>
      </c>
      <c r="D874" s="10" t="str">
        <f t="shared" si="0"/>
        <v>Payment_Gateway</v>
      </c>
      <c r="E874" s="8" t="s">
        <v>1522</v>
      </c>
      <c r="F874" s="8"/>
    </row>
    <row r="875" spans="1:6" ht="14.6" x14ac:dyDescent="0.4">
      <c r="A875" s="7" t="s">
        <v>623</v>
      </c>
      <c r="B875" s="4" t="s">
        <v>460</v>
      </c>
      <c r="C875" s="4" t="s">
        <v>34</v>
      </c>
      <c r="D875" s="10" t="str">
        <f t="shared" si="0"/>
        <v>Payment_Gateway</v>
      </c>
      <c r="E875" s="8" t="s">
        <v>1522</v>
      </c>
      <c r="F875" s="8"/>
    </row>
    <row r="876" spans="1:6" ht="14.6" x14ac:dyDescent="0.4">
      <c r="A876" s="7" t="s">
        <v>632</v>
      </c>
      <c r="B876" s="4" t="s">
        <v>28</v>
      </c>
      <c r="C876" s="4" t="s">
        <v>34</v>
      </c>
      <c r="D876" s="10" t="str">
        <f t="shared" si="0"/>
        <v>Payment_Gateway</v>
      </c>
      <c r="E876" s="8" t="s">
        <v>1522</v>
      </c>
      <c r="F876" s="8"/>
    </row>
    <row r="877" spans="1:6" ht="14.6" x14ac:dyDescent="0.4">
      <c r="A877" s="7" t="s">
        <v>677</v>
      </c>
      <c r="B877" s="4" t="s">
        <v>562</v>
      </c>
      <c r="C877" s="4" t="s">
        <v>34</v>
      </c>
      <c r="D877" s="10" t="str">
        <f t="shared" si="0"/>
        <v>Payment_Gateway</v>
      </c>
      <c r="E877" s="8" t="s">
        <v>1522</v>
      </c>
      <c r="F877" s="8"/>
    </row>
    <row r="878" spans="1:6" ht="14.6" x14ac:dyDescent="0.4">
      <c r="A878" s="7" t="s">
        <v>689</v>
      </c>
      <c r="B878" s="4" t="s">
        <v>690</v>
      </c>
      <c r="C878" s="4" t="s">
        <v>34</v>
      </c>
      <c r="D878" s="10" t="str">
        <f t="shared" si="0"/>
        <v>Payment_Gateway</v>
      </c>
      <c r="E878" s="8" t="s">
        <v>1522</v>
      </c>
      <c r="F878" s="8"/>
    </row>
    <row r="879" spans="1:6" ht="14.6" x14ac:dyDescent="0.4">
      <c r="A879" s="7" t="s">
        <v>692</v>
      </c>
      <c r="B879" s="4" t="s">
        <v>78</v>
      </c>
      <c r="C879" s="4" t="s">
        <v>34</v>
      </c>
      <c r="D879" s="10" t="str">
        <f t="shared" si="0"/>
        <v>Payment_Gateway</v>
      </c>
      <c r="E879" s="8" t="s">
        <v>1522</v>
      </c>
      <c r="F879" s="8"/>
    </row>
    <row r="880" spans="1:6" ht="14.6" x14ac:dyDescent="0.4">
      <c r="A880" s="7" t="s">
        <v>708</v>
      </c>
      <c r="B880" s="4" t="s">
        <v>26</v>
      </c>
      <c r="C880" s="4" t="s">
        <v>34</v>
      </c>
      <c r="D880" s="10" t="str">
        <f t="shared" si="0"/>
        <v>Payment_Gateway</v>
      </c>
      <c r="E880" s="8" t="s">
        <v>1522</v>
      </c>
      <c r="F880" s="8"/>
    </row>
    <row r="881" spans="1:6" ht="14.6" x14ac:dyDescent="0.4">
      <c r="A881" s="7" t="s">
        <v>732</v>
      </c>
      <c r="B881" s="4" t="s">
        <v>733</v>
      </c>
      <c r="C881" s="4" t="s">
        <v>34</v>
      </c>
      <c r="D881" s="10" t="str">
        <f t="shared" si="0"/>
        <v>Payment_Gateway</v>
      </c>
      <c r="E881" s="8" t="s">
        <v>1522</v>
      </c>
      <c r="F881" s="8"/>
    </row>
    <row r="882" spans="1:6" ht="14.6" x14ac:dyDescent="0.4">
      <c r="A882" s="7" t="s">
        <v>734</v>
      </c>
      <c r="B882" s="4" t="s">
        <v>118</v>
      </c>
      <c r="C882" s="4" t="s">
        <v>34</v>
      </c>
      <c r="D882" s="10" t="str">
        <f t="shared" si="0"/>
        <v>Payment_Gateway</v>
      </c>
      <c r="E882" s="8" t="s">
        <v>1522</v>
      </c>
      <c r="F882" s="8"/>
    </row>
    <row r="883" spans="1:6" ht="14.6" x14ac:dyDescent="0.4">
      <c r="A883" s="7" t="s">
        <v>761</v>
      </c>
      <c r="B883" s="4" t="s">
        <v>649</v>
      </c>
      <c r="C883" s="4" t="s">
        <v>34</v>
      </c>
      <c r="D883" s="10" t="str">
        <f t="shared" si="0"/>
        <v>Payment_Gateway</v>
      </c>
      <c r="E883" s="8" t="s">
        <v>1522</v>
      </c>
      <c r="F883" s="8"/>
    </row>
    <row r="884" spans="1:6" ht="14.6" x14ac:dyDescent="0.4">
      <c r="A884" s="7" t="s">
        <v>779</v>
      </c>
      <c r="B884" s="4" t="s">
        <v>694</v>
      </c>
      <c r="C884" s="4" t="s">
        <v>34</v>
      </c>
      <c r="D884" s="10" t="str">
        <f t="shared" si="0"/>
        <v>Payment_Gateway</v>
      </c>
      <c r="E884" s="8" t="s">
        <v>1522</v>
      </c>
      <c r="F884" s="8"/>
    </row>
    <row r="885" spans="1:6" ht="14.6" x14ac:dyDescent="0.4">
      <c r="A885" s="7" t="s">
        <v>789</v>
      </c>
      <c r="B885" s="4" t="s">
        <v>490</v>
      </c>
      <c r="C885" s="4" t="s">
        <v>34</v>
      </c>
      <c r="D885" s="10" t="str">
        <f t="shared" si="0"/>
        <v>Payment_Gateway</v>
      </c>
      <c r="E885" s="8" t="s">
        <v>1522</v>
      </c>
      <c r="F885" s="8"/>
    </row>
    <row r="886" spans="1:6" ht="14.6" x14ac:dyDescent="0.4">
      <c r="A886" s="7" t="s">
        <v>806</v>
      </c>
      <c r="B886" s="4" t="s">
        <v>807</v>
      </c>
      <c r="C886" s="4" t="s">
        <v>34</v>
      </c>
      <c r="D886" s="10" t="str">
        <f t="shared" si="0"/>
        <v>Payment_Gateway</v>
      </c>
      <c r="E886" s="8" t="s">
        <v>1522</v>
      </c>
      <c r="F886" s="8"/>
    </row>
    <row r="887" spans="1:6" ht="14.6" x14ac:dyDescent="0.4">
      <c r="A887" s="7" t="s">
        <v>827</v>
      </c>
      <c r="B887" s="4" t="s">
        <v>101</v>
      </c>
      <c r="C887" s="4" t="s">
        <v>34</v>
      </c>
      <c r="D887" s="10" t="str">
        <f t="shared" si="0"/>
        <v>Payment_Gateway</v>
      </c>
      <c r="E887" s="8" t="s">
        <v>1522</v>
      </c>
      <c r="F887" s="8"/>
    </row>
    <row r="888" spans="1:6" ht="14.6" x14ac:dyDescent="0.4">
      <c r="A888" s="7" t="s">
        <v>837</v>
      </c>
      <c r="B888" s="4" t="s">
        <v>286</v>
      </c>
      <c r="C888" s="4" t="s">
        <v>34</v>
      </c>
      <c r="D888" s="10" t="str">
        <f t="shared" si="0"/>
        <v>Payment_Gateway</v>
      </c>
      <c r="E888" s="8" t="s">
        <v>1522</v>
      </c>
      <c r="F888" s="8"/>
    </row>
    <row r="889" spans="1:6" ht="14.6" x14ac:dyDescent="0.4">
      <c r="A889" s="7" t="s">
        <v>853</v>
      </c>
      <c r="B889" s="4" t="s">
        <v>552</v>
      </c>
      <c r="C889" s="4" t="s">
        <v>34</v>
      </c>
      <c r="D889" s="10" t="str">
        <f t="shared" si="0"/>
        <v>Payment_Gateway</v>
      </c>
      <c r="E889" s="8" t="s">
        <v>1522</v>
      </c>
      <c r="F889" s="8"/>
    </row>
    <row r="890" spans="1:6" ht="14.6" x14ac:dyDescent="0.4">
      <c r="A890" s="7" t="s">
        <v>882</v>
      </c>
      <c r="B890" s="4" t="s">
        <v>504</v>
      </c>
      <c r="C890" s="4" t="s">
        <v>34</v>
      </c>
      <c r="D890" s="10" t="str">
        <f t="shared" si="0"/>
        <v>Payment_Gateway</v>
      </c>
      <c r="E890" s="8" t="s">
        <v>1522</v>
      </c>
      <c r="F890" s="8"/>
    </row>
    <row r="891" spans="1:6" ht="14.6" x14ac:dyDescent="0.4">
      <c r="A891" s="7" t="s">
        <v>888</v>
      </c>
      <c r="B891" s="4" t="s">
        <v>116</v>
      </c>
      <c r="C891" s="4" t="s">
        <v>34</v>
      </c>
      <c r="D891" s="10" t="str">
        <f t="shared" si="0"/>
        <v>Payment_Gateway</v>
      </c>
      <c r="E891" s="8" t="s">
        <v>1522</v>
      </c>
      <c r="F891" s="8"/>
    </row>
    <row r="892" spans="1:6" ht="14.6" x14ac:dyDescent="0.4">
      <c r="A892" s="7" t="s">
        <v>890</v>
      </c>
      <c r="B892" s="4" t="s">
        <v>98</v>
      </c>
      <c r="C892" s="4" t="s">
        <v>34</v>
      </c>
      <c r="D892" s="10" t="str">
        <f t="shared" si="0"/>
        <v>Payment_Gateway</v>
      </c>
      <c r="E892" s="8" t="s">
        <v>1522</v>
      </c>
      <c r="F892" s="8"/>
    </row>
    <row r="893" spans="1:6" ht="14.6" x14ac:dyDescent="0.4">
      <c r="A893" s="7" t="s">
        <v>896</v>
      </c>
      <c r="B893" s="4" t="s">
        <v>180</v>
      </c>
      <c r="C893" s="4" t="s">
        <v>34</v>
      </c>
      <c r="D893" s="10" t="str">
        <f t="shared" si="0"/>
        <v>Payment_Gateway</v>
      </c>
      <c r="E893" s="8" t="s">
        <v>1522</v>
      </c>
      <c r="F893" s="8"/>
    </row>
    <row r="894" spans="1:6" ht="14.6" x14ac:dyDescent="0.4">
      <c r="A894" s="7" t="s">
        <v>937</v>
      </c>
      <c r="B894" s="4" t="s">
        <v>938</v>
      </c>
      <c r="C894" s="4" t="s">
        <v>34</v>
      </c>
      <c r="D894" s="10" t="str">
        <f t="shared" si="0"/>
        <v>Payment_Gateway</v>
      </c>
      <c r="E894" s="8" t="s">
        <v>1522</v>
      </c>
      <c r="F894" s="8"/>
    </row>
    <row r="895" spans="1:6" ht="14.6" x14ac:dyDescent="0.4">
      <c r="A895" s="7" t="s">
        <v>939</v>
      </c>
      <c r="B895" s="4" t="s">
        <v>8</v>
      </c>
      <c r="C895" s="4" t="s">
        <v>34</v>
      </c>
      <c r="D895" s="10" t="str">
        <f t="shared" si="0"/>
        <v>Payment_Gateway</v>
      </c>
      <c r="E895" s="8" t="s">
        <v>1522</v>
      </c>
      <c r="F895" s="8"/>
    </row>
    <row r="896" spans="1:6" ht="14.6" x14ac:dyDescent="0.4">
      <c r="A896" s="7" t="s">
        <v>945</v>
      </c>
      <c r="B896" s="4" t="s">
        <v>286</v>
      </c>
      <c r="C896" s="4" t="s">
        <v>34</v>
      </c>
      <c r="D896" s="10" t="str">
        <f t="shared" si="0"/>
        <v>Payment_Gateway</v>
      </c>
      <c r="E896" s="8" t="s">
        <v>1522</v>
      </c>
      <c r="F896" s="8"/>
    </row>
    <row r="897" spans="1:6" ht="14.6" x14ac:dyDescent="0.4">
      <c r="A897" s="7" t="s">
        <v>991</v>
      </c>
      <c r="B897" s="4" t="s">
        <v>992</v>
      </c>
      <c r="C897" s="4" t="s">
        <v>34</v>
      </c>
      <c r="D897" s="10" t="str">
        <f t="shared" si="0"/>
        <v>Payment_Gateway</v>
      </c>
      <c r="E897" s="8" t="s">
        <v>1522</v>
      </c>
      <c r="F897" s="8"/>
    </row>
    <row r="898" spans="1:6" ht="14.6" x14ac:dyDescent="0.4">
      <c r="A898" s="7" t="s">
        <v>1022</v>
      </c>
      <c r="B898" s="4" t="s">
        <v>816</v>
      </c>
      <c r="C898" s="4" t="s">
        <v>34</v>
      </c>
      <c r="D898" s="10" t="str">
        <f t="shared" si="0"/>
        <v>Payment_Gateway</v>
      </c>
      <c r="E898" s="8" t="s">
        <v>1522</v>
      </c>
      <c r="F898" s="8"/>
    </row>
    <row r="899" spans="1:6" ht="14.6" x14ac:dyDescent="0.4">
      <c r="A899" s="7" t="s">
        <v>1050</v>
      </c>
      <c r="B899" s="4" t="s">
        <v>1051</v>
      </c>
      <c r="C899" s="4" t="s">
        <v>34</v>
      </c>
      <c r="D899" s="10" t="str">
        <f t="shared" si="0"/>
        <v>Payment_Gateway</v>
      </c>
      <c r="E899" s="8" t="s">
        <v>1522</v>
      </c>
      <c r="F899" s="8"/>
    </row>
    <row r="900" spans="1:6" ht="14.6" x14ac:dyDescent="0.4">
      <c r="A900" s="7" t="s">
        <v>1077</v>
      </c>
      <c r="B900" s="4" t="s">
        <v>1045</v>
      </c>
      <c r="C900" s="4" t="s">
        <v>34</v>
      </c>
      <c r="D900" s="10" t="str">
        <f t="shared" si="0"/>
        <v>Payment_Gateway</v>
      </c>
      <c r="E900" s="8" t="s">
        <v>1522</v>
      </c>
      <c r="F900" s="8"/>
    </row>
    <row r="901" spans="1:6" ht="14.6" x14ac:dyDescent="0.4">
      <c r="A901" s="7" t="s">
        <v>1088</v>
      </c>
      <c r="B901" s="4" t="s">
        <v>1029</v>
      </c>
      <c r="C901" s="4" t="s">
        <v>34</v>
      </c>
      <c r="D901" s="10" t="str">
        <f t="shared" si="0"/>
        <v>Payment_Gateway</v>
      </c>
      <c r="E901" s="8" t="s">
        <v>1522</v>
      </c>
      <c r="F901" s="8"/>
    </row>
    <row r="902" spans="1:6" ht="14.6" x14ac:dyDescent="0.4">
      <c r="A902" s="7" t="s">
        <v>1105</v>
      </c>
      <c r="B902" s="4" t="s">
        <v>1085</v>
      </c>
      <c r="C902" s="4" t="s">
        <v>34</v>
      </c>
      <c r="D902" s="10" t="str">
        <f t="shared" si="0"/>
        <v>Payment_Gateway</v>
      </c>
      <c r="E902" s="8" t="s">
        <v>1522</v>
      </c>
      <c r="F902" s="8"/>
    </row>
    <row r="903" spans="1:6" ht="14.6" x14ac:dyDescent="0.4">
      <c r="A903" s="7" t="s">
        <v>1116</v>
      </c>
      <c r="B903" s="4" t="s">
        <v>1080</v>
      </c>
      <c r="C903" s="4" t="s">
        <v>34</v>
      </c>
      <c r="D903" s="10" t="str">
        <f t="shared" si="0"/>
        <v>Payment_Gateway</v>
      </c>
      <c r="E903" s="8" t="s">
        <v>1522</v>
      </c>
      <c r="F903" s="8"/>
    </row>
    <row r="904" spans="1:6" ht="14.6" x14ac:dyDescent="0.4">
      <c r="A904" s="7" t="s">
        <v>1161</v>
      </c>
      <c r="B904" s="4" t="s">
        <v>1162</v>
      </c>
      <c r="C904" s="4" t="s">
        <v>34</v>
      </c>
      <c r="D904" s="10" t="str">
        <f t="shared" si="0"/>
        <v>Payment_Gateway</v>
      </c>
      <c r="E904" s="8" t="s">
        <v>1522</v>
      </c>
      <c r="F904" s="8"/>
    </row>
    <row r="905" spans="1:6" ht="14.6" x14ac:dyDescent="0.4">
      <c r="A905" s="7" t="s">
        <v>1181</v>
      </c>
      <c r="B905" s="4" t="s">
        <v>1154</v>
      </c>
      <c r="C905" s="4" t="s">
        <v>34</v>
      </c>
      <c r="D905" s="10" t="str">
        <f t="shared" si="0"/>
        <v>Payment_Gateway</v>
      </c>
      <c r="E905" s="8" t="s">
        <v>1522</v>
      </c>
      <c r="F905" s="8"/>
    </row>
    <row r="906" spans="1:6" ht="14.6" x14ac:dyDescent="0.4">
      <c r="A906" s="7" t="s">
        <v>1219</v>
      </c>
      <c r="B906" s="4" t="s">
        <v>1162</v>
      </c>
      <c r="C906" s="4" t="s">
        <v>34</v>
      </c>
      <c r="D906" s="10" t="str">
        <f t="shared" si="0"/>
        <v>Payment_Gateway</v>
      </c>
      <c r="E906" s="8" t="s">
        <v>1522</v>
      </c>
      <c r="F906" s="8"/>
    </row>
    <row r="907" spans="1:6" ht="14.6" x14ac:dyDescent="0.4">
      <c r="A907" s="7" t="s">
        <v>1271</v>
      </c>
      <c r="B907" s="4" t="s">
        <v>1258</v>
      </c>
      <c r="C907" s="4" t="s">
        <v>34</v>
      </c>
      <c r="D907" s="10" t="str">
        <f t="shared" si="0"/>
        <v>Payment_Gateway</v>
      </c>
      <c r="E907" s="8" t="s">
        <v>1522</v>
      </c>
      <c r="F907" s="8"/>
    </row>
    <row r="908" spans="1:6" ht="14.6" x14ac:dyDescent="0.4">
      <c r="A908" s="7" t="s">
        <v>1279</v>
      </c>
      <c r="B908" s="4" t="s">
        <v>1262</v>
      </c>
      <c r="C908" s="4" t="s">
        <v>34</v>
      </c>
      <c r="D908" s="10" t="str">
        <f t="shared" si="0"/>
        <v>Payment_Gateway</v>
      </c>
      <c r="E908" s="8" t="s">
        <v>1522</v>
      </c>
      <c r="F908" s="8"/>
    </row>
    <row r="909" spans="1:6" ht="14.6" x14ac:dyDescent="0.4">
      <c r="A909" s="7" t="s">
        <v>1303</v>
      </c>
      <c r="B909" s="4" t="s">
        <v>1256</v>
      </c>
      <c r="C909" s="4" t="s">
        <v>34</v>
      </c>
      <c r="D909" s="10" t="str">
        <f t="shared" si="0"/>
        <v>Payment_Gateway</v>
      </c>
      <c r="E909" s="8" t="s">
        <v>1522</v>
      </c>
      <c r="F909" s="8"/>
    </row>
    <row r="910" spans="1:6" ht="14.6" x14ac:dyDescent="0.4">
      <c r="A910" s="7" t="s">
        <v>1304</v>
      </c>
      <c r="B910" s="4" t="s">
        <v>1262</v>
      </c>
      <c r="C910" s="4" t="s">
        <v>34</v>
      </c>
      <c r="D910" s="10" t="str">
        <f t="shared" si="0"/>
        <v>Payment_Gateway</v>
      </c>
      <c r="E910" s="8" t="s">
        <v>1522</v>
      </c>
      <c r="F910" s="8"/>
    </row>
    <row r="911" spans="1:6" ht="14.6" x14ac:dyDescent="0.4">
      <c r="A911" s="7" t="s">
        <v>1327</v>
      </c>
      <c r="B911" s="4" t="s">
        <v>1258</v>
      </c>
      <c r="C911" s="4" t="s">
        <v>34</v>
      </c>
      <c r="D911" s="10" t="str">
        <f t="shared" si="0"/>
        <v>Payment_Gateway</v>
      </c>
      <c r="E911" s="8" t="s">
        <v>1522</v>
      </c>
      <c r="F911" s="8"/>
    </row>
    <row r="912" spans="1:6" ht="14.6" x14ac:dyDescent="0.4">
      <c r="A912" s="7" t="s">
        <v>1339</v>
      </c>
      <c r="B912" s="4" t="s">
        <v>1258</v>
      </c>
      <c r="C912" s="4" t="s">
        <v>34</v>
      </c>
      <c r="D912" s="10" t="str">
        <f t="shared" si="0"/>
        <v>Payment_Gateway</v>
      </c>
      <c r="E912" s="8" t="s">
        <v>1522</v>
      </c>
      <c r="F912" s="8"/>
    </row>
    <row r="913" spans="1:6" ht="14.6" x14ac:dyDescent="0.4">
      <c r="A913" s="7" t="s">
        <v>1350</v>
      </c>
      <c r="B913" s="4" t="s">
        <v>1351</v>
      </c>
      <c r="C913" s="4" t="s">
        <v>34</v>
      </c>
      <c r="D913" s="10" t="str">
        <f t="shared" si="0"/>
        <v>Payment_Gateway</v>
      </c>
      <c r="E913" s="8" t="s">
        <v>1522</v>
      </c>
      <c r="F913" s="8"/>
    </row>
    <row r="914" spans="1:6" ht="14.6" x14ac:dyDescent="0.4">
      <c r="A914" s="7" t="s">
        <v>1360</v>
      </c>
      <c r="B914" s="4" t="s">
        <v>1361</v>
      </c>
      <c r="C914" s="4" t="s">
        <v>34</v>
      </c>
      <c r="D914" s="10" t="str">
        <f t="shared" si="0"/>
        <v>Payment_Gateway</v>
      </c>
      <c r="E914" s="8" t="s">
        <v>1522</v>
      </c>
      <c r="F914" s="8"/>
    </row>
    <row r="915" spans="1:6" ht="14.6" x14ac:dyDescent="0.4">
      <c r="A915" s="7" t="s">
        <v>1369</v>
      </c>
      <c r="B915" s="4" t="s">
        <v>1355</v>
      </c>
      <c r="C915" s="4" t="s">
        <v>34</v>
      </c>
      <c r="D915" s="10" t="str">
        <f t="shared" si="0"/>
        <v>Payment_Gateway</v>
      </c>
      <c r="E915" s="8" t="s">
        <v>1522</v>
      </c>
      <c r="F915" s="8"/>
    </row>
    <row r="916" spans="1:6" ht="14.6" x14ac:dyDescent="0.4">
      <c r="A916" s="7" t="s">
        <v>1418</v>
      </c>
      <c r="B916" s="4" t="s">
        <v>1355</v>
      </c>
      <c r="C916" s="4" t="s">
        <v>34</v>
      </c>
      <c r="D916" s="10" t="str">
        <f t="shared" si="0"/>
        <v>Payment_Gateway</v>
      </c>
      <c r="E916" s="8" t="s">
        <v>1522</v>
      </c>
      <c r="F916" s="8"/>
    </row>
    <row r="917" spans="1:6" ht="14.6" x14ac:dyDescent="0.4">
      <c r="A917" s="7" t="s">
        <v>1422</v>
      </c>
      <c r="B917" s="4" t="s">
        <v>1355</v>
      </c>
      <c r="C917" s="4" t="s">
        <v>34</v>
      </c>
      <c r="D917" s="10" t="str">
        <f t="shared" si="0"/>
        <v>Payment_Gateway</v>
      </c>
      <c r="E917" s="8" t="s">
        <v>1522</v>
      </c>
      <c r="F917" s="8"/>
    </row>
    <row r="918" spans="1:6" ht="14.6" x14ac:dyDescent="0.4">
      <c r="A918" s="7" t="s">
        <v>1438</v>
      </c>
      <c r="B918" s="4" t="s">
        <v>1437</v>
      </c>
      <c r="C918" s="4" t="s">
        <v>34</v>
      </c>
      <c r="D918" s="10" t="str">
        <f t="shared" si="0"/>
        <v>Payment_Gateway</v>
      </c>
      <c r="E918" s="8" t="s">
        <v>1522</v>
      </c>
      <c r="F918" s="8"/>
    </row>
    <row r="919" spans="1:6" ht="14.6" x14ac:dyDescent="0.4">
      <c r="A919" s="7" t="s">
        <v>1458</v>
      </c>
      <c r="B919" s="4" t="s">
        <v>1429</v>
      </c>
      <c r="C919" s="4" t="s">
        <v>34</v>
      </c>
      <c r="D919" s="10" t="str">
        <f t="shared" si="0"/>
        <v>Payment_Gateway</v>
      </c>
      <c r="E919" s="8" t="s">
        <v>1522</v>
      </c>
      <c r="F919" s="8"/>
    </row>
    <row r="920" spans="1:6" ht="14.6" x14ac:dyDescent="0.4">
      <c r="A920" s="7" t="s">
        <v>1462</v>
      </c>
      <c r="B920" s="4" t="s">
        <v>1427</v>
      </c>
      <c r="C920" s="4" t="s">
        <v>34</v>
      </c>
      <c r="D920" s="10" t="str">
        <f t="shared" si="0"/>
        <v>Payment_Gateway</v>
      </c>
      <c r="E920" s="8" t="s">
        <v>1522</v>
      </c>
      <c r="F920" s="8"/>
    </row>
    <row r="921" spans="1:6" ht="14.6" x14ac:dyDescent="0.4">
      <c r="A921" s="7" t="s">
        <v>1485</v>
      </c>
      <c r="B921" s="4" t="s">
        <v>1480</v>
      </c>
      <c r="C921" s="4" t="s">
        <v>34</v>
      </c>
      <c r="D921" s="10" t="str">
        <f t="shared" si="0"/>
        <v>Payment_Gateway</v>
      </c>
      <c r="E921" s="8" t="s">
        <v>1522</v>
      </c>
      <c r="F921" s="8"/>
    </row>
    <row r="922" spans="1:6" ht="14.6" x14ac:dyDescent="0.4">
      <c r="A922" s="7" t="s">
        <v>1495</v>
      </c>
      <c r="B922" s="4" t="s">
        <v>1473</v>
      </c>
      <c r="C922" s="4" t="s">
        <v>34</v>
      </c>
      <c r="D922" s="10" t="str">
        <f t="shared" si="0"/>
        <v>Payment_Gateway</v>
      </c>
      <c r="E922" s="8" t="s">
        <v>1522</v>
      </c>
      <c r="F922" s="8"/>
    </row>
    <row r="923" spans="1:6" ht="14.6" x14ac:dyDescent="0.4">
      <c r="A923" s="7" t="s">
        <v>7</v>
      </c>
      <c r="B923" s="4" t="s">
        <v>8</v>
      </c>
      <c r="C923" s="4" t="s">
        <v>9</v>
      </c>
      <c r="D923" s="10" t="str">
        <f t="shared" si="0"/>
        <v>Student_Information_System</v>
      </c>
      <c r="E923" s="8" t="s">
        <v>1522</v>
      </c>
      <c r="F923" s="8" t="s">
        <v>1548</v>
      </c>
    </row>
    <row r="924" spans="1:6" ht="14.6" x14ac:dyDescent="0.4">
      <c r="A924" s="7" t="s">
        <v>61</v>
      </c>
      <c r="B924" s="4" t="s">
        <v>62</v>
      </c>
      <c r="C924" s="4" t="s">
        <v>9</v>
      </c>
      <c r="D924" s="10" t="str">
        <f t="shared" si="0"/>
        <v>Student_Information_System</v>
      </c>
      <c r="E924" s="8" t="s">
        <v>1522</v>
      </c>
      <c r="F924" s="8"/>
    </row>
    <row r="925" spans="1:6" ht="14.6" x14ac:dyDescent="0.4">
      <c r="A925" s="7" t="s">
        <v>83</v>
      </c>
      <c r="B925" s="4" t="s">
        <v>84</v>
      </c>
      <c r="C925" s="4" t="s">
        <v>9</v>
      </c>
      <c r="D925" s="10" t="str">
        <f t="shared" si="0"/>
        <v>Student_Information_System</v>
      </c>
      <c r="E925" s="8" t="s">
        <v>1522</v>
      </c>
      <c r="F925" s="8"/>
    </row>
    <row r="926" spans="1:6" ht="14.6" x14ac:dyDescent="0.4">
      <c r="A926" s="7" t="s">
        <v>127</v>
      </c>
      <c r="B926" s="4" t="s">
        <v>128</v>
      </c>
      <c r="C926" s="4" t="s">
        <v>9</v>
      </c>
      <c r="D926" s="10" t="str">
        <f t="shared" si="0"/>
        <v>Student_Information_System</v>
      </c>
      <c r="E926" s="8" t="s">
        <v>1522</v>
      </c>
      <c r="F926" s="8"/>
    </row>
    <row r="927" spans="1:6" ht="14.6" x14ac:dyDescent="0.4">
      <c r="A927" s="7" t="s">
        <v>145</v>
      </c>
      <c r="B927" s="4" t="s">
        <v>146</v>
      </c>
      <c r="C927" s="4" t="s">
        <v>9</v>
      </c>
      <c r="D927" s="10" t="str">
        <f t="shared" si="0"/>
        <v>Student_Information_System</v>
      </c>
      <c r="E927" s="8" t="s">
        <v>1522</v>
      </c>
      <c r="F927" s="8"/>
    </row>
    <row r="928" spans="1:6" ht="14.6" x14ac:dyDescent="0.4">
      <c r="A928" s="7" t="s">
        <v>150</v>
      </c>
      <c r="B928" s="4" t="s">
        <v>151</v>
      </c>
      <c r="C928" s="4" t="s">
        <v>9</v>
      </c>
      <c r="D928" s="10" t="str">
        <f t="shared" si="0"/>
        <v>Student_Information_System</v>
      </c>
      <c r="E928" s="8" t="s">
        <v>1522</v>
      </c>
      <c r="F928" s="8"/>
    </row>
    <row r="929" spans="1:6" ht="14.6" x14ac:dyDescent="0.4">
      <c r="A929" s="7" t="s">
        <v>194</v>
      </c>
      <c r="B929" s="4" t="s">
        <v>195</v>
      </c>
      <c r="C929" s="4" t="s">
        <v>9</v>
      </c>
      <c r="D929" s="10" t="str">
        <f t="shared" si="0"/>
        <v>Student_Information_System</v>
      </c>
      <c r="E929" s="8" t="s">
        <v>1522</v>
      </c>
      <c r="F929" s="8"/>
    </row>
    <row r="930" spans="1:6" ht="14.6" x14ac:dyDescent="0.4">
      <c r="A930" s="7" t="s">
        <v>222</v>
      </c>
      <c r="B930" s="4" t="s">
        <v>182</v>
      </c>
      <c r="C930" s="4" t="s">
        <v>9</v>
      </c>
      <c r="D930" s="10" t="str">
        <f t="shared" si="0"/>
        <v>Student_Information_System</v>
      </c>
      <c r="E930" s="8" t="s">
        <v>1522</v>
      </c>
      <c r="F930" s="8"/>
    </row>
    <row r="931" spans="1:6" ht="14.6" x14ac:dyDescent="0.4">
      <c r="A931" s="7" t="s">
        <v>231</v>
      </c>
      <c r="B931" s="4" t="s">
        <v>232</v>
      </c>
      <c r="C931" s="4" t="s">
        <v>9</v>
      </c>
      <c r="D931" s="10" t="str">
        <f t="shared" si="0"/>
        <v>Student_Information_System</v>
      </c>
      <c r="E931" s="8" t="s">
        <v>1522</v>
      </c>
      <c r="F931" s="8"/>
    </row>
    <row r="932" spans="1:6" ht="14.6" x14ac:dyDescent="0.4">
      <c r="A932" s="7" t="s">
        <v>273</v>
      </c>
      <c r="B932" s="4" t="s">
        <v>274</v>
      </c>
      <c r="C932" s="4" t="s">
        <v>9</v>
      </c>
      <c r="D932" s="10" t="str">
        <f t="shared" si="0"/>
        <v>Student_Information_System</v>
      </c>
      <c r="E932" s="8" t="s">
        <v>1522</v>
      </c>
      <c r="F932" s="8"/>
    </row>
    <row r="933" spans="1:6" ht="14.6" x14ac:dyDescent="0.4">
      <c r="A933" s="7" t="s">
        <v>308</v>
      </c>
      <c r="B933" s="4" t="s">
        <v>309</v>
      </c>
      <c r="C933" s="4" t="s">
        <v>9</v>
      </c>
      <c r="D933" s="10" t="str">
        <f t="shared" si="0"/>
        <v>Student_Information_System</v>
      </c>
      <c r="E933" s="8" t="s">
        <v>1522</v>
      </c>
      <c r="F933" s="8"/>
    </row>
    <row r="934" spans="1:6" ht="14.6" x14ac:dyDescent="0.4">
      <c r="A934" s="7" t="s">
        <v>317</v>
      </c>
      <c r="B934" s="4" t="s">
        <v>318</v>
      </c>
      <c r="C934" s="4" t="s">
        <v>9</v>
      </c>
      <c r="D934" s="10" t="str">
        <f t="shared" si="0"/>
        <v>Student_Information_System</v>
      </c>
      <c r="E934" s="8" t="s">
        <v>1522</v>
      </c>
      <c r="F934" s="8"/>
    </row>
    <row r="935" spans="1:6" ht="14.6" x14ac:dyDescent="0.4">
      <c r="A935" s="7" t="s">
        <v>348</v>
      </c>
      <c r="B935" s="4" t="s">
        <v>151</v>
      </c>
      <c r="C935" s="4" t="s">
        <v>9</v>
      </c>
      <c r="D935" s="10" t="str">
        <f t="shared" si="0"/>
        <v>Student_Information_System</v>
      </c>
      <c r="E935" s="8" t="s">
        <v>1522</v>
      </c>
      <c r="F935" s="8"/>
    </row>
    <row r="936" spans="1:6" ht="14.6" x14ac:dyDescent="0.4">
      <c r="A936" s="7" t="s">
        <v>375</v>
      </c>
      <c r="B936" s="4" t="s">
        <v>176</v>
      </c>
      <c r="C936" s="4" t="s">
        <v>9</v>
      </c>
      <c r="D936" s="10" t="str">
        <f t="shared" si="0"/>
        <v>Student_Information_System</v>
      </c>
      <c r="E936" s="8" t="s">
        <v>1522</v>
      </c>
      <c r="F936" s="8"/>
    </row>
    <row r="937" spans="1:6" ht="14.6" x14ac:dyDescent="0.4">
      <c r="A937" s="7" t="s">
        <v>401</v>
      </c>
      <c r="B937" s="4" t="s">
        <v>263</v>
      </c>
      <c r="C937" s="4" t="s">
        <v>9</v>
      </c>
      <c r="D937" s="10" t="str">
        <f t="shared" si="0"/>
        <v>Student_Information_System</v>
      </c>
      <c r="E937" s="8" t="s">
        <v>1522</v>
      </c>
      <c r="F937" s="8"/>
    </row>
    <row r="938" spans="1:6" ht="14.6" x14ac:dyDescent="0.4">
      <c r="A938" s="7" t="s">
        <v>425</v>
      </c>
      <c r="B938" s="4" t="s">
        <v>426</v>
      </c>
      <c r="C938" s="4" t="s">
        <v>9</v>
      </c>
      <c r="D938" s="10" t="str">
        <f t="shared" si="0"/>
        <v>Student_Information_System</v>
      </c>
      <c r="E938" s="8" t="s">
        <v>1522</v>
      </c>
      <c r="F938" s="8"/>
    </row>
    <row r="939" spans="1:6" ht="14.6" x14ac:dyDescent="0.4">
      <c r="A939" s="7" t="s">
        <v>446</v>
      </c>
      <c r="B939" s="4" t="s">
        <v>126</v>
      </c>
      <c r="C939" s="4" t="s">
        <v>9</v>
      </c>
      <c r="D939" s="10" t="str">
        <f t="shared" si="0"/>
        <v>Student_Information_System</v>
      </c>
      <c r="E939" s="8" t="s">
        <v>1522</v>
      </c>
      <c r="F939" s="8"/>
    </row>
    <row r="940" spans="1:6" ht="14.6" x14ac:dyDescent="0.4">
      <c r="A940" s="7" t="s">
        <v>459</v>
      </c>
      <c r="B940" s="4" t="s">
        <v>460</v>
      </c>
      <c r="C940" s="4" t="s">
        <v>9</v>
      </c>
      <c r="D940" s="10" t="str">
        <f t="shared" si="0"/>
        <v>Student_Information_System</v>
      </c>
      <c r="E940" s="8" t="s">
        <v>1522</v>
      </c>
      <c r="F940" s="8"/>
    </row>
    <row r="941" spans="1:6" ht="14.6" x14ac:dyDescent="0.4">
      <c r="A941" s="7" t="s">
        <v>488</v>
      </c>
      <c r="B941" s="4" t="s">
        <v>213</v>
      </c>
      <c r="C941" s="4" t="s">
        <v>9</v>
      </c>
      <c r="D941" s="10" t="str">
        <f t="shared" si="0"/>
        <v>Student_Information_System</v>
      </c>
      <c r="E941" s="8" t="s">
        <v>1522</v>
      </c>
      <c r="F941" s="8"/>
    </row>
    <row r="942" spans="1:6" ht="14.6" x14ac:dyDescent="0.4">
      <c r="A942" s="7" t="s">
        <v>497</v>
      </c>
      <c r="B942" s="4" t="s">
        <v>498</v>
      </c>
      <c r="C942" s="4" t="s">
        <v>9</v>
      </c>
      <c r="D942" s="10" t="str">
        <f t="shared" si="0"/>
        <v>Student_Information_System</v>
      </c>
      <c r="E942" s="8" t="s">
        <v>1522</v>
      </c>
      <c r="F942" s="8"/>
    </row>
    <row r="943" spans="1:6" ht="14.6" x14ac:dyDescent="0.4">
      <c r="A943" s="7" t="s">
        <v>516</v>
      </c>
      <c r="B943" s="4" t="s">
        <v>232</v>
      </c>
      <c r="C943" s="4" t="s">
        <v>9</v>
      </c>
      <c r="D943" s="10" t="str">
        <f t="shared" si="0"/>
        <v>Student_Information_System</v>
      </c>
      <c r="E943" s="8" t="s">
        <v>1522</v>
      </c>
      <c r="F943" s="8"/>
    </row>
    <row r="944" spans="1:6" ht="14.6" x14ac:dyDescent="0.4">
      <c r="A944" s="7" t="s">
        <v>520</v>
      </c>
      <c r="B944" s="4" t="s">
        <v>98</v>
      </c>
      <c r="C944" s="4" t="s">
        <v>9</v>
      </c>
      <c r="D944" s="10" t="str">
        <f t="shared" si="0"/>
        <v>Student_Information_System</v>
      </c>
      <c r="E944" s="8" t="s">
        <v>1522</v>
      </c>
      <c r="F944" s="8"/>
    </row>
    <row r="945" spans="1:6" ht="14.6" x14ac:dyDescent="0.4">
      <c r="A945" s="7" t="s">
        <v>527</v>
      </c>
      <c r="B945" s="4" t="s">
        <v>158</v>
      </c>
      <c r="C945" s="4" t="s">
        <v>9</v>
      </c>
      <c r="D945" s="10" t="str">
        <f t="shared" si="0"/>
        <v>Student_Information_System</v>
      </c>
      <c r="E945" s="8" t="s">
        <v>1522</v>
      </c>
      <c r="F945" s="8"/>
    </row>
    <row r="946" spans="1:6" ht="14.6" x14ac:dyDescent="0.4">
      <c r="A946" s="7" t="s">
        <v>556</v>
      </c>
      <c r="B946" s="4" t="s">
        <v>557</v>
      </c>
      <c r="C946" s="4" t="s">
        <v>9</v>
      </c>
      <c r="D946" s="10" t="str">
        <f t="shared" si="0"/>
        <v>Student_Information_System</v>
      </c>
      <c r="E946" s="8" t="s">
        <v>1522</v>
      </c>
      <c r="F946" s="8"/>
    </row>
    <row r="947" spans="1:6" ht="14.6" x14ac:dyDescent="0.4">
      <c r="A947" s="7" t="s">
        <v>558</v>
      </c>
      <c r="B947" s="4" t="s">
        <v>14</v>
      </c>
      <c r="C947" s="4" t="s">
        <v>9</v>
      </c>
      <c r="D947" s="10" t="str">
        <f t="shared" si="0"/>
        <v>Student_Information_System</v>
      </c>
      <c r="E947" s="8" t="s">
        <v>1522</v>
      </c>
      <c r="F947" s="8"/>
    </row>
    <row r="948" spans="1:6" ht="14.6" x14ac:dyDescent="0.4">
      <c r="A948" s="7" t="s">
        <v>576</v>
      </c>
      <c r="B948" s="4" t="s">
        <v>44</v>
      </c>
      <c r="C948" s="4" t="s">
        <v>9</v>
      </c>
      <c r="D948" s="10" t="str">
        <f t="shared" si="0"/>
        <v>Student_Information_System</v>
      </c>
      <c r="E948" s="8" t="s">
        <v>1522</v>
      </c>
      <c r="F948" s="8"/>
    </row>
    <row r="949" spans="1:6" ht="14.6" x14ac:dyDescent="0.4">
      <c r="A949" s="7" t="s">
        <v>600</v>
      </c>
      <c r="B949" s="4" t="s">
        <v>601</v>
      </c>
      <c r="C949" s="4" t="s">
        <v>9</v>
      </c>
      <c r="D949" s="10" t="str">
        <f t="shared" si="0"/>
        <v>Student_Information_System</v>
      </c>
      <c r="E949" s="8" t="s">
        <v>1522</v>
      </c>
      <c r="F949" s="8"/>
    </row>
    <row r="950" spans="1:6" ht="14.6" x14ac:dyDescent="0.4">
      <c r="A950" s="7" t="s">
        <v>665</v>
      </c>
      <c r="B950" s="4" t="s">
        <v>84</v>
      </c>
      <c r="C950" s="4" t="s">
        <v>9</v>
      </c>
      <c r="D950" s="10" t="str">
        <f t="shared" si="0"/>
        <v>Student_Information_System</v>
      </c>
      <c r="E950" s="8" t="s">
        <v>1522</v>
      </c>
      <c r="F950" s="8"/>
    </row>
    <row r="951" spans="1:6" ht="14.6" x14ac:dyDescent="0.4">
      <c r="A951" s="7" t="s">
        <v>749</v>
      </c>
      <c r="B951" s="4" t="s">
        <v>631</v>
      </c>
      <c r="C951" s="4" t="s">
        <v>9</v>
      </c>
      <c r="D951" s="10" t="str">
        <f t="shared" si="0"/>
        <v>Student_Information_System</v>
      </c>
      <c r="E951" s="8" t="s">
        <v>1522</v>
      </c>
      <c r="F951" s="8"/>
    </row>
    <row r="952" spans="1:6" ht="14.6" x14ac:dyDescent="0.4">
      <c r="A952" s="7" t="s">
        <v>777</v>
      </c>
      <c r="B952" s="4" t="s">
        <v>778</v>
      </c>
      <c r="C952" s="4" t="s">
        <v>9</v>
      </c>
      <c r="D952" s="10" t="str">
        <f t="shared" si="0"/>
        <v>Student_Information_System</v>
      </c>
      <c r="E952" s="8" t="s">
        <v>1522</v>
      </c>
      <c r="F952" s="8"/>
    </row>
    <row r="953" spans="1:6" ht="14.6" x14ac:dyDescent="0.4">
      <c r="A953" s="7" t="s">
        <v>791</v>
      </c>
      <c r="B953" s="4" t="s">
        <v>792</v>
      </c>
      <c r="C953" s="4" t="s">
        <v>9</v>
      </c>
      <c r="D953" s="10" t="str">
        <f t="shared" si="0"/>
        <v>Student_Information_System</v>
      </c>
      <c r="E953" s="8" t="s">
        <v>1522</v>
      </c>
      <c r="F953" s="8"/>
    </row>
    <row r="954" spans="1:6" ht="14.6" x14ac:dyDescent="0.4">
      <c r="A954" s="7" t="s">
        <v>799</v>
      </c>
      <c r="B954" s="4" t="s">
        <v>240</v>
      </c>
      <c r="C954" s="4" t="s">
        <v>9</v>
      </c>
      <c r="D954" s="10" t="str">
        <f t="shared" si="0"/>
        <v>Student_Information_System</v>
      </c>
      <c r="E954" s="8" t="s">
        <v>1522</v>
      </c>
      <c r="F954" s="8"/>
    </row>
    <row r="955" spans="1:6" ht="14.6" x14ac:dyDescent="0.4">
      <c r="A955" s="7" t="s">
        <v>802</v>
      </c>
      <c r="B955" s="4" t="s">
        <v>254</v>
      </c>
      <c r="C955" s="4" t="s">
        <v>9</v>
      </c>
      <c r="D955" s="10" t="str">
        <f t="shared" si="0"/>
        <v>Student_Information_System</v>
      </c>
      <c r="E955" s="8" t="s">
        <v>1522</v>
      </c>
      <c r="F955" s="8"/>
    </row>
    <row r="956" spans="1:6" ht="14.6" x14ac:dyDescent="0.4">
      <c r="A956" s="7" t="s">
        <v>830</v>
      </c>
      <c r="B956" s="4" t="s">
        <v>49</v>
      </c>
      <c r="C956" s="4" t="s">
        <v>9</v>
      </c>
      <c r="D956" s="10" t="str">
        <f t="shared" si="0"/>
        <v>Student_Information_System</v>
      </c>
      <c r="E956" s="8" t="s">
        <v>1522</v>
      </c>
      <c r="F956" s="8"/>
    </row>
    <row r="957" spans="1:6" ht="14.6" x14ac:dyDescent="0.4">
      <c r="A957" s="7" t="s">
        <v>847</v>
      </c>
      <c r="B957" s="4" t="s">
        <v>848</v>
      </c>
      <c r="C957" s="4" t="s">
        <v>9</v>
      </c>
      <c r="D957" s="10" t="str">
        <f t="shared" si="0"/>
        <v>Student_Information_System</v>
      </c>
      <c r="E957" s="8" t="s">
        <v>1522</v>
      </c>
      <c r="F957" s="8"/>
    </row>
    <row r="958" spans="1:6" ht="14.6" x14ac:dyDescent="0.4">
      <c r="A958" s="7" t="s">
        <v>863</v>
      </c>
      <c r="B958" s="4" t="s">
        <v>864</v>
      </c>
      <c r="C958" s="4" t="s">
        <v>9</v>
      </c>
      <c r="D958" s="10" t="str">
        <f t="shared" si="0"/>
        <v>Student_Information_System</v>
      </c>
      <c r="E958" s="8" t="s">
        <v>1522</v>
      </c>
      <c r="F958" s="8"/>
    </row>
    <row r="959" spans="1:6" ht="14.6" x14ac:dyDescent="0.4">
      <c r="A959" s="7" t="s">
        <v>871</v>
      </c>
      <c r="B959" s="4" t="s">
        <v>158</v>
      </c>
      <c r="C959" s="4" t="s">
        <v>9</v>
      </c>
      <c r="D959" s="10" t="str">
        <f t="shared" si="0"/>
        <v>Student_Information_System</v>
      </c>
      <c r="E959" s="8" t="s">
        <v>1522</v>
      </c>
      <c r="F959" s="8"/>
    </row>
    <row r="960" spans="1:6" ht="14.6" x14ac:dyDescent="0.4">
      <c r="A960" s="7" t="s">
        <v>920</v>
      </c>
      <c r="B960" s="4" t="s">
        <v>839</v>
      </c>
      <c r="C960" s="4" t="s">
        <v>9</v>
      </c>
      <c r="D960" s="10" t="str">
        <f t="shared" si="0"/>
        <v>Student_Information_System</v>
      </c>
      <c r="E960" s="8" t="s">
        <v>1522</v>
      </c>
      <c r="F960" s="8"/>
    </row>
    <row r="961" spans="1:6" ht="14.6" x14ac:dyDescent="0.4">
      <c r="A961" s="7" t="s">
        <v>968</v>
      </c>
      <c r="B961" s="4" t="s">
        <v>661</v>
      </c>
      <c r="C961" s="4" t="s">
        <v>9</v>
      </c>
      <c r="D961" s="10" t="str">
        <f t="shared" si="0"/>
        <v>Student_Information_System</v>
      </c>
      <c r="E961" s="8" t="s">
        <v>1522</v>
      </c>
      <c r="F961" s="8"/>
    </row>
    <row r="962" spans="1:6" ht="14.6" x14ac:dyDescent="0.4">
      <c r="A962" s="7" t="s">
        <v>981</v>
      </c>
      <c r="B962" s="4" t="s">
        <v>573</v>
      </c>
      <c r="C962" s="4" t="s">
        <v>9</v>
      </c>
      <c r="D962" s="10" t="str">
        <f t="shared" si="0"/>
        <v>Student_Information_System</v>
      </c>
      <c r="E962" s="8" t="s">
        <v>1522</v>
      </c>
      <c r="F962" s="8"/>
    </row>
    <row r="963" spans="1:6" ht="14.6" x14ac:dyDescent="0.4">
      <c r="A963" s="7" t="s">
        <v>987</v>
      </c>
      <c r="B963" s="4" t="s">
        <v>675</v>
      </c>
      <c r="C963" s="4" t="s">
        <v>9</v>
      </c>
      <c r="D963" s="10" t="str">
        <f t="shared" si="0"/>
        <v>Student_Information_System</v>
      </c>
      <c r="E963" s="8" t="s">
        <v>1522</v>
      </c>
      <c r="F963" s="8"/>
    </row>
    <row r="964" spans="1:6" ht="14.6" x14ac:dyDescent="0.4">
      <c r="A964" s="7" t="s">
        <v>1030</v>
      </c>
      <c r="B964" s="4" t="s">
        <v>1031</v>
      </c>
      <c r="C964" s="4" t="s">
        <v>9</v>
      </c>
      <c r="D964" s="10" t="str">
        <f t="shared" si="0"/>
        <v>Student_Information_System</v>
      </c>
      <c r="E964" s="8" t="s">
        <v>1522</v>
      </c>
      <c r="F964" s="8"/>
    </row>
    <row r="965" spans="1:6" ht="14.6" x14ac:dyDescent="0.4">
      <c r="A965" s="7" t="s">
        <v>1037</v>
      </c>
      <c r="B965" s="4" t="s">
        <v>1038</v>
      </c>
      <c r="C965" s="4" t="s">
        <v>9</v>
      </c>
      <c r="D965" s="10" t="str">
        <f t="shared" si="0"/>
        <v>Student_Information_System</v>
      </c>
      <c r="E965" s="8" t="s">
        <v>1522</v>
      </c>
      <c r="F965" s="8"/>
    </row>
    <row r="966" spans="1:6" ht="14.6" x14ac:dyDescent="0.4">
      <c r="A966" s="7" t="s">
        <v>1042</v>
      </c>
      <c r="B966" s="4" t="s">
        <v>1038</v>
      </c>
      <c r="C966" s="4" t="s">
        <v>9</v>
      </c>
      <c r="D966" s="10" t="str">
        <f t="shared" si="0"/>
        <v>Student_Information_System</v>
      </c>
      <c r="E966" s="8" t="s">
        <v>1522</v>
      </c>
      <c r="F966" s="8"/>
    </row>
    <row r="967" spans="1:6" ht="14.6" x14ac:dyDescent="0.4">
      <c r="A967" s="7" t="s">
        <v>1056</v>
      </c>
      <c r="B967" s="4" t="s">
        <v>1054</v>
      </c>
      <c r="C967" s="4" t="s">
        <v>9</v>
      </c>
      <c r="D967" s="10" t="str">
        <f t="shared" si="0"/>
        <v>Student_Information_System</v>
      </c>
      <c r="E967" s="8" t="s">
        <v>1522</v>
      </c>
      <c r="F967" s="8"/>
    </row>
    <row r="968" spans="1:6" ht="14.6" x14ac:dyDescent="0.4">
      <c r="A968" s="7" t="s">
        <v>1078</v>
      </c>
      <c r="B968" s="4" t="s">
        <v>1060</v>
      </c>
      <c r="C968" s="4" t="s">
        <v>9</v>
      </c>
      <c r="D968" s="10" t="str">
        <f t="shared" si="0"/>
        <v>Student_Information_System</v>
      </c>
      <c r="E968" s="8" t="s">
        <v>1522</v>
      </c>
      <c r="F968" s="8"/>
    </row>
    <row r="969" spans="1:6" ht="14.6" x14ac:dyDescent="0.4">
      <c r="A969" s="7" t="s">
        <v>1084</v>
      </c>
      <c r="B969" s="4" t="s">
        <v>1085</v>
      </c>
      <c r="C969" s="4" t="s">
        <v>9</v>
      </c>
      <c r="D969" s="10" t="str">
        <f t="shared" si="0"/>
        <v>Student_Information_System</v>
      </c>
      <c r="E969" s="8" t="s">
        <v>1522</v>
      </c>
      <c r="F969" s="8"/>
    </row>
    <row r="970" spans="1:6" ht="14.6" x14ac:dyDescent="0.4">
      <c r="A970" s="7" t="s">
        <v>1096</v>
      </c>
      <c r="B970" s="4" t="s">
        <v>1045</v>
      </c>
      <c r="C970" s="4" t="s">
        <v>9</v>
      </c>
      <c r="D970" s="10" t="str">
        <f t="shared" si="0"/>
        <v>Student_Information_System</v>
      </c>
      <c r="E970" s="8" t="s">
        <v>1522</v>
      </c>
      <c r="F970" s="8"/>
    </row>
    <row r="971" spans="1:6" ht="14.6" x14ac:dyDescent="0.4">
      <c r="A971" s="7" t="s">
        <v>1101</v>
      </c>
      <c r="B971" s="4" t="s">
        <v>1102</v>
      </c>
      <c r="C971" s="4" t="s">
        <v>9</v>
      </c>
      <c r="D971" s="10" t="str">
        <f t="shared" si="0"/>
        <v>Student_Information_System</v>
      </c>
      <c r="E971" s="8" t="s">
        <v>1522</v>
      </c>
      <c r="F971" s="8"/>
    </row>
    <row r="972" spans="1:6" ht="14.6" x14ac:dyDescent="0.4">
      <c r="A972" s="7" t="s">
        <v>1106</v>
      </c>
      <c r="B972" s="4" t="s">
        <v>1060</v>
      </c>
      <c r="C972" s="4" t="s">
        <v>9</v>
      </c>
      <c r="D972" s="10" t="str">
        <f t="shared" si="0"/>
        <v>Student_Information_System</v>
      </c>
      <c r="E972" s="8" t="s">
        <v>1522</v>
      </c>
      <c r="F972" s="8"/>
    </row>
    <row r="973" spans="1:6" ht="14.6" x14ac:dyDescent="0.4">
      <c r="A973" s="7" t="s">
        <v>1120</v>
      </c>
      <c r="B973" s="4" t="s">
        <v>1062</v>
      </c>
      <c r="C973" s="4" t="s">
        <v>9</v>
      </c>
      <c r="D973" s="10" t="str">
        <f t="shared" si="0"/>
        <v>Student_Information_System</v>
      </c>
      <c r="E973" s="8" t="s">
        <v>1522</v>
      </c>
      <c r="F973" s="8"/>
    </row>
    <row r="974" spans="1:6" ht="14.6" x14ac:dyDescent="0.4">
      <c r="A974" s="7" t="s">
        <v>1127</v>
      </c>
      <c r="B974" s="4" t="s">
        <v>1047</v>
      </c>
      <c r="C974" s="4" t="s">
        <v>9</v>
      </c>
      <c r="D974" s="10" t="str">
        <f t="shared" si="0"/>
        <v>Student_Information_System</v>
      </c>
      <c r="E974" s="8" t="s">
        <v>1522</v>
      </c>
      <c r="F974" s="8"/>
    </row>
    <row r="975" spans="1:6" ht="14.6" x14ac:dyDescent="0.4">
      <c r="A975" s="7" t="s">
        <v>1140</v>
      </c>
      <c r="B975" s="4" t="s">
        <v>1038</v>
      </c>
      <c r="C975" s="4" t="s">
        <v>9</v>
      </c>
      <c r="D975" s="10" t="str">
        <f t="shared" si="0"/>
        <v>Student_Information_System</v>
      </c>
      <c r="E975" s="8" t="s">
        <v>1522</v>
      </c>
      <c r="F975" s="8"/>
    </row>
    <row r="976" spans="1:6" ht="14.6" x14ac:dyDescent="0.4">
      <c r="A976" s="7" t="s">
        <v>1143</v>
      </c>
      <c r="B976" s="4" t="s">
        <v>1102</v>
      </c>
      <c r="C976" s="4" t="s">
        <v>9</v>
      </c>
      <c r="D976" s="10" t="str">
        <f t="shared" si="0"/>
        <v>Student_Information_System</v>
      </c>
      <c r="E976" s="8" t="s">
        <v>1522</v>
      </c>
      <c r="F976" s="8"/>
    </row>
    <row r="977" spans="1:6" ht="14.6" x14ac:dyDescent="0.4">
      <c r="A977" s="7" t="s">
        <v>1192</v>
      </c>
      <c r="B977" s="4" t="s">
        <v>1151</v>
      </c>
      <c r="C977" s="4" t="s">
        <v>9</v>
      </c>
      <c r="D977" s="10" t="str">
        <f t="shared" si="0"/>
        <v>Student_Information_System</v>
      </c>
      <c r="E977" s="8" t="s">
        <v>1522</v>
      </c>
      <c r="F977" s="8"/>
    </row>
    <row r="978" spans="1:6" ht="14.6" x14ac:dyDescent="0.4">
      <c r="A978" s="7" t="s">
        <v>1203</v>
      </c>
      <c r="B978" s="4" t="s">
        <v>1178</v>
      </c>
      <c r="C978" s="4" t="s">
        <v>9</v>
      </c>
      <c r="D978" s="10" t="str">
        <f t="shared" si="0"/>
        <v>Student_Information_System</v>
      </c>
      <c r="E978" s="8" t="s">
        <v>1522</v>
      </c>
      <c r="F978" s="8"/>
    </row>
    <row r="979" spans="1:6" ht="14.6" x14ac:dyDescent="0.4">
      <c r="A979" s="7" t="s">
        <v>1209</v>
      </c>
      <c r="B979" s="4" t="s">
        <v>1162</v>
      </c>
      <c r="C979" s="4" t="s">
        <v>9</v>
      </c>
      <c r="D979" s="10" t="str">
        <f t="shared" si="0"/>
        <v>Student_Information_System</v>
      </c>
      <c r="E979" s="8" t="s">
        <v>1522</v>
      </c>
      <c r="F979" s="8"/>
    </row>
    <row r="980" spans="1:6" ht="14.6" x14ac:dyDescent="0.4">
      <c r="A980" s="7" t="s">
        <v>1211</v>
      </c>
      <c r="B980" s="4" t="s">
        <v>1160</v>
      </c>
      <c r="C980" s="4" t="s">
        <v>9</v>
      </c>
      <c r="D980" s="10" t="str">
        <f t="shared" si="0"/>
        <v>Student_Information_System</v>
      </c>
      <c r="E980" s="8" t="s">
        <v>1522</v>
      </c>
      <c r="F980" s="8"/>
    </row>
    <row r="981" spans="1:6" ht="14.6" x14ac:dyDescent="0.4">
      <c r="A981" s="7" t="s">
        <v>1250</v>
      </c>
      <c r="B981" s="4" t="s">
        <v>1167</v>
      </c>
      <c r="C981" s="4" t="s">
        <v>9</v>
      </c>
      <c r="D981" s="10" t="str">
        <f t="shared" si="0"/>
        <v>Student_Information_System</v>
      </c>
      <c r="E981" s="8" t="s">
        <v>1522</v>
      </c>
      <c r="F981" s="8"/>
    </row>
    <row r="982" spans="1:6" ht="14.6" x14ac:dyDescent="0.4">
      <c r="A982" s="7" t="s">
        <v>1269</v>
      </c>
      <c r="B982" s="4" t="s">
        <v>1258</v>
      </c>
      <c r="C982" s="4" t="s">
        <v>9</v>
      </c>
      <c r="D982" s="10" t="str">
        <f t="shared" si="0"/>
        <v>Student_Information_System</v>
      </c>
      <c r="E982" s="8" t="s">
        <v>1522</v>
      </c>
      <c r="F982" s="8"/>
    </row>
    <row r="983" spans="1:6" ht="14.6" x14ac:dyDescent="0.4">
      <c r="A983" s="7" t="s">
        <v>1288</v>
      </c>
      <c r="B983" s="4" t="s">
        <v>1258</v>
      </c>
      <c r="C983" s="4" t="s">
        <v>9</v>
      </c>
      <c r="D983" s="10" t="str">
        <f t="shared" si="0"/>
        <v>Student_Information_System</v>
      </c>
      <c r="E983" s="8" t="s">
        <v>1522</v>
      </c>
      <c r="F983" s="8"/>
    </row>
    <row r="984" spans="1:6" ht="14.6" x14ac:dyDescent="0.4">
      <c r="A984" s="7" t="s">
        <v>1308</v>
      </c>
      <c r="B984" s="4" t="s">
        <v>1262</v>
      </c>
      <c r="C984" s="4" t="s">
        <v>9</v>
      </c>
      <c r="D984" s="10" t="str">
        <f t="shared" si="0"/>
        <v>Student_Information_System</v>
      </c>
      <c r="E984" s="8" t="s">
        <v>1522</v>
      </c>
      <c r="F984" s="8"/>
    </row>
    <row r="985" spans="1:6" ht="14.6" x14ac:dyDescent="0.4">
      <c r="A985" s="7" t="s">
        <v>1333</v>
      </c>
      <c r="B985" s="4" t="s">
        <v>1268</v>
      </c>
      <c r="C985" s="4" t="s">
        <v>9</v>
      </c>
      <c r="D985" s="10" t="str">
        <f t="shared" si="0"/>
        <v>Student_Information_System</v>
      </c>
      <c r="E985" s="8" t="s">
        <v>1522</v>
      </c>
      <c r="F985" s="8"/>
    </row>
    <row r="986" spans="1:6" ht="14.6" x14ac:dyDescent="0.4">
      <c r="A986" s="7" t="s">
        <v>1356</v>
      </c>
      <c r="B986" s="4" t="s">
        <v>1357</v>
      </c>
      <c r="C986" s="4" t="s">
        <v>9</v>
      </c>
      <c r="D986" s="10" t="str">
        <f t="shared" si="0"/>
        <v>Student_Information_System</v>
      </c>
      <c r="E986" s="8" t="s">
        <v>1522</v>
      </c>
      <c r="F986" s="8"/>
    </row>
    <row r="987" spans="1:6" ht="14.6" x14ac:dyDescent="0.4">
      <c r="A987" s="7" t="s">
        <v>1374</v>
      </c>
      <c r="B987" s="4" t="s">
        <v>1361</v>
      </c>
      <c r="C987" s="4" t="s">
        <v>9</v>
      </c>
      <c r="D987" s="10" t="str">
        <f t="shared" si="0"/>
        <v>Student_Information_System</v>
      </c>
      <c r="E987" s="8" t="s">
        <v>1522</v>
      </c>
      <c r="F987" s="8"/>
    </row>
    <row r="988" spans="1:6" ht="14.6" x14ac:dyDescent="0.4">
      <c r="A988" s="7" t="s">
        <v>1377</v>
      </c>
      <c r="B988" s="4" t="s">
        <v>1347</v>
      </c>
      <c r="C988" s="4" t="s">
        <v>9</v>
      </c>
      <c r="D988" s="10" t="str">
        <f t="shared" si="0"/>
        <v>Student_Information_System</v>
      </c>
      <c r="E988" s="8" t="s">
        <v>1522</v>
      </c>
      <c r="F988" s="8"/>
    </row>
    <row r="989" spans="1:6" ht="14.6" x14ac:dyDescent="0.4">
      <c r="A989" s="7" t="s">
        <v>1400</v>
      </c>
      <c r="B989" s="4" t="s">
        <v>1345</v>
      </c>
      <c r="C989" s="4" t="s">
        <v>9</v>
      </c>
      <c r="D989" s="10" t="str">
        <f t="shared" si="0"/>
        <v>Student_Information_System</v>
      </c>
      <c r="E989" s="8" t="s">
        <v>1522</v>
      </c>
      <c r="F989" s="8"/>
    </row>
    <row r="990" spans="1:6" ht="14.6" x14ac:dyDescent="0.4">
      <c r="A990" s="7" t="s">
        <v>1425</v>
      </c>
      <c r="B990" s="4" t="s">
        <v>1349</v>
      </c>
      <c r="C990" s="4" t="s">
        <v>9</v>
      </c>
      <c r="D990" s="10" t="str">
        <f t="shared" si="0"/>
        <v>Student_Information_System</v>
      </c>
      <c r="E990" s="8" t="s">
        <v>1522</v>
      </c>
      <c r="F990" s="8"/>
    </row>
    <row r="991" spans="1:6" ht="14.6" x14ac:dyDescent="0.4">
      <c r="A991" s="7" t="s">
        <v>1433</v>
      </c>
      <c r="B991" s="4" t="s">
        <v>1429</v>
      </c>
      <c r="C991" s="4" t="s">
        <v>9</v>
      </c>
      <c r="D991" s="10" t="str">
        <f t="shared" si="0"/>
        <v>Student_Information_System</v>
      </c>
      <c r="E991" s="8" t="s">
        <v>1522</v>
      </c>
      <c r="F991" s="8"/>
    </row>
    <row r="992" spans="1:6" ht="14.6" x14ac:dyDescent="0.4">
      <c r="A992" s="7" t="s">
        <v>1477</v>
      </c>
      <c r="B992" s="4" t="s">
        <v>1478</v>
      </c>
      <c r="C992" s="4" t="s">
        <v>9</v>
      </c>
      <c r="D992" s="10" t="str">
        <f t="shared" si="0"/>
        <v>Student_Information_System</v>
      </c>
      <c r="E992" s="8" t="s">
        <v>1522</v>
      </c>
      <c r="F992" s="8"/>
    </row>
    <row r="993" spans="1:6" ht="14.6" x14ac:dyDescent="0.4">
      <c r="A993" s="7" t="s">
        <v>1494</v>
      </c>
      <c r="B993" s="4" t="s">
        <v>1475</v>
      </c>
      <c r="C993" s="4" t="s">
        <v>9</v>
      </c>
      <c r="D993" s="10" t="str">
        <f t="shared" si="0"/>
        <v>Student_Information_System</v>
      </c>
      <c r="E993" s="8" t="s">
        <v>1522</v>
      </c>
      <c r="F993" s="8"/>
    </row>
    <row r="994" spans="1:6" ht="14.6" x14ac:dyDescent="0.4">
      <c r="A994" s="7" t="s">
        <v>1501</v>
      </c>
      <c r="B994" s="4" t="s">
        <v>1500</v>
      </c>
      <c r="C994" s="4" t="s">
        <v>9</v>
      </c>
      <c r="D994" s="10" t="str">
        <f t="shared" si="0"/>
        <v>Student_Information_System</v>
      </c>
      <c r="E994" s="8" t="s">
        <v>1522</v>
      </c>
      <c r="F994" s="8"/>
    </row>
    <row r="995" spans="1:6" ht="14.6" x14ac:dyDescent="0.4">
      <c r="A995" s="7" t="s">
        <v>1509</v>
      </c>
      <c r="B995" s="4" t="s">
        <v>1510</v>
      </c>
      <c r="C995" s="4" t="s">
        <v>9</v>
      </c>
      <c r="D995" s="10" t="str">
        <f t="shared" si="0"/>
        <v>Student_Information_System</v>
      </c>
      <c r="E995" s="8" t="s">
        <v>1522</v>
      </c>
      <c r="F995" s="8"/>
    </row>
    <row r="996" spans="1:6" ht="14.6" x14ac:dyDescent="0.4">
      <c r="A996" s="7" t="s">
        <v>1511</v>
      </c>
      <c r="B996" s="4" t="s">
        <v>1498</v>
      </c>
      <c r="C996" s="4" t="s">
        <v>9</v>
      </c>
      <c r="D996" s="10" t="str">
        <f t="shared" si="0"/>
        <v>Student_Information_System</v>
      </c>
      <c r="E996" s="8" t="s">
        <v>1522</v>
      </c>
      <c r="F996" s="8"/>
    </row>
    <row r="997" spans="1:6" ht="14.6" x14ac:dyDescent="0.4">
      <c r="A997" s="7" t="s">
        <v>56</v>
      </c>
      <c r="B997" s="4" t="s">
        <v>57</v>
      </c>
      <c r="C997" s="4" t="s">
        <v>58</v>
      </c>
      <c r="D997" s="10" t="str">
        <f t="shared" si="0"/>
        <v>Telemedicine_Platform</v>
      </c>
      <c r="E997" s="8" t="s">
        <v>1522</v>
      </c>
      <c r="F997" s="8" t="s">
        <v>1549</v>
      </c>
    </row>
    <row r="998" spans="1:6" ht="14.6" x14ac:dyDescent="0.4">
      <c r="A998" s="7" t="s">
        <v>111</v>
      </c>
      <c r="B998" s="4" t="s">
        <v>112</v>
      </c>
      <c r="C998" s="4" t="s">
        <v>58</v>
      </c>
      <c r="D998" s="10" t="str">
        <f t="shared" si="0"/>
        <v>Telemedicine_Platform</v>
      </c>
      <c r="E998" s="8" t="s">
        <v>1522</v>
      </c>
      <c r="F998" s="8"/>
    </row>
    <row r="999" spans="1:6" ht="14.6" x14ac:dyDescent="0.4">
      <c r="A999" s="7" t="s">
        <v>159</v>
      </c>
      <c r="B999" s="4" t="s">
        <v>160</v>
      </c>
      <c r="C999" s="4" t="s">
        <v>58</v>
      </c>
      <c r="D999" s="10" t="str">
        <f t="shared" si="0"/>
        <v>Telemedicine_Platform</v>
      </c>
      <c r="E999" s="8" t="s">
        <v>1522</v>
      </c>
      <c r="F999" s="8"/>
    </row>
    <row r="1000" spans="1:6" ht="14.6" x14ac:dyDescent="0.4">
      <c r="A1000" s="7" t="s">
        <v>199</v>
      </c>
      <c r="B1000" s="4" t="s">
        <v>200</v>
      </c>
      <c r="C1000" s="4" t="s">
        <v>58</v>
      </c>
      <c r="D1000" s="10" t="str">
        <f t="shared" si="0"/>
        <v>Telemedicine_Platform</v>
      </c>
      <c r="E1000" s="8" t="s">
        <v>1522</v>
      </c>
      <c r="F1000" s="8"/>
    </row>
    <row r="1001" spans="1:6" ht="14.6" x14ac:dyDescent="0.4">
      <c r="A1001" s="7" t="s">
        <v>203</v>
      </c>
      <c r="B1001" s="4" t="s">
        <v>204</v>
      </c>
      <c r="C1001" s="4" t="s">
        <v>58</v>
      </c>
      <c r="D1001" s="10" t="str">
        <f t="shared" si="0"/>
        <v>Telemedicine_Platform</v>
      </c>
      <c r="E1001" s="8" t="s">
        <v>1522</v>
      </c>
      <c r="F1001" s="8"/>
    </row>
    <row r="1002" spans="1:6" ht="14.6" x14ac:dyDescent="0.4">
      <c r="A1002" s="7" t="s">
        <v>212</v>
      </c>
      <c r="B1002" s="4" t="s">
        <v>213</v>
      </c>
      <c r="C1002" s="4" t="s">
        <v>58</v>
      </c>
      <c r="D1002" s="10" t="str">
        <f t="shared" si="0"/>
        <v>Telemedicine_Platform</v>
      </c>
      <c r="E1002" s="8" t="s">
        <v>1522</v>
      </c>
      <c r="F1002" s="8"/>
    </row>
    <row r="1003" spans="1:6" ht="14.6" x14ac:dyDescent="0.4">
      <c r="A1003" s="7" t="s">
        <v>287</v>
      </c>
      <c r="B1003" s="4" t="s">
        <v>49</v>
      </c>
      <c r="C1003" s="4" t="s">
        <v>58</v>
      </c>
      <c r="D1003" s="10" t="str">
        <f t="shared" si="0"/>
        <v>Telemedicine_Platform</v>
      </c>
      <c r="E1003" s="8" t="s">
        <v>1522</v>
      </c>
      <c r="F1003" s="8"/>
    </row>
    <row r="1004" spans="1:6" ht="14.6" x14ac:dyDescent="0.4">
      <c r="A1004" s="7" t="s">
        <v>306</v>
      </c>
      <c r="B1004" s="4" t="s">
        <v>307</v>
      </c>
      <c r="C1004" s="4" t="s">
        <v>58</v>
      </c>
      <c r="D1004" s="10" t="str">
        <f t="shared" si="0"/>
        <v>Telemedicine_Platform</v>
      </c>
      <c r="E1004" s="8" t="s">
        <v>1522</v>
      </c>
      <c r="F1004" s="8"/>
    </row>
    <row r="1005" spans="1:6" ht="14.6" x14ac:dyDescent="0.4">
      <c r="A1005" s="7" t="s">
        <v>310</v>
      </c>
      <c r="B1005" s="4" t="s">
        <v>311</v>
      </c>
      <c r="C1005" s="4" t="s">
        <v>58</v>
      </c>
      <c r="D1005" s="10" t="str">
        <f t="shared" si="0"/>
        <v>Telemedicine_Platform</v>
      </c>
      <c r="E1005" s="8" t="s">
        <v>1522</v>
      </c>
      <c r="F1005" s="8"/>
    </row>
    <row r="1006" spans="1:6" ht="14.6" x14ac:dyDescent="0.4">
      <c r="A1006" s="7" t="s">
        <v>360</v>
      </c>
      <c r="B1006" s="4" t="s">
        <v>204</v>
      </c>
      <c r="C1006" s="4" t="s">
        <v>58</v>
      </c>
      <c r="D1006" s="10" t="str">
        <f t="shared" si="0"/>
        <v>Telemedicine_Platform</v>
      </c>
      <c r="E1006" s="8" t="s">
        <v>1522</v>
      </c>
      <c r="F1006" s="8"/>
    </row>
    <row r="1007" spans="1:6" ht="14.6" x14ac:dyDescent="0.4">
      <c r="A1007" s="7" t="s">
        <v>362</v>
      </c>
      <c r="B1007" s="4" t="s">
        <v>363</v>
      </c>
      <c r="C1007" s="4" t="s">
        <v>58</v>
      </c>
      <c r="D1007" s="10" t="str">
        <f t="shared" si="0"/>
        <v>Telemedicine_Platform</v>
      </c>
      <c r="E1007" s="8" t="s">
        <v>1522</v>
      </c>
      <c r="F1007" s="8"/>
    </row>
    <row r="1008" spans="1:6" ht="14.6" x14ac:dyDescent="0.4">
      <c r="A1008" s="7" t="s">
        <v>371</v>
      </c>
      <c r="B1008" s="4" t="s">
        <v>372</v>
      </c>
      <c r="C1008" s="4" t="s">
        <v>58</v>
      </c>
      <c r="D1008" s="10" t="str">
        <f t="shared" si="0"/>
        <v>Telemedicine_Platform</v>
      </c>
      <c r="E1008" s="8" t="s">
        <v>1522</v>
      </c>
      <c r="F1008" s="8"/>
    </row>
    <row r="1009" spans="1:6" ht="14.6" x14ac:dyDescent="0.4">
      <c r="A1009" s="7" t="s">
        <v>373</v>
      </c>
      <c r="B1009" s="4" t="s">
        <v>374</v>
      </c>
      <c r="C1009" s="4" t="s">
        <v>58</v>
      </c>
      <c r="D1009" s="10" t="str">
        <f t="shared" si="0"/>
        <v>Telemedicine_Platform</v>
      </c>
      <c r="E1009" s="8" t="s">
        <v>1522</v>
      </c>
      <c r="F1009" s="8"/>
    </row>
    <row r="1010" spans="1:6" ht="14.6" x14ac:dyDescent="0.4">
      <c r="A1010" s="7" t="s">
        <v>392</v>
      </c>
      <c r="B1010" s="4" t="s">
        <v>345</v>
      </c>
      <c r="C1010" s="4" t="s">
        <v>58</v>
      </c>
      <c r="D1010" s="10" t="str">
        <f t="shared" si="0"/>
        <v>Telemedicine_Platform</v>
      </c>
      <c r="E1010" s="8" t="s">
        <v>1522</v>
      </c>
      <c r="F1010" s="8"/>
    </row>
    <row r="1011" spans="1:6" ht="14.6" x14ac:dyDescent="0.4">
      <c r="A1011" s="7" t="s">
        <v>450</v>
      </c>
      <c r="B1011" s="4" t="s">
        <v>451</v>
      </c>
      <c r="C1011" s="4" t="s">
        <v>58</v>
      </c>
      <c r="D1011" s="10" t="str">
        <f t="shared" si="0"/>
        <v>Telemedicine_Platform</v>
      </c>
      <c r="E1011" s="8" t="s">
        <v>1522</v>
      </c>
      <c r="F1011" s="8"/>
    </row>
    <row r="1012" spans="1:6" ht="14.6" x14ac:dyDescent="0.4">
      <c r="A1012" s="7" t="s">
        <v>453</v>
      </c>
      <c r="B1012" s="4" t="s">
        <v>38</v>
      </c>
      <c r="C1012" s="4" t="s">
        <v>58</v>
      </c>
      <c r="D1012" s="10" t="str">
        <f t="shared" si="0"/>
        <v>Telemedicine_Platform</v>
      </c>
      <c r="E1012" s="8" t="s">
        <v>1522</v>
      </c>
      <c r="F1012" s="8"/>
    </row>
    <row r="1013" spans="1:6" ht="14.6" x14ac:dyDescent="0.4">
      <c r="A1013" s="7" t="s">
        <v>471</v>
      </c>
      <c r="B1013" s="4" t="s">
        <v>195</v>
      </c>
      <c r="C1013" s="4" t="s">
        <v>58</v>
      </c>
      <c r="D1013" s="10" t="str">
        <f t="shared" si="0"/>
        <v>Telemedicine_Platform</v>
      </c>
      <c r="E1013" s="8" t="s">
        <v>1522</v>
      </c>
      <c r="F1013" s="8"/>
    </row>
    <row r="1014" spans="1:6" ht="14.6" x14ac:dyDescent="0.4">
      <c r="A1014" s="7" t="s">
        <v>478</v>
      </c>
      <c r="B1014" s="4" t="s">
        <v>479</v>
      </c>
      <c r="C1014" s="4" t="s">
        <v>58</v>
      </c>
      <c r="D1014" s="10" t="str">
        <f t="shared" si="0"/>
        <v>Telemedicine_Platform</v>
      </c>
      <c r="E1014" s="8" t="s">
        <v>1522</v>
      </c>
      <c r="F1014" s="8"/>
    </row>
    <row r="1015" spans="1:6" ht="14.6" x14ac:dyDescent="0.4">
      <c r="A1015" s="7" t="s">
        <v>533</v>
      </c>
      <c r="B1015" s="4" t="s">
        <v>367</v>
      </c>
      <c r="C1015" s="4" t="s">
        <v>58</v>
      </c>
      <c r="D1015" s="10" t="str">
        <f t="shared" si="0"/>
        <v>Telemedicine_Platform</v>
      </c>
      <c r="E1015" s="8" t="s">
        <v>1522</v>
      </c>
      <c r="F1015" s="8"/>
    </row>
    <row r="1016" spans="1:6" ht="14.6" x14ac:dyDescent="0.4">
      <c r="A1016" s="7" t="s">
        <v>568</v>
      </c>
      <c r="B1016" s="4" t="s">
        <v>569</v>
      </c>
      <c r="C1016" s="4" t="s">
        <v>58</v>
      </c>
      <c r="D1016" s="10" t="str">
        <f t="shared" si="0"/>
        <v>Telemedicine_Platform</v>
      </c>
      <c r="E1016" s="8" t="s">
        <v>1522</v>
      </c>
      <c r="F1016" s="8"/>
    </row>
    <row r="1017" spans="1:6" ht="14.6" x14ac:dyDescent="0.4">
      <c r="A1017" s="7" t="s">
        <v>589</v>
      </c>
      <c r="B1017" s="4" t="s">
        <v>31</v>
      </c>
      <c r="C1017" s="4" t="s">
        <v>58</v>
      </c>
      <c r="D1017" s="10" t="str">
        <f t="shared" si="0"/>
        <v>Telemedicine_Platform</v>
      </c>
      <c r="E1017" s="8" t="s">
        <v>1522</v>
      </c>
      <c r="F1017" s="8"/>
    </row>
    <row r="1018" spans="1:6" ht="14.6" x14ac:dyDescent="0.4">
      <c r="A1018" s="7" t="s">
        <v>590</v>
      </c>
      <c r="B1018" s="4" t="s">
        <v>195</v>
      </c>
      <c r="C1018" s="4" t="s">
        <v>58</v>
      </c>
      <c r="D1018" s="10" t="str">
        <f t="shared" si="0"/>
        <v>Telemedicine_Platform</v>
      </c>
      <c r="E1018" s="8" t="s">
        <v>1522</v>
      </c>
      <c r="F1018" s="8"/>
    </row>
    <row r="1019" spans="1:6" ht="14.6" x14ac:dyDescent="0.4">
      <c r="A1019" s="7" t="s">
        <v>625</v>
      </c>
      <c r="B1019" s="4" t="s">
        <v>139</v>
      </c>
      <c r="C1019" s="4" t="s">
        <v>58</v>
      </c>
      <c r="D1019" s="10" t="str">
        <f t="shared" si="0"/>
        <v>Telemedicine_Platform</v>
      </c>
      <c r="E1019" s="8" t="s">
        <v>1522</v>
      </c>
      <c r="F1019" s="8"/>
    </row>
    <row r="1020" spans="1:6" ht="14.6" x14ac:dyDescent="0.4">
      <c r="A1020" s="7" t="s">
        <v>668</v>
      </c>
      <c r="B1020" s="4" t="s">
        <v>42</v>
      </c>
      <c r="C1020" s="4" t="s">
        <v>58</v>
      </c>
      <c r="D1020" s="10" t="str">
        <f t="shared" si="0"/>
        <v>Telemedicine_Platform</v>
      </c>
      <c r="E1020" s="8" t="s">
        <v>1522</v>
      </c>
      <c r="F1020" s="8"/>
    </row>
    <row r="1021" spans="1:6" ht="14.6" x14ac:dyDescent="0.4">
      <c r="A1021" s="7" t="s">
        <v>672</v>
      </c>
      <c r="B1021" s="4" t="s">
        <v>149</v>
      </c>
      <c r="C1021" s="4" t="s">
        <v>58</v>
      </c>
      <c r="D1021" s="10" t="str">
        <f t="shared" si="0"/>
        <v>Telemedicine_Platform</v>
      </c>
      <c r="E1021" s="8" t="s">
        <v>1522</v>
      </c>
      <c r="F1021" s="8"/>
    </row>
    <row r="1022" spans="1:6" ht="14.6" x14ac:dyDescent="0.4">
      <c r="A1022" s="7" t="s">
        <v>680</v>
      </c>
      <c r="B1022" s="4" t="s">
        <v>586</v>
      </c>
      <c r="C1022" s="4" t="s">
        <v>58</v>
      </c>
      <c r="D1022" s="10" t="str">
        <f t="shared" si="0"/>
        <v>Telemedicine_Platform</v>
      </c>
      <c r="E1022" s="8" t="s">
        <v>1522</v>
      </c>
      <c r="F1022" s="8"/>
    </row>
    <row r="1023" spans="1:6" ht="14.6" x14ac:dyDescent="0.4">
      <c r="A1023" s="7" t="s">
        <v>681</v>
      </c>
      <c r="B1023" s="4" t="s">
        <v>682</v>
      </c>
      <c r="C1023" s="4" t="s">
        <v>58</v>
      </c>
      <c r="D1023" s="10" t="str">
        <f t="shared" si="0"/>
        <v>Telemedicine_Platform</v>
      </c>
      <c r="E1023" s="8" t="s">
        <v>1522</v>
      </c>
      <c r="F1023" s="8"/>
    </row>
    <row r="1024" spans="1:6" ht="14.6" x14ac:dyDescent="0.4">
      <c r="A1024" s="7" t="s">
        <v>702</v>
      </c>
      <c r="B1024" s="4" t="s">
        <v>467</v>
      </c>
      <c r="C1024" s="4" t="s">
        <v>58</v>
      </c>
      <c r="D1024" s="10" t="str">
        <f t="shared" si="0"/>
        <v>Telemedicine_Platform</v>
      </c>
      <c r="E1024" s="8" t="s">
        <v>1522</v>
      </c>
      <c r="F1024" s="8"/>
    </row>
    <row r="1025" spans="1:6" ht="14.6" x14ac:dyDescent="0.4">
      <c r="A1025" s="7" t="s">
        <v>715</v>
      </c>
      <c r="B1025" s="4" t="s">
        <v>522</v>
      </c>
      <c r="C1025" s="4" t="s">
        <v>58</v>
      </c>
      <c r="D1025" s="10" t="str">
        <f t="shared" si="0"/>
        <v>Telemedicine_Platform</v>
      </c>
      <c r="E1025" s="8" t="s">
        <v>1522</v>
      </c>
      <c r="F1025" s="8"/>
    </row>
    <row r="1026" spans="1:6" ht="14.6" x14ac:dyDescent="0.4">
      <c r="A1026" s="7" t="s">
        <v>746</v>
      </c>
      <c r="B1026" s="4" t="s">
        <v>747</v>
      </c>
      <c r="C1026" s="4" t="s">
        <v>58</v>
      </c>
      <c r="D1026" s="10" t="str">
        <f t="shared" si="0"/>
        <v>Telemedicine_Platform</v>
      </c>
      <c r="E1026" s="8" t="s">
        <v>1522</v>
      </c>
      <c r="F1026" s="8"/>
    </row>
    <row r="1027" spans="1:6" ht="14.6" x14ac:dyDescent="0.4">
      <c r="A1027" s="7" t="s">
        <v>750</v>
      </c>
      <c r="B1027" s="4" t="s">
        <v>751</v>
      </c>
      <c r="C1027" s="4" t="s">
        <v>58</v>
      </c>
      <c r="D1027" s="10" t="str">
        <f t="shared" si="0"/>
        <v>Telemedicine_Platform</v>
      </c>
      <c r="E1027" s="8" t="s">
        <v>1522</v>
      </c>
      <c r="F1027" s="8"/>
    </row>
    <row r="1028" spans="1:6" ht="14.6" x14ac:dyDescent="0.4">
      <c r="A1028" s="7" t="s">
        <v>766</v>
      </c>
      <c r="B1028" s="4" t="s">
        <v>17</v>
      </c>
      <c r="C1028" s="4" t="s">
        <v>58</v>
      </c>
      <c r="D1028" s="10" t="str">
        <f t="shared" si="0"/>
        <v>Telemedicine_Platform</v>
      </c>
      <c r="E1028" s="8" t="s">
        <v>1522</v>
      </c>
      <c r="F1028" s="8"/>
    </row>
    <row r="1029" spans="1:6" ht="14.6" x14ac:dyDescent="0.4">
      <c r="A1029" s="7" t="s">
        <v>793</v>
      </c>
      <c r="B1029" s="4" t="s">
        <v>537</v>
      </c>
      <c r="C1029" s="4" t="s">
        <v>58</v>
      </c>
      <c r="D1029" s="10" t="str">
        <f t="shared" si="0"/>
        <v>Telemedicine_Platform</v>
      </c>
      <c r="E1029" s="8" t="s">
        <v>1522</v>
      </c>
      <c r="F1029" s="8"/>
    </row>
    <row r="1030" spans="1:6" ht="14.6" x14ac:dyDescent="0.4">
      <c r="A1030" s="7" t="s">
        <v>845</v>
      </c>
      <c r="B1030" s="4" t="s">
        <v>246</v>
      </c>
      <c r="C1030" s="4" t="s">
        <v>58</v>
      </c>
      <c r="D1030" s="10" t="str">
        <f t="shared" si="0"/>
        <v>Telemedicine_Platform</v>
      </c>
      <c r="E1030" s="8" t="s">
        <v>1522</v>
      </c>
      <c r="F1030" s="8"/>
    </row>
    <row r="1031" spans="1:6" ht="14.6" x14ac:dyDescent="0.4">
      <c r="A1031" s="7" t="s">
        <v>866</v>
      </c>
      <c r="B1031" s="4" t="s">
        <v>511</v>
      </c>
      <c r="C1031" s="4" t="s">
        <v>58</v>
      </c>
      <c r="D1031" s="10" t="str">
        <f t="shared" si="0"/>
        <v>Telemedicine_Platform</v>
      </c>
      <c r="E1031" s="8" t="s">
        <v>1522</v>
      </c>
      <c r="F1031" s="8"/>
    </row>
    <row r="1032" spans="1:6" ht="14.6" x14ac:dyDescent="0.4">
      <c r="A1032" s="7" t="s">
        <v>869</v>
      </c>
      <c r="B1032" s="4" t="s">
        <v>690</v>
      </c>
      <c r="C1032" s="4" t="s">
        <v>58</v>
      </c>
      <c r="D1032" s="10" t="str">
        <f t="shared" si="0"/>
        <v>Telemedicine_Platform</v>
      </c>
      <c r="E1032" s="8" t="s">
        <v>1522</v>
      </c>
      <c r="F1032" s="8"/>
    </row>
    <row r="1033" spans="1:6" ht="14.6" x14ac:dyDescent="0.4">
      <c r="A1033" s="7" t="s">
        <v>908</v>
      </c>
      <c r="B1033" s="4" t="s">
        <v>909</v>
      </c>
      <c r="C1033" s="4" t="s">
        <v>58</v>
      </c>
      <c r="D1033" s="10" t="str">
        <f t="shared" si="0"/>
        <v>Telemedicine_Platform</v>
      </c>
      <c r="E1033" s="8" t="s">
        <v>1522</v>
      </c>
      <c r="F1033" s="8"/>
    </row>
    <row r="1034" spans="1:6" ht="14.6" x14ac:dyDescent="0.4">
      <c r="A1034" s="7" t="s">
        <v>917</v>
      </c>
      <c r="B1034" s="4" t="s">
        <v>645</v>
      </c>
      <c r="C1034" s="4" t="s">
        <v>58</v>
      </c>
      <c r="D1034" s="10" t="str">
        <f t="shared" si="0"/>
        <v>Telemedicine_Platform</v>
      </c>
      <c r="E1034" s="8" t="s">
        <v>1522</v>
      </c>
      <c r="F1034" s="8"/>
    </row>
    <row r="1035" spans="1:6" ht="14.6" x14ac:dyDescent="0.4">
      <c r="A1035" s="7" t="s">
        <v>923</v>
      </c>
      <c r="B1035" s="4" t="s">
        <v>795</v>
      </c>
      <c r="C1035" s="4" t="s">
        <v>58</v>
      </c>
      <c r="D1035" s="10" t="str">
        <f t="shared" si="0"/>
        <v>Telemedicine_Platform</v>
      </c>
      <c r="E1035" s="8" t="s">
        <v>1522</v>
      </c>
      <c r="F1035" s="8"/>
    </row>
    <row r="1036" spans="1:6" ht="14.6" x14ac:dyDescent="0.4">
      <c r="A1036" s="7" t="s">
        <v>935</v>
      </c>
      <c r="B1036" s="4" t="s">
        <v>70</v>
      </c>
      <c r="C1036" s="4" t="s">
        <v>58</v>
      </c>
      <c r="D1036" s="10" t="str">
        <f t="shared" si="0"/>
        <v>Telemedicine_Platform</v>
      </c>
      <c r="E1036" s="8" t="s">
        <v>1522</v>
      </c>
      <c r="F1036" s="8"/>
    </row>
    <row r="1037" spans="1:6" ht="14.6" x14ac:dyDescent="0.4">
      <c r="A1037" s="7" t="s">
        <v>940</v>
      </c>
      <c r="B1037" s="4" t="s">
        <v>444</v>
      </c>
      <c r="C1037" s="4" t="s">
        <v>58</v>
      </c>
      <c r="D1037" s="10" t="str">
        <f t="shared" si="0"/>
        <v>Telemedicine_Platform</v>
      </c>
      <c r="E1037" s="8" t="s">
        <v>1522</v>
      </c>
      <c r="F1037" s="8"/>
    </row>
    <row r="1038" spans="1:6" ht="14.6" x14ac:dyDescent="0.4">
      <c r="A1038" s="7" t="s">
        <v>956</v>
      </c>
      <c r="B1038" s="4" t="s">
        <v>14</v>
      </c>
      <c r="C1038" s="4" t="s">
        <v>58</v>
      </c>
      <c r="D1038" s="10" t="str">
        <f t="shared" si="0"/>
        <v>Telemedicine_Platform</v>
      </c>
      <c r="E1038" s="8" t="s">
        <v>1522</v>
      </c>
      <c r="F1038" s="8"/>
    </row>
    <row r="1039" spans="1:6" ht="14.6" x14ac:dyDescent="0.4">
      <c r="A1039" s="7" t="s">
        <v>977</v>
      </c>
      <c r="B1039" s="4" t="s">
        <v>978</v>
      </c>
      <c r="C1039" s="4" t="s">
        <v>58</v>
      </c>
      <c r="D1039" s="10" t="str">
        <f t="shared" si="0"/>
        <v>Telemedicine_Platform</v>
      </c>
      <c r="E1039" s="8" t="s">
        <v>1522</v>
      </c>
      <c r="F1039" s="8"/>
    </row>
    <row r="1040" spans="1:6" ht="14.6" x14ac:dyDescent="0.4">
      <c r="A1040" s="7" t="s">
        <v>983</v>
      </c>
      <c r="B1040" s="4" t="s">
        <v>211</v>
      </c>
      <c r="C1040" s="4" t="s">
        <v>58</v>
      </c>
      <c r="D1040" s="10" t="str">
        <f t="shared" si="0"/>
        <v>Telemedicine_Platform</v>
      </c>
      <c r="E1040" s="8" t="s">
        <v>1522</v>
      </c>
      <c r="F1040" s="8"/>
    </row>
    <row r="1041" spans="1:6" ht="14.6" x14ac:dyDescent="0.4">
      <c r="A1041" s="7" t="s">
        <v>984</v>
      </c>
      <c r="B1041" s="4" t="s">
        <v>542</v>
      </c>
      <c r="C1041" s="4" t="s">
        <v>58</v>
      </c>
      <c r="D1041" s="10" t="str">
        <f t="shared" si="0"/>
        <v>Telemedicine_Platform</v>
      </c>
      <c r="E1041" s="8" t="s">
        <v>1522</v>
      </c>
      <c r="F1041" s="8"/>
    </row>
    <row r="1042" spans="1:6" ht="14.6" x14ac:dyDescent="0.4">
      <c r="A1042" s="7" t="s">
        <v>999</v>
      </c>
      <c r="B1042" s="4" t="s">
        <v>409</v>
      </c>
      <c r="C1042" s="4" t="s">
        <v>58</v>
      </c>
      <c r="D1042" s="10" t="str">
        <f t="shared" si="0"/>
        <v>Telemedicine_Platform</v>
      </c>
      <c r="E1042" s="8" t="s">
        <v>1522</v>
      </c>
      <c r="F1042" s="8"/>
    </row>
    <row r="1043" spans="1:6" ht="14.6" x14ac:dyDescent="0.4">
      <c r="A1043" s="7" t="s">
        <v>1000</v>
      </c>
      <c r="B1043" s="4" t="s">
        <v>456</v>
      </c>
      <c r="C1043" s="4" t="s">
        <v>58</v>
      </c>
      <c r="D1043" s="10" t="str">
        <f t="shared" si="0"/>
        <v>Telemedicine_Platform</v>
      </c>
      <c r="E1043" s="8" t="s">
        <v>1522</v>
      </c>
      <c r="F1043" s="8"/>
    </row>
    <row r="1044" spans="1:6" ht="14.6" x14ac:dyDescent="0.4">
      <c r="A1044" s="7" t="s">
        <v>1004</v>
      </c>
      <c r="B1044" s="4" t="s">
        <v>60</v>
      </c>
      <c r="C1044" s="4" t="s">
        <v>58</v>
      </c>
      <c r="D1044" s="10" t="str">
        <f t="shared" si="0"/>
        <v>Telemedicine_Platform</v>
      </c>
      <c r="E1044" s="8" t="s">
        <v>1522</v>
      </c>
      <c r="F1044" s="8"/>
    </row>
    <row r="1045" spans="1:6" ht="14.6" x14ac:dyDescent="0.4">
      <c r="A1045" s="7" t="s">
        <v>1021</v>
      </c>
      <c r="B1045" s="4" t="s">
        <v>57</v>
      </c>
      <c r="C1045" s="4" t="s">
        <v>58</v>
      </c>
      <c r="D1045" s="10" t="str">
        <f t="shared" si="0"/>
        <v>Telemedicine_Platform</v>
      </c>
      <c r="E1045" s="8" t="s">
        <v>1522</v>
      </c>
      <c r="F1045" s="8"/>
    </row>
    <row r="1046" spans="1:6" ht="14.6" x14ac:dyDescent="0.4">
      <c r="A1046" s="7" t="s">
        <v>1025</v>
      </c>
      <c r="B1046" s="4" t="s">
        <v>324</v>
      </c>
      <c r="C1046" s="4" t="s">
        <v>58</v>
      </c>
      <c r="D1046" s="10" t="str">
        <f t="shared" si="0"/>
        <v>Telemedicine_Platform</v>
      </c>
      <c r="E1046" s="8" t="s">
        <v>1522</v>
      </c>
      <c r="F1046" s="8"/>
    </row>
    <row r="1047" spans="1:6" ht="14.6" x14ac:dyDescent="0.4">
      <c r="A1047" s="7" t="s">
        <v>1094</v>
      </c>
      <c r="B1047" s="4" t="s">
        <v>1070</v>
      </c>
      <c r="C1047" s="4" t="s">
        <v>58</v>
      </c>
      <c r="D1047" s="10" t="str">
        <f t="shared" si="0"/>
        <v>Telemedicine_Platform</v>
      </c>
      <c r="E1047" s="8" t="s">
        <v>1522</v>
      </c>
      <c r="F1047" s="8"/>
    </row>
    <row r="1048" spans="1:6" ht="14.6" x14ac:dyDescent="0.4">
      <c r="A1048" s="7" t="s">
        <v>1095</v>
      </c>
      <c r="B1048" s="4" t="s">
        <v>1070</v>
      </c>
      <c r="C1048" s="4" t="s">
        <v>58</v>
      </c>
      <c r="D1048" s="10" t="str">
        <f t="shared" si="0"/>
        <v>Telemedicine_Platform</v>
      </c>
      <c r="E1048" s="8" t="s">
        <v>1522</v>
      </c>
      <c r="F1048" s="8"/>
    </row>
    <row r="1049" spans="1:6" ht="14.6" x14ac:dyDescent="0.4">
      <c r="A1049" s="7" t="s">
        <v>1103</v>
      </c>
      <c r="B1049" s="4" t="s">
        <v>1080</v>
      </c>
      <c r="C1049" s="4" t="s">
        <v>58</v>
      </c>
      <c r="D1049" s="10" t="str">
        <f t="shared" si="0"/>
        <v>Telemedicine_Platform</v>
      </c>
      <c r="E1049" s="8" t="s">
        <v>1522</v>
      </c>
      <c r="F1049" s="8"/>
    </row>
    <row r="1050" spans="1:6" ht="14.6" x14ac:dyDescent="0.4">
      <c r="A1050" s="7" t="s">
        <v>1111</v>
      </c>
      <c r="B1050" s="4" t="s">
        <v>1029</v>
      </c>
      <c r="C1050" s="4" t="s">
        <v>58</v>
      </c>
      <c r="D1050" s="10" t="str">
        <f t="shared" si="0"/>
        <v>Telemedicine_Platform</v>
      </c>
      <c r="E1050" s="8" t="s">
        <v>1522</v>
      </c>
      <c r="F1050" s="8"/>
    </row>
    <row r="1051" spans="1:6" ht="14.6" x14ac:dyDescent="0.4">
      <c r="A1051" s="7" t="s">
        <v>1205</v>
      </c>
      <c r="B1051" s="4" t="s">
        <v>1154</v>
      </c>
      <c r="C1051" s="4" t="s">
        <v>58</v>
      </c>
      <c r="D1051" s="10" t="str">
        <f t="shared" si="0"/>
        <v>Telemedicine_Platform</v>
      </c>
      <c r="E1051" s="8" t="s">
        <v>1522</v>
      </c>
      <c r="F1051" s="8"/>
    </row>
    <row r="1052" spans="1:6" ht="14.6" x14ac:dyDescent="0.4">
      <c r="A1052" s="7" t="s">
        <v>1213</v>
      </c>
      <c r="B1052" s="4" t="s">
        <v>1156</v>
      </c>
      <c r="C1052" s="4" t="s">
        <v>58</v>
      </c>
      <c r="D1052" s="10" t="str">
        <f t="shared" si="0"/>
        <v>Telemedicine_Platform</v>
      </c>
      <c r="E1052" s="8" t="s">
        <v>1522</v>
      </c>
      <c r="F1052" s="8"/>
    </row>
    <row r="1053" spans="1:6" ht="14.6" x14ac:dyDescent="0.4">
      <c r="A1053" s="7" t="s">
        <v>1224</v>
      </c>
      <c r="B1053" s="4" t="s">
        <v>1225</v>
      </c>
      <c r="C1053" s="4" t="s">
        <v>58</v>
      </c>
      <c r="D1053" s="10" t="str">
        <f t="shared" si="0"/>
        <v>Telemedicine_Platform</v>
      </c>
      <c r="E1053" s="8" t="s">
        <v>1522</v>
      </c>
      <c r="F1053" s="8"/>
    </row>
    <row r="1054" spans="1:6" ht="14.6" x14ac:dyDescent="0.4">
      <c r="A1054" s="7" t="s">
        <v>1239</v>
      </c>
      <c r="B1054" s="4" t="s">
        <v>1176</v>
      </c>
      <c r="C1054" s="4" t="s">
        <v>58</v>
      </c>
      <c r="D1054" s="10" t="str">
        <f t="shared" si="0"/>
        <v>Telemedicine_Platform</v>
      </c>
      <c r="E1054" s="8" t="s">
        <v>1522</v>
      </c>
      <c r="F1054" s="8"/>
    </row>
    <row r="1055" spans="1:6" ht="14.6" x14ac:dyDescent="0.4">
      <c r="A1055" s="7" t="s">
        <v>1247</v>
      </c>
      <c r="B1055" s="4" t="s">
        <v>1145</v>
      </c>
      <c r="C1055" s="4" t="s">
        <v>58</v>
      </c>
      <c r="D1055" s="10" t="str">
        <f t="shared" si="0"/>
        <v>Telemedicine_Platform</v>
      </c>
      <c r="E1055" s="8" t="s">
        <v>1522</v>
      </c>
      <c r="F1055" s="8"/>
    </row>
    <row r="1056" spans="1:6" ht="14.6" x14ac:dyDescent="0.4">
      <c r="A1056" s="7" t="s">
        <v>1252</v>
      </c>
      <c r="B1056" s="4" t="s">
        <v>1183</v>
      </c>
      <c r="C1056" s="4" t="s">
        <v>58</v>
      </c>
      <c r="D1056" s="10" t="str">
        <f t="shared" si="0"/>
        <v>Telemedicine_Platform</v>
      </c>
      <c r="E1056" s="8" t="s">
        <v>1522</v>
      </c>
      <c r="F1056" s="8"/>
    </row>
    <row r="1057" spans="1:6" ht="14.6" x14ac:dyDescent="0.4">
      <c r="A1057" s="7" t="s">
        <v>1259</v>
      </c>
      <c r="B1057" s="4" t="s">
        <v>1256</v>
      </c>
      <c r="C1057" s="4" t="s">
        <v>58</v>
      </c>
      <c r="D1057" s="10" t="str">
        <f t="shared" si="0"/>
        <v>Telemedicine_Platform</v>
      </c>
      <c r="E1057" s="8" t="s">
        <v>1522</v>
      </c>
      <c r="F1057" s="8"/>
    </row>
    <row r="1058" spans="1:6" ht="14.6" x14ac:dyDescent="0.4">
      <c r="A1058" s="7" t="s">
        <v>1309</v>
      </c>
      <c r="B1058" s="4" t="s">
        <v>1258</v>
      </c>
      <c r="C1058" s="4" t="s">
        <v>58</v>
      </c>
      <c r="D1058" s="10" t="str">
        <f t="shared" si="0"/>
        <v>Telemedicine_Platform</v>
      </c>
      <c r="E1058" s="8" t="s">
        <v>1522</v>
      </c>
      <c r="F1058" s="8"/>
    </row>
    <row r="1059" spans="1:6" ht="14.6" x14ac:dyDescent="0.4">
      <c r="A1059" s="7" t="s">
        <v>1314</v>
      </c>
      <c r="B1059" s="4" t="s">
        <v>1258</v>
      </c>
      <c r="C1059" s="4" t="s">
        <v>58</v>
      </c>
      <c r="D1059" s="10" t="str">
        <f t="shared" si="0"/>
        <v>Telemedicine_Platform</v>
      </c>
      <c r="E1059" s="8" t="s">
        <v>1522</v>
      </c>
      <c r="F1059" s="8"/>
    </row>
    <row r="1060" spans="1:6" ht="14.6" x14ac:dyDescent="0.4">
      <c r="A1060" s="7" t="s">
        <v>1316</v>
      </c>
      <c r="B1060" s="4" t="s">
        <v>1262</v>
      </c>
      <c r="C1060" s="4" t="s">
        <v>58</v>
      </c>
      <c r="D1060" s="10" t="str">
        <f t="shared" si="0"/>
        <v>Telemedicine_Platform</v>
      </c>
      <c r="E1060" s="8" t="s">
        <v>1522</v>
      </c>
      <c r="F1060" s="8"/>
    </row>
    <row r="1061" spans="1:6" ht="14.6" x14ac:dyDescent="0.4">
      <c r="A1061" s="7" t="s">
        <v>1319</v>
      </c>
      <c r="B1061" s="4" t="s">
        <v>1258</v>
      </c>
      <c r="C1061" s="4" t="s">
        <v>58</v>
      </c>
      <c r="D1061" s="10" t="str">
        <f t="shared" si="0"/>
        <v>Telemedicine_Platform</v>
      </c>
      <c r="E1061" s="8" t="s">
        <v>1522</v>
      </c>
      <c r="F1061" s="8"/>
    </row>
    <row r="1062" spans="1:6" ht="14.6" x14ac:dyDescent="0.4">
      <c r="A1062" s="7" t="s">
        <v>1331</v>
      </c>
      <c r="B1062" s="4" t="s">
        <v>1258</v>
      </c>
      <c r="C1062" s="4" t="s">
        <v>58</v>
      </c>
      <c r="D1062" s="10" t="str">
        <f t="shared" si="0"/>
        <v>Telemedicine_Platform</v>
      </c>
      <c r="E1062" s="8" t="s">
        <v>1522</v>
      </c>
      <c r="F1062" s="8"/>
    </row>
    <row r="1063" spans="1:6" ht="14.6" x14ac:dyDescent="0.4">
      <c r="A1063" s="7" t="s">
        <v>1391</v>
      </c>
      <c r="B1063" s="4" t="s">
        <v>1376</v>
      </c>
      <c r="C1063" s="4" t="s">
        <v>58</v>
      </c>
      <c r="D1063" s="10" t="str">
        <f t="shared" si="0"/>
        <v>Telemedicine_Platform</v>
      </c>
      <c r="E1063" s="8" t="s">
        <v>1522</v>
      </c>
      <c r="F1063" s="8"/>
    </row>
    <row r="1064" spans="1:6" ht="14.6" x14ac:dyDescent="0.4">
      <c r="A1064" s="7" t="s">
        <v>1392</v>
      </c>
      <c r="B1064" s="4" t="s">
        <v>1376</v>
      </c>
      <c r="C1064" s="4" t="s">
        <v>58</v>
      </c>
      <c r="D1064" s="10" t="str">
        <f t="shared" si="0"/>
        <v>Telemedicine_Platform</v>
      </c>
      <c r="E1064" s="8" t="s">
        <v>1522</v>
      </c>
      <c r="F1064" s="8"/>
    </row>
    <row r="1065" spans="1:6" ht="14.6" x14ac:dyDescent="0.4">
      <c r="A1065" s="7" t="s">
        <v>1396</v>
      </c>
      <c r="B1065" s="4" t="s">
        <v>1384</v>
      </c>
      <c r="C1065" s="4" t="s">
        <v>58</v>
      </c>
      <c r="D1065" s="10" t="str">
        <f t="shared" si="0"/>
        <v>Telemedicine_Platform</v>
      </c>
      <c r="E1065" s="8" t="s">
        <v>1522</v>
      </c>
      <c r="F1065" s="8"/>
    </row>
    <row r="1066" spans="1:6" ht="14.6" x14ac:dyDescent="0.4">
      <c r="A1066" s="7" t="s">
        <v>1401</v>
      </c>
      <c r="B1066" s="4" t="s">
        <v>1355</v>
      </c>
      <c r="C1066" s="4" t="s">
        <v>58</v>
      </c>
      <c r="D1066" s="10" t="str">
        <f t="shared" si="0"/>
        <v>Telemedicine_Platform</v>
      </c>
      <c r="E1066" s="8" t="s">
        <v>1522</v>
      </c>
      <c r="F1066" s="8"/>
    </row>
    <row r="1067" spans="1:6" ht="14.6" x14ac:dyDescent="0.4">
      <c r="A1067" s="7" t="s">
        <v>1404</v>
      </c>
      <c r="B1067" s="4" t="s">
        <v>1359</v>
      </c>
      <c r="C1067" s="4" t="s">
        <v>58</v>
      </c>
      <c r="D1067" s="10" t="str">
        <f t="shared" si="0"/>
        <v>Telemedicine_Platform</v>
      </c>
      <c r="E1067" s="8" t="s">
        <v>1522</v>
      </c>
      <c r="F1067" s="8"/>
    </row>
    <row r="1068" spans="1:6" ht="14.6" x14ac:dyDescent="0.4">
      <c r="A1068" s="7" t="s">
        <v>1471</v>
      </c>
      <c r="B1068" s="4" t="s">
        <v>1427</v>
      </c>
      <c r="C1068" s="4" t="s">
        <v>58</v>
      </c>
      <c r="D1068" s="10" t="str">
        <f t="shared" si="0"/>
        <v>Telemedicine_Platform</v>
      </c>
      <c r="E1068" s="8" t="s">
        <v>1522</v>
      </c>
      <c r="F1068" s="8"/>
    </row>
    <row r="1069" spans="1:6" ht="14.6" x14ac:dyDescent="0.4">
      <c r="A1069" s="7" t="s">
        <v>1488</v>
      </c>
      <c r="B1069" s="4" t="s">
        <v>1475</v>
      </c>
      <c r="C1069" s="4" t="s">
        <v>58</v>
      </c>
      <c r="D1069" s="10" t="str">
        <f t="shared" si="0"/>
        <v>Telemedicine_Platform</v>
      </c>
      <c r="E1069" s="8" t="s">
        <v>1522</v>
      </c>
      <c r="F1069" s="8"/>
    </row>
    <row r="1070" spans="1:6" ht="14.6" x14ac:dyDescent="0.4">
      <c r="A1070" s="7" t="s">
        <v>1514</v>
      </c>
      <c r="B1070" s="4" t="s">
        <v>1498</v>
      </c>
      <c r="C1070" s="4" t="s">
        <v>58</v>
      </c>
      <c r="D1070" s="10" t="str">
        <f t="shared" si="0"/>
        <v>Telemedicine_Platform</v>
      </c>
      <c r="E1070" s="8" t="s">
        <v>1522</v>
      </c>
      <c r="F1070" s="8"/>
    </row>
    <row r="1071" spans="1:6" ht="14.6" x14ac:dyDescent="0.4">
      <c r="A1071" s="7" t="s">
        <v>10</v>
      </c>
      <c r="B1071" s="4" t="s">
        <v>11</v>
      </c>
      <c r="C1071" s="4" t="s">
        <v>12</v>
      </c>
      <c r="D1071" s="10" t="str">
        <f t="shared" si="0"/>
        <v>Traffic_Control_System</v>
      </c>
      <c r="E1071" s="8" t="s">
        <v>1522</v>
      </c>
      <c r="F1071" s="8"/>
    </row>
    <row r="1072" spans="1:6" ht="14.6" x14ac:dyDescent="0.4">
      <c r="A1072" s="7" t="s">
        <v>30</v>
      </c>
      <c r="B1072" s="4" t="s">
        <v>31</v>
      </c>
      <c r="C1072" s="4" t="s">
        <v>12</v>
      </c>
      <c r="D1072" s="10" t="str">
        <f t="shared" si="0"/>
        <v>Traffic_Control_System</v>
      </c>
      <c r="E1072" s="8" t="s">
        <v>1522</v>
      </c>
      <c r="F1072" s="8"/>
    </row>
    <row r="1073" spans="1:6" ht="14.6" x14ac:dyDescent="0.4">
      <c r="A1073" s="7" t="s">
        <v>37</v>
      </c>
      <c r="B1073" s="4" t="s">
        <v>38</v>
      </c>
      <c r="C1073" s="4" t="s">
        <v>12</v>
      </c>
      <c r="D1073" s="10" t="str">
        <f t="shared" si="0"/>
        <v>Traffic_Control_System</v>
      </c>
      <c r="E1073" s="8" t="s">
        <v>1522</v>
      </c>
      <c r="F1073" s="8"/>
    </row>
    <row r="1074" spans="1:6" ht="14.6" x14ac:dyDescent="0.4">
      <c r="A1074" s="7" t="s">
        <v>59</v>
      </c>
      <c r="B1074" s="4" t="s">
        <v>60</v>
      </c>
      <c r="C1074" s="4" t="s">
        <v>12</v>
      </c>
      <c r="D1074" s="10" t="str">
        <f t="shared" si="0"/>
        <v>Traffic_Control_System</v>
      </c>
      <c r="E1074" s="8" t="s">
        <v>1522</v>
      </c>
      <c r="F1074" s="8"/>
    </row>
    <row r="1075" spans="1:6" ht="14.6" x14ac:dyDescent="0.4">
      <c r="A1075" s="7" t="s">
        <v>129</v>
      </c>
      <c r="B1075" s="4" t="s">
        <v>74</v>
      </c>
      <c r="C1075" s="4" t="s">
        <v>12</v>
      </c>
      <c r="D1075" s="10" t="str">
        <f t="shared" si="0"/>
        <v>Traffic_Control_System</v>
      </c>
      <c r="E1075" s="8" t="s">
        <v>1522</v>
      </c>
      <c r="F1075" s="8"/>
    </row>
    <row r="1076" spans="1:6" ht="14.6" x14ac:dyDescent="0.4">
      <c r="A1076" s="7" t="s">
        <v>132</v>
      </c>
      <c r="B1076" s="4" t="s">
        <v>133</v>
      </c>
      <c r="C1076" s="4" t="s">
        <v>12</v>
      </c>
      <c r="D1076" s="10" t="str">
        <f t="shared" si="0"/>
        <v>Traffic_Control_System</v>
      </c>
      <c r="E1076" s="8" t="s">
        <v>1522</v>
      </c>
      <c r="F1076" s="8"/>
    </row>
    <row r="1077" spans="1:6" ht="14.6" x14ac:dyDescent="0.4">
      <c r="A1077" s="7" t="s">
        <v>142</v>
      </c>
      <c r="B1077" s="4" t="s">
        <v>101</v>
      </c>
      <c r="C1077" s="4" t="s">
        <v>12</v>
      </c>
      <c r="D1077" s="10" t="str">
        <f t="shared" si="0"/>
        <v>Traffic_Control_System</v>
      </c>
      <c r="E1077" s="8" t="s">
        <v>1522</v>
      </c>
      <c r="F1077" s="8"/>
    </row>
    <row r="1078" spans="1:6" ht="14.6" x14ac:dyDescent="0.4">
      <c r="A1078" s="7" t="s">
        <v>173</v>
      </c>
      <c r="B1078" s="4" t="s">
        <v>174</v>
      </c>
      <c r="C1078" s="4" t="s">
        <v>12</v>
      </c>
      <c r="D1078" s="10" t="str">
        <f t="shared" si="0"/>
        <v>Traffic_Control_System</v>
      </c>
      <c r="E1078" s="8" t="s">
        <v>1522</v>
      </c>
      <c r="F1078" s="8"/>
    </row>
    <row r="1079" spans="1:6" ht="14.6" x14ac:dyDescent="0.4">
      <c r="A1079" s="7" t="s">
        <v>175</v>
      </c>
      <c r="B1079" s="4" t="s">
        <v>176</v>
      </c>
      <c r="C1079" s="4" t="s">
        <v>12</v>
      </c>
      <c r="D1079" s="10" t="str">
        <f t="shared" si="0"/>
        <v>Traffic_Control_System</v>
      </c>
      <c r="E1079" s="8" t="s">
        <v>1522</v>
      </c>
      <c r="F1079" s="8"/>
    </row>
    <row r="1080" spans="1:6" ht="14.6" x14ac:dyDescent="0.4">
      <c r="A1080" s="7" t="s">
        <v>181</v>
      </c>
      <c r="B1080" s="4" t="s">
        <v>182</v>
      </c>
      <c r="C1080" s="4" t="s">
        <v>12</v>
      </c>
      <c r="D1080" s="10" t="str">
        <f t="shared" si="0"/>
        <v>Traffic_Control_System</v>
      </c>
      <c r="E1080" s="8" t="s">
        <v>1522</v>
      </c>
      <c r="F1080" s="8"/>
    </row>
    <row r="1081" spans="1:6" ht="14.6" x14ac:dyDescent="0.4">
      <c r="A1081" s="7" t="s">
        <v>243</v>
      </c>
      <c r="B1081" s="4" t="s">
        <v>244</v>
      </c>
      <c r="C1081" s="4" t="s">
        <v>12</v>
      </c>
      <c r="D1081" s="10" t="str">
        <f t="shared" si="0"/>
        <v>Traffic_Control_System</v>
      </c>
      <c r="E1081" s="8" t="s">
        <v>1522</v>
      </c>
      <c r="F1081" s="8"/>
    </row>
    <row r="1082" spans="1:6" ht="14.6" x14ac:dyDescent="0.4">
      <c r="A1082" s="7" t="s">
        <v>268</v>
      </c>
      <c r="B1082" s="4" t="s">
        <v>269</v>
      </c>
      <c r="C1082" s="4" t="s">
        <v>12</v>
      </c>
      <c r="D1082" s="10" t="str">
        <f t="shared" si="0"/>
        <v>Traffic_Control_System</v>
      </c>
      <c r="E1082" s="8" t="s">
        <v>1522</v>
      </c>
      <c r="F1082" s="8"/>
    </row>
    <row r="1083" spans="1:6" ht="14.6" x14ac:dyDescent="0.4">
      <c r="A1083" s="7" t="s">
        <v>288</v>
      </c>
      <c r="B1083" s="4" t="s">
        <v>289</v>
      </c>
      <c r="C1083" s="4" t="s">
        <v>12</v>
      </c>
      <c r="D1083" s="10" t="str">
        <f t="shared" si="0"/>
        <v>Traffic_Control_System</v>
      </c>
      <c r="E1083" s="8" t="s">
        <v>1522</v>
      </c>
      <c r="F1083" s="8"/>
    </row>
    <row r="1084" spans="1:6" ht="14.6" x14ac:dyDescent="0.4">
      <c r="A1084" s="7" t="s">
        <v>349</v>
      </c>
      <c r="B1084" s="4" t="s">
        <v>191</v>
      </c>
      <c r="C1084" s="4" t="s">
        <v>12</v>
      </c>
      <c r="D1084" s="10" t="str">
        <f t="shared" si="0"/>
        <v>Traffic_Control_System</v>
      </c>
      <c r="E1084" s="8" t="s">
        <v>1522</v>
      </c>
      <c r="F1084" s="8"/>
    </row>
    <row r="1085" spans="1:6" ht="14.6" x14ac:dyDescent="0.4">
      <c r="A1085" s="7" t="s">
        <v>382</v>
      </c>
      <c r="B1085" s="4" t="s">
        <v>383</v>
      </c>
      <c r="C1085" s="4" t="s">
        <v>12</v>
      </c>
      <c r="D1085" s="10" t="str">
        <f t="shared" si="0"/>
        <v>Traffic_Control_System</v>
      </c>
      <c r="E1085" s="8" t="s">
        <v>1522</v>
      </c>
      <c r="F1085" s="8"/>
    </row>
    <row r="1086" spans="1:6" ht="14.6" x14ac:dyDescent="0.4">
      <c r="A1086" s="7" t="s">
        <v>402</v>
      </c>
      <c r="B1086" s="4" t="s">
        <v>296</v>
      </c>
      <c r="C1086" s="4" t="s">
        <v>12</v>
      </c>
      <c r="D1086" s="10" t="str">
        <f t="shared" si="0"/>
        <v>Traffic_Control_System</v>
      </c>
      <c r="E1086" s="8" t="s">
        <v>1522</v>
      </c>
      <c r="F1086" s="8"/>
    </row>
    <row r="1087" spans="1:6" ht="14.6" x14ac:dyDescent="0.4">
      <c r="A1087" s="7" t="s">
        <v>407</v>
      </c>
      <c r="B1087" s="4" t="s">
        <v>395</v>
      </c>
      <c r="C1087" s="4" t="s">
        <v>12</v>
      </c>
      <c r="D1087" s="10" t="str">
        <f t="shared" si="0"/>
        <v>Traffic_Control_System</v>
      </c>
      <c r="E1087" s="8" t="s">
        <v>1522</v>
      </c>
      <c r="F1087" s="8"/>
    </row>
    <row r="1088" spans="1:6" ht="14.6" x14ac:dyDescent="0.4">
      <c r="A1088" s="7" t="s">
        <v>462</v>
      </c>
      <c r="B1088" s="4" t="s">
        <v>146</v>
      </c>
      <c r="C1088" s="4" t="s">
        <v>12</v>
      </c>
      <c r="D1088" s="10" t="str">
        <f t="shared" si="0"/>
        <v>Traffic_Control_System</v>
      </c>
      <c r="E1088" s="8" t="s">
        <v>1522</v>
      </c>
      <c r="F1088" s="8"/>
    </row>
    <row r="1089" spans="1:6" ht="14.6" x14ac:dyDescent="0.4">
      <c r="A1089" s="7" t="s">
        <v>473</v>
      </c>
      <c r="B1089" s="4" t="s">
        <v>474</v>
      </c>
      <c r="C1089" s="4" t="s">
        <v>12</v>
      </c>
      <c r="D1089" s="10" t="str">
        <f t="shared" si="0"/>
        <v>Traffic_Control_System</v>
      </c>
      <c r="E1089" s="8" t="s">
        <v>1522</v>
      </c>
      <c r="F1089" s="8"/>
    </row>
    <row r="1090" spans="1:6" ht="14.6" x14ac:dyDescent="0.4">
      <c r="A1090" s="7" t="s">
        <v>475</v>
      </c>
      <c r="B1090" s="4" t="s">
        <v>476</v>
      </c>
      <c r="C1090" s="4" t="s">
        <v>12</v>
      </c>
      <c r="D1090" s="10" t="str">
        <f t="shared" si="0"/>
        <v>Traffic_Control_System</v>
      </c>
      <c r="E1090" s="8" t="s">
        <v>1522</v>
      </c>
      <c r="F1090" s="8"/>
    </row>
    <row r="1091" spans="1:6" ht="14.6" x14ac:dyDescent="0.4">
      <c r="A1091" s="7" t="s">
        <v>532</v>
      </c>
      <c r="B1091" s="4" t="s">
        <v>202</v>
      </c>
      <c r="C1091" s="4" t="s">
        <v>12</v>
      </c>
      <c r="D1091" s="10" t="str">
        <f t="shared" si="0"/>
        <v>Traffic_Control_System</v>
      </c>
      <c r="E1091" s="8" t="s">
        <v>1522</v>
      </c>
      <c r="F1091" s="8"/>
    </row>
    <row r="1092" spans="1:6" ht="14.6" x14ac:dyDescent="0.4">
      <c r="A1092" s="7" t="s">
        <v>534</v>
      </c>
      <c r="B1092" s="4" t="s">
        <v>359</v>
      </c>
      <c r="C1092" s="4" t="s">
        <v>12</v>
      </c>
      <c r="D1092" s="10" t="str">
        <f t="shared" si="0"/>
        <v>Traffic_Control_System</v>
      </c>
      <c r="E1092" s="8" t="s">
        <v>1522</v>
      </c>
      <c r="F1092" s="8"/>
    </row>
    <row r="1093" spans="1:6" ht="14.6" x14ac:dyDescent="0.4">
      <c r="A1093" s="7" t="s">
        <v>540</v>
      </c>
      <c r="B1093" s="4" t="s">
        <v>406</v>
      </c>
      <c r="C1093" s="4" t="s">
        <v>12</v>
      </c>
      <c r="D1093" s="10" t="str">
        <f t="shared" si="0"/>
        <v>Traffic_Control_System</v>
      </c>
      <c r="E1093" s="8" t="s">
        <v>1522</v>
      </c>
      <c r="F1093" s="8"/>
    </row>
    <row r="1094" spans="1:6" ht="14.6" x14ac:dyDescent="0.4">
      <c r="A1094" s="7" t="s">
        <v>553</v>
      </c>
      <c r="B1094" s="4" t="s">
        <v>554</v>
      </c>
      <c r="C1094" s="4" t="s">
        <v>12</v>
      </c>
      <c r="D1094" s="10" t="str">
        <f t="shared" si="0"/>
        <v>Traffic_Control_System</v>
      </c>
      <c r="E1094" s="8" t="s">
        <v>1522</v>
      </c>
      <c r="F1094" s="8"/>
    </row>
    <row r="1095" spans="1:6" ht="14.6" x14ac:dyDescent="0.4">
      <c r="A1095" s="7" t="s">
        <v>588</v>
      </c>
      <c r="B1095" s="4" t="s">
        <v>564</v>
      </c>
      <c r="C1095" s="4" t="s">
        <v>12</v>
      </c>
      <c r="D1095" s="10" t="str">
        <f t="shared" si="0"/>
        <v>Traffic_Control_System</v>
      </c>
      <c r="E1095" s="8" t="s">
        <v>1522</v>
      </c>
      <c r="F1095" s="8"/>
    </row>
    <row r="1096" spans="1:6" ht="14.6" x14ac:dyDescent="0.4">
      <c r="A1096" s="7" t="s">
        <v>615</v>
      </c>
      <c r="B1096" s="4" t="s">
        <v>296</v>
      </c>
      <c r="C1096" s="4" t="s">
        <v>12</v>
      </c>
      <c r="D1096" s="10" t="str">
        <f t="shared" si="0"/>
        <v>Traffic_Control_System</v>
      </c>
      <c r="E1096" s="8" t="s">
        <v>1522</v>
      </c>
      <c r="F1096" s="8"/>
    </row>
    <row r="1097" spans="1:6" ht="14.6" x14ac:dyDescent="0.4">
      <c r="A1097" s="7" t="s">
        <v>674</v>
      </c>
      <c r="B1097" s="4" t="s">
        <v>675</v>
      </c>
      <c r="C1097" s="4" t="s">
        <v>12</v>
      </c>
      <c r="D1097" s="10" t="str">
        <f t="shared" si="0"/>
        <v>Traffic_Control_System</v>
      </c>
      <c r="E1097" s="8" t="s">
        <v>1522</v>
      </c>
      <c r="F1097" s="8"/>
    </row>
    <row r="1098" spans="1:6" ht="14.6" x14ac:dyDescent="0.4">
      <c r="A1098" s="7" t="s">
        <v>705</v>
      </c>
      <c r="B1098" s="4" t="s">
        <v>219</v>
      </c>
      <c r="C1098" s="4" t="s">
        <v>12</v>
      </c>
      <c r="D1098" s="10" t="str">
        <f t="shared" si="0"/>
        <v>Traffic_Control_System</v>
      </c>
      <c r="E1098" s="8" t="s">
        <v>1522</v>
      </c>
      <c r="F1098" s="8"/>
    </row>
    <row r="1099" spans="1:6" ht="14.6" x14ac:dyDescent="0.4">
      <c r="A1099" s="7" t="s">
        <v>709</v>
      </c>
      <c r="B1099" s="4" t="s">
        <v>684</v>
      </c>
      <c r="C1099" s="4" t="s">
        <v>12</v>
      </c>
      <c r="D1099" s="10" t="str">
        <f t="shared" si="0"/>
        <v>Traffic_Control_System</v>
      </c>
      <c r="E1099" s="8" t="s">
        <v>1522</v>
      </c>
      <c r="F1099" s="8"/>
    </row>
    <row r="1100" spans="1:6" ht="14.6" x14ac:dyDescent="0.4">
      <c r="A1100" s="7" t="s">
        <v>729</v>
      </c>
      <c r="B1100" s="4" t="s">
        <v>133</v>
      </c>
      <c r="C1100" s="4" t="s">
        <v>12</v>
      </c>
      <c r="D1100" s="10" t="str">
        <f t="shared" si="0"/>
        <v>Traffic_Control_System</v>
      </c>
      <c r="E1100" s="8" t="s">
        <v>1522</v>
      </c>
      <c r="F1100" s="8"/>
    </row>
    <row r="1101" spans="1:6" ht="14.6" x14ac:dyDescent="0.4">
      <c r="A1101" s="7" t="s">
        <v>735</v>
      </c>
      <c r="B1101" s="4" t="s">
        <v>383</v>
      </c>
      <c r="C1101" s="4" t="s">
        <v>12</v>
      </c>
      <c r="D1101" s="10" t="str">
        <f t="shared" si="0"/>
        <v>Traffic_Control_System</v>
      </c>
      <c r="E1101" s="8" t="s">
        <v>1522</v>
      </c>
      <c r="F1101" s="8"/>
    </row>
    <row r="1102" spans="1:6" ht="14.6" x14ac:dyDescent="0.4">
      <c r="A1102" s="7" t="s">
        <v>752</v>
      </c>
      <c r="B1102" s="4" t="s">
        <v>40</v>
      </c>
      <c r="C1102" s="4" t="s">
        <v>12</v>
      </c>
      <c r="D1102" s="10" t="str">
        <f t="shared" si="0"/>
        <v>Traffic_Control_System</v>
      </c>
      <c r="E1102" s="8" t="s">
        <v>1522</v>
      </c>
      <c r="F1102" s="8"/>
    </row>
    <row r="1103" spans="1:6" ht="14.6" x14ac:dyDescent="0.4">
      <c r="A1103" s="7" t="s">
        <v>773</v>
      </c>
      <c r="B1103" s="4" t="s">
        <v>118</v>
      </c>
      <c r="C1103" s="4" t="s">
        <v>12</v>
      </c>
      <c r="D1103" s="10" t="str">
        <f t="shared" si="0"/>
        <v>Traffic_Control_System</v>
      </c>
      <c r="E1103" s="8" t="s">
        <v>1522</v>
      </c>
      <c r="F1103" s="8"/>
    </row>
    <row r="1104" spans="1:6" ht="14.6" x14ac:dyDescent="0.4">
      <c r="A1104" s="7" t="s">
        <v>801</v>
      </c>
      <c r="B1104" s="4" t="s">
        <v>354</v>
      </c>
      <c r="C1104" s="4" t="s">
        <v>12</v>
      </c>
      <c r="D1104" s="10" t="str">
        <f t="shared" si="0"/>
        <v>Traffic_Control_System</v>
      </c>
      <c r="E1104" s="8" t="s">
        <v>1522</v>
      </c>
      <c r="F1104" s="8"/>
    </row>
    <row r="1105" spans="1:6" ht="14.6" x14ac:dyDescent="0.4">
      <c r="A1105" s="7" t="s">
        <v>808</v>
      </c>
      <c r="B1105" s="4" t="s">
        <v>809</v>
      </c>
      <c r="C1105" s="4" t="s">
        <v>12</v>
      </c>
      <c r="D1105" s="10" t="str">
        <f t="shared" si="0"/>
        <v>Traffic_Control_System</v>
      </c>
      <c r="E1105" s="8" t="s">
        <v>1522</v>
      </c>
      <c r="F1105" s="8"/>
    </row>
    <row r="1106" spans="1:6" ht="14.6" x14ac:dyDescent="0.4">
      <c r="A1106" s="7" t="s">
        <v>810</v>
      </c>
      <c r="B1106" s="4" t="s">
        <v>811</v>
      </c>
      <c r="C1106" s="4" t="s">
        <v>12</v>
      </c>
      <c r="D1106" s="10" t="str">
        <f t="shared" si="0"/>
        <v>Traffic_Control_System</v>
      </c>
      <c r="E1106" s="8" t="s">
        <v>1522</v>
      </c>
      <c r="F1106" s="8"/>
    </row>
    <row r="1107" spans="1:6" ht="14.6" x14ac:dyDescent="0.4">
      <c r="A1107" s="7" t="s">
        <v>831</v>
      </c>
      <c r="B1107" s="4" t="s">
        <v>193</v>
      </c>
      <c r="C1107" s="4" t="s">
        <v>12</v>
      </c>
      <c r="D1107" s="10" t="str">
        <f t="shared" si="0"/>
        <v>Traffic_Control_System</v>
      </c>
      <c r="E1107" s="8" t="s">
        <v>1522</v>
      </c>
      <c r="F1107" s="8"/>
    </row>
    <row r="1108" spans="1:6" ht="14.6" x14ac:dyDescent="0.4">
      <c r="A1108" s="7" t="s">
        <v>846</v>
      </c>
      <c r="B1108" s="4" t="s">
        <v>160</v>
      </c>
      <c r="C1108" s="4" t="s">
        <v>12</v>
      </c>
      <c r="D1108" s="10" t="str">
        <f t="shared" si="0"/>
        <v>Traffic_Control_System</v>
      </c>
      <c r="E1108" s="8" t="s">
        <v>1522</v>
      </c>
      <c r="F1108" s="8"/>
    </row>
    <row r="1109" spans="1:6" ht="14.6" x14ac:dyDescent="0.4">
      <c r="A1109" s="7" t="s">
        <v>865</v>
      </c>
      <c r="B1109" s="4" t="s">
        <v>411</v>
      </c>
      <c r="C1109" s="4" t="s">
        <v>12</v>
      </c>
      <c r="D1109" s="10" t="str">
        <f t="shared" si="0"/>
        <v>Traffic_Control_System</v>
      </c>
      <c r="E1109" s="8" t="s">
        <v>1522</v>
      </c>
      <c r="F1109" s="8"/>
    </row>
    <row r="1110" spans="1:6" ht="14.6" x14ac:dyDescent="0.4">
      <c r="A1110" s="7" t="s">
        <v>893</v>
      </c>
      <c r="B1110" s="4" t="s">
        <v>154</v>
      </c>
      <c r="C1110" s="4" t="s">
        <v>12</v>
      </c>
      <c r="D1110" s="10" t="str">
        <f t="shared" si="0"/>
        <v>Traffic_Control_System</v>
      </c>
      <c r="E1110" s="8" t="s">
        <v>1522</v>
      </c>
      <c r="F1110" s="8"/>
    </row>
    <row r="1111" spans="1:6" ht="14.6" x14ac:dyDescent="0.4">
      <c r="A1111" s="7" t="s">
        <v>905</v>
      </c>
      <c r="B1111" s="4" t="s">
        <v>221</v>
      </c>
      <c r="C1111" s="4" t="s">
        <v>12</v>
      </c>
      <c r="D1111" s="10" t="str">
        <f t="shared" si="0"/>
        <v>Traffic_Control_System</v>
      </c>
      <c r="E1111" s="8" t="s">
        <v>1522</v>
      </c>
      <c r="F1111" s="8"/>
    </row>
    <row r="1112" spans="1:6" ht="14.6" x14ac:dyDescent="0.4">
      <c r="A1112" s="7" t="s">
        <v>907</v>
      </c>
      <c r="B1112" s="4" t="s">
        <v>133</v>
      </c>
      <c r="C1112" s="4" t="s">
        <v>12</v>
      </c>
      <c r="D1112" s="10" t="str">
        <f t="shared" si="0"/>
        <v>Traffic_Control_System</v>
      </c>
      <c r="E1112" s="8" t="s">
        <v>1522</v>
      </c>
      <c r="F1112" s="8"/>
    </row>
    <row r="1113" spans="1:6" ht="14.6" x14ac:dyDescent="0.4">
      <c r="A1113" s="7" t="s">
        <v>941</v>
      </c>
      <c r="B1113" s="4" t="s">
        <v>282</v>
      </c>
      <c r="C1113" s="4" t="s">
        <v>12</v>
      </c>
      <c r="D1113" s="10" t="str">
        <f t="shared" si="0"/>
        <v>Traffic_Control_System</v>
      </c>
      <c r="E1113" s="8" t="s">
        <v>1522</v>
      </c>
      <c r="F1113" s="8"/>
    </row>
    <row r="1114" spans="1:6" ht="14.6" x14ac:dyDescent="0.4">
      <c r="A1114" s="7" t="s">
        <v>946</v>
      </c>
      <c r="B1114" s="4" t="s">
        <v>93</v>
      </c>
      <c r="C1114" s="4" t="s">
        <v>12</v>
      </c>
      <c r="D1114" s="10" t="str">
        <f t="shared" si="0"/>
        <v>Traffic_Control_System</v>
      </c>
      <c r="E1114" s="8" t="s">
        <v>1522</v>
      </c>
      <c r="F1114" s="8"/>
    </row>
    <row r="1115" spans="1:6" ht="14.6" x14ac:dyDescent="0.4">
      <c r="A1115" s="7" t="s">
        <v>990</v>
      </c>
      <c r="B1115" s="4" t="s">
        <v>699</v>
      </c>
      <c r="C1115" s="4" t="s">
        <v>12</v>
      </c>
      <c r="D1115" s="10" t="str">
        <f t="shared" si="0"/>
        <v>Traffic_Control_System</v>
      </c>
      <c r="E1115" s="8" t="s">
        <v>1522</v>
      </c>
      <c r="F1115" s="8"/>
    </row>
    <row r="1116" spans="1:6" ht="14.6" x14ac:dyDescent="0.4">
      <c r="A1116" s="7" t="s">
        <v>994</v>
      </c>
      <c r="B1116" s="4" t="s">
        <v>809</v>
      </c>
      <c r="C1116" s="4" t="s">
        <v>12</v>
      </c>
      <c r="D1116" s="10" t="str">
        <f t="shared" si="0"/>
        <v>Traffic_Control_System</v>
      </c>
      <c r="E1116" s="8" t="s">
        <v>1522</v>
      </c>
      <c r="F1116" s="8"/>
    </row>
    <row r="1117" spans="1:6" ht="14.6" x14ac:dyDescent="0.4">
      <c r="A1117" s="7" t="s">
        <v>1014</v>
      </c>
      <c r="B1117" s="4" t="s">
        <v>451</v>
      </c>
      <c r="C1117" s="4" t="s">
        <v>12</v>
      </c>
      <c r="D1117" s="10" t="str">
        <f t="shared" si="0"/>
        <v>Traffic_Control_System</v>
      </c>
      <c r="E1117" s="8" t="s">
        <v>1522</v>
      </c>
      <c r="F1117" s="8"/>
    </row>
    <row r="1118" spans="1:6" ht="14.6" x14ac:dyDescent="0.4">
      <c r="A1118" s="7" t="s">
        <v>1020</v>
      </c>
      <c r="B1118" s="4" t="s">
        <v>634</v>
      </c>
      <c r="C1118" s="4" t="s">
        <v>12</v>
      </c>
      <c r="D1118" s="10" t="str">
        <f t="shared" si="0"/>
        <v>Traffic_Control_System</v>
      </c>
      <c r="E1118" s="8" t="s">
        <v>1522</v>
      </c>
      <c r="F1118" s="8"/>
    </row>
    <row r="1119" spans="1:6" ht="14.6" x14ac:dyDescent="0.4">
      <c r="A1119" s="7" t="s">
        <v>1032</v>
      </c>
      <c r="B1119" s="4" t="s">
        <v>1033</v>
      </c>
      <c r="C1119" s="4" t="s">
        <v>12</v>
      </c>
      <c r="D1119" s="10" t="str">
        <f t="shared" si="0"/>
        <v>Traffic_Control_System</v>
      </c>
      <c r="E1119" s="8" t="s">
        <v>1522</v>
      </c>
      <c r="F1119" s="8"/>
    </row>
    <row r="1120" spans="1:6" ht="14.6" x14ac:dyDescent="0.4">
      <c r="A1120" s="7" t="s">
        <v>1034</v>
      </c>
      <c r="B1120" s="4" t="s">
        <v>1035</v>
      </c>
      <c r="C1120" s="4" t="s">
        <v>12</v>
      </c>
      <c r="D1120" s="10" t="str">
        <f t="shared" si="0"/>
        <v>Traffic_Control_System</v>
      </c>
      <c r="E1120" s="8" t="s">
        <v>1522</v>
      </c>
      <c r="F1120" s="8"/>
    </row>
    <row r="1121" spans="1:6" ht="14.6" x14ac:dyDescent="0.4">
      <c r="A1121" s="7" t="s">
        <v>1059</v>
      </c>
      <c r="B1121" s="4" t="s">
        <v>1060</v>
      </c>
      <c r="C1121" s="4" t="s">
        <v>12</v>
      </c>
      <c r="D1121" s="10" t="str">
        <f t="shared" si="0"/>
        <v>Traffic_Control_System</v>
      </c>
      <c r="E1121" s="8" t="s">
        <v>1522</v>
      </c>
      <c r="F1121" s="8"/>
    </row>
    <row r="1122" spans="1:6" ht="14.6" x14ac:dyDescent="0.4">
      <c r="A1122" s="7" t="s">
        <v>1076</v>
      </c>
      <c r="B1122" s="4" t="s">
        <v>1060</v>
      </c>
      <c r="C1122" s="4" t="s">
        <v>12</v>
      </c>
      <c r="D1122" s="10" t="str">
        <f t="shared" si="0"/>
        <v>Traffic_Control_System</v>
      </c>
      <c r="E1122" s="8" t="s">
        <v>1522</v>
      </c>
      <c r="F1122" s="8"/>
    </row>
    <row r="1123" spans="1:6" ht="14.6" x14ac:dyDescent="0.4">
      <c r="A1123" s="7" t="s">
        <v>1079</v>
      </c>
      <c r="B1123" s="4" t="s">
        <v>1080</v>
      </c>
      <c r="C1123" s="4" t="s">
        <v>12</v>
      </c>
      <c r="D1123" s="10" t="str">
        <f t="shared" si="0"/>
        <v>Traffic_Control_System</v>
      </c>
      <c r="E1123" s="8" t="s">
        <v>1522</v>
      </c>
      <c r="F1123" s="8"/>
    </row>
    <row r="1124" spans="1:6" ht="14.6" x14ac:dyDescent="0.4">
      <c r="A1124" s="7" t="s">
        <v>1159</v>
      </c>
      <c r="B1124" s="4" t="s">
        <v>1160</v>
      </c>
      <c r="C1124" s="4" t="s">
        <v>12</v>
      </c>
      <c r="D1124" s="10" t="str">
        <f t="shared" si="0"/>
        <v>Traffic_Control_System</v>
      </c>
      <c r="E1124" s="8" t="s">
        <v>1522</v>
      </c>
      <c r="F1124" s="8"/>
    </row>
    <row r="1125" spans="1:6" ht="14.6" x14ac:dyDescent="0.4">
      <c r="A1125" s="7" t="s">
        <v>1182</v>
      </c>
      <c r="B1125" s="4" t="s">
        <v>1183</v>
      </c>
      <c r="C1125" s="4" t="s">
        <v>12</v>
      </c>
      <c r="D1125" s="10" t="str">
        <f t="shared" si="0"/>
        <v>Traffic_Control_System</v>
      </c>
      <c r="E1125" s="8" t="s">
        <v>1522</v>
      </c>
      <c r="F1125" s="8"/>
    </row>
    <row r="1126" spans="1:6" ht="14.6" x14ac:dyDescent="0.4">
      <c r="A1126" s="7" t="s">
        <v>1198</v>
      </c>
      <c r="B1126" s="4" t="s">
        <v>1167</v>
      </c>
      <c r="C1126" s="4" t="s">
        <v>12</v>
      </c>
      <c r="D1126" s="10" t="str">
        <f t="shared" si="0"/>
        <v>Traffic_Control_System</v>
      </c>
      <c r="E1126" s="8" t="s">
        <v>1522</v>
      </c>
      <c r="F1126" s="8"/>
    </row>
    <row r="1127" spans="1:6" ht="14.6" x14ac:dyDescent="0.4">
      <c r="A1127" s="7" t="s">
        <v>1215</v>
      </c>
      <c r="B1127" s="4" t="s">
        <v>1188</v>
      </c>
      <c r="C1127" s="4" t="s">
        <v>12</v>
      </c>
      <c r="D1127" s="10" t="str">
        <f t="shared" si="0"/>
        <v>Traffic_Control_System</v>
      </c>
      <c r="E1127" s="8" t="s">
        <v>1522</v>
      </c>
      <c r="F1127" s="8"/>
    </row>
    <row r="1128" spans="1:6" ht="14.6" x14ac:dyDescent="0.4">
      <c r="A1128" s="7" t="s">
        <v>1249</v>
      </c>
      <c r="B1128" s="4" t="s">
        <v>1188</v>
      </c>
      <c r="C1128" s="4" t="s">
        <v>12</v>
      </c>
      <c r="D1128" s="10" t="str">
        <f t="shared" si="0"/>
        <v>Traffic_Control_System</v>
      </c>
      <c r="E1128" s="8" t="s">
        <v>1522</v>
      </c>
      <c r="F1128" s="8"/>
    </row>
    <row r="1129" spans="1:6" ht="14.6" x14ac:dyDescent="0.4">
      <c r="A1129" s="7" t="s">
        <v>1253</v>
      </c>
      <c r="B1129" s="4" t="s">
        <v>1169</v>
      </c>
      <c r="C1129" s="4" t="s">
        <v>12</v>
      </c>
      <c r="D1129" s="10" t="str">
        <f t="shared" si="0"/>
        <v>Traffic_Control_System</v>
      </c>
      <c r="E1129" s="8" t="s">
        <v>1522</v>
      </c>
      <c r="F1129" s="8"/>
    </row>
    <row r="1130" spans="1:6" ht="14.6" x14ac:dyDescent="0.4">
      <c r="A1130" s="7" t="s">
        <v>1270</v>
      </c>
      <c r="B1130" s="4" t="s">
        <v>1262</v>
      </c>
      <c r="C1130" s="4" t="s">
        <v>12</v>
      </c>
      <c r="D1130" s="10" t="str">
        <f t="shared" si="0"/>
        <v>Traffic_Control_System</v>
      </c>
      <c r="E1130" s="8" t="s">
        <v>1522</v>
      </c>
      <c r="F1130" s="8"/>
    </row>
    <row r="1131" spans="1:6" ht="14.6" x14ac:dyDescent="0.4">
      <c r="A1131" s="7" t="s">
        <v>1293</v>
      </c>
      <c r="B1131" s="4" t="s">
        <v>1256</v>
      </c>
      <c r="C1131" s="4" t="s">
        <v>12</v>
      </c>
      <c r="D1131" s="10" t="str">
        <f t="shared" si="0"/>
        <v>Traffic_Control_System</v>
      </c>
      <c r="E1131" s="8" t="s">
        <v>1522</v>
      </c>
      <c r="F1131" s="8"/>
    </row>
    <row r="1132" spans="1:6" ht="14.6" x14ac:dyDescent="0.4">
      <c r="A1132" s="7" t="s">
        <v>1296</v>
      </c>
      <c r="B1132" s="4" t="s">
        <v>1258</v>
      </c>
      <c r="C1132" s="4" t="s">
        <v>12</v>
      </c>
      <c r="D1132" s="10" t="str">
        <f t="shared" si="0"/>
        <v>Traffic_Control_System</v>
      </c>
      <c r="E1132" s="8" t="s">
        <v>1522</v>
      </c>
      <c r="F1132" s="8"/>
    </row>
    <row r="1133" spans="1:6" ht="14.6" x14ac:dyDescent="0.4">
      <c r="A1133" s="7" t="s">
        <v>1313</v>
      </c>
      <c r="B1133" s="4" t="s">
        <v>1256</v>
      </c>
      <c r="C1133" s="4" t="s">
        <v>12</v>
      </c>
      <c r="D1133" s="10" t="str">
        <f t="shared" si="0"/>
        <v>Traffic_Control_System</v>
      </c>
      <c r="E1133" s="8" t="s">
        <v>1522</v>
      </c>
      <c r="F1133" s="8"/>
    </row>
    <row r="1134" spans="1:6" ht="14.6" x14ac:dyDescent="0.4">
      <c r="A1134" s="7" t="s">
        <v>1320</v>
      </c>
      <c r="B1134" s="4" t="s">
        <v>1256</v>
      </c>
      <c r="C1134" s="4" t="s">
        <v>12</v>
      </c>
      <c r="D1134" s="10" t="str">
        <f t="shared" si="0"/>
        <v>Traffic_Control_System</v>
      </c>
      <c r="E1134" s="8" t="s">
        <v>1522</v>
      </c>
      <c r="F1134" s="8"/>
    </row>
    <row r="1135" spans="1:6" ht="14.6" x14ac:dyDescent="0.4">
      <c r="A1135" s="7" t="s">
        <v>1328</v>
      </c>
      <c r="B1135" s="4" t="s">
        <v>1268</v>
      </c>
      <c r="C1135" s="4" t="s">
        <v>12</v>
      </c>
      <c r="D1135" s="10" t="str">
        <f t="shared" si="0"/>
        <v>Traffic_Control_System</v>
      </c>
      <c r="E1135" s="8" t="s">
        <v>1522</v>
      </c>
      <c r="F1135" s="8"/>
    </row>
    <row r="1136" spans="1:6" ht="14.6" x14ac:dyDescent="0.4">
      <c r="A1136" s="7" t="s">
        <v>1334</v>
      </c>
      <c r="B1136" s="4" t="s">
        <v>1262</v>
      </c>
      <c r="C1136" s="4" t="s">
        <v>12</v>
      </c>
      <c r="D1136" s="10" t="str">
        <f t="shared" si="0"/>
        <v>Traffic_Control_System</v>
      </c>
      <c r="E1136" s="8" t="s">
        <v>1522</v>
      </c>
      <c r="F1136" s="8"/>
    </row>
    <row r="1137" spans="1:6" ht="14.6" x14ac:dyDescent="0.4">
      <c r="A1137" s="7" t="s">
        <v>1337</v>
      </c>
      <c r="B1137" s="4" t="s">
        <v>1262</v>
      </c>
      <c r="C1137" s="4" t="s">
        <v>12</v>
      </c>
      <c r="D1137" s="10" t="str">
        <f t="shared" si="0"/>
        <v>Traffic_Control_System</v>
      </c>
      <c r="E1137" s="8" t="s">
        <v>1522</v>
      </c>
      <c r="F1137" s="8"/>
    </row>
    <row r="1138" spans="1:6" ht="14.6" x14ac:dyDescent="0.4">
      <c r="A1138" s="7" t="s">
        <v>1352</v>
      </c>
      <c r="B1138" s="4" t="s">
        <v>1353</v>
      </c>
      <c r="C1138" s="4" t="s">
        <v>12</v>
      </c>
      <c r="D1138" s="10" t="str">
        <f t="shared" si="0"/>
        <v>Traffic_Control_System</v>
      </c>
      <c r="E1138" s="8" t="s">
        <v>1522</v>
      </c>
      <c r="F1138" s="8"/>
    </row>
    <row r="1139" spans="1:6" ht="14.6" x14ac:dyDescent="0.4">
      <c r="A1139" s="7" t="s">
        <v>1373</v>
      </c>
      <c r="B1139" s="4" t="s">
        <v>1361</v>
      </c>
      <c r="C1139" s="4" t="s">
        <v>12</v>
      </c>
      <c r="D1139" s="10" t="str">
        <f t="shared" si="0"/>
        <v>Traffic_Control_System</v>
      </c>
      <c r="E1139" s="8" t="s">
        <v>1522</v>
      </c>
      <c r="F1139" s="8"/>
    </row>
    <row r="1140" spans="1:6" ht="14.6" x14ac:dyDescent="0.4">
      <c r="A1140" s="7" t="s">
        <v>1379</v>
      </c>
      <c r="B1140" s="4" t="s">
        <v>1355</v>
      </c>
      <c r="C1140" s="4" t="s">
        <v>12</v>
      </c>
      <c r="D1140" s="10" t="str">
        <f t="shared" si="0"/>
        <v>Traffic_Control_System</v>
      </c>
      <c r="E1140" s="8" t="s">
        <v>1522</v>
      </c>
      <c r="F1140" s="8"/>
    </row>
    <row r="1141" spans="1:6" ht="14.6" x14ac:dyDescent="0.4">
      <c r="A1141" s="7" t="s">
        <v>1388</v>
      </c>
      <c r="B1141" s="4" t="s">
        <v>1355</v>
      </c>
      <c r="C1141" s="4" t="s">
        <v>12</v>
      </c>
      <c r="D1141" s="10" t="str">
        <f t="shared" si="0"/>
        <v>Traffic_Control_System</v>
      </c>
      <c r="E1141" s="8" t="s">
        <v>1522</v>
      </c>
      <c r="F1141" s="8"/>
    </row>
    <row r="1142" spans="1:6" ht="14.6" x14ac:dyDescent="0.4">
      <c r="A1142" s="7" t="s">
        <v>1424</v>
      </c>
      <c r="B1142" s="4" t="s">
        <v>1359</v>
      </c>
      <c r="C1142" s="4" t="s">
        <v>12</v>
      </c>
      <c r="D1142" s="10" t="str">
        <f t="shared" si="0"/>
        <v>Traffic_Control_System</v>
      </c>
      <c r="E1142" s="8" t="s">
        <v>1522</v>
      </c>
      <c r="F1142" s="8"/>
    </row>
    <row r="1143" spans="1:6" ht="14.6" x14ac:dyDescent="0.4">
      <c r="A1143" s="7" t="s">
        <v>1442</v>
      </c>
      <c r="B1143" s="4" t="s">
        <v>1429</v>
      </c>
      <c r="C1143" s="4" t="s">
        <v>12</v>
      </c>
      <c r="D1143" s="10" t="str">
        <f t="shared" si="0"/>
        <v>Traffic_Control_System</v>
      </c>
      <c r="E1143" s="8" t="s">
        <v>1522</v>
      </c>
      <c r="F1143" s="8"/>
    </row>
    <row r="1144" spans="1:6" ht="14.6" x14ac:dyDescent="0.4">
      <c r="A1144" s="7" t="s">
        <v>1470</v>
      </c>
      <c r="B1144" s="4" t="s">
        <v>1429</v>
      </c>
      <c r="C1144" s="4" t="s">
        <v>12</v>
      </c>
      <c r="D1144" s="10" t="str">
        <f t="shared" si="0"/>
        <v>Traffic_Control_System</v>
      </c>
      <c r="E1144" s="8" t="s">
        <v>1522</v>
      </c>
      <c r="F1144" s="8"/>
    </row>
    <row r="1145" spans="1:6" ht="14.6" x14ac:dyDescent="0.4">
      <c r="A1145" s="7" t="s">
        <v>1483</v>
      </c>
      <c r="B1145" s="4" t="s">
        <v>1478</v>
      </c>
      <c r="C1145" s="4" t="s">
        <v>12</v>
      </c>
      <c r="D1145" s="10" t="str">
        <f t="shared" si="0"/>
        <v>Traffic_Control_System</v>
      </c>
      <c r="E1145" s="8" t="s">
        <v>1522</v>
      </c>
      <c r="F1145" s="8"/>
    </row>
    <row r="1146" spans="1:6" ht="14.6" x14ac:dyDescent="0.4">
      <c r="A1146" s="7" t="s">
        <v>1491</v>
      </c>
      <c r="B1146" s="4" t="s">
        <v>1478</v>
      </c>
      <c r="C1146" s="4" t="s">
        <v>12</v>
      </c>
      <c r="D1146" s="10" t="str">
        <f t="shared" si="0"/>
        <v>Traffic_Control_System</v>
      </c>
      <c r="E1146" s="8" t="s">
        <v>1522</v>
      </c>
      <c r="F1146" s="8"/>
    </row>
    <row r="1147" spans="1:6" ht="12.45" x14ac:dyDescent="0.3">
      <c r="A1147" s="7"/>
      <c r="B1147" s="7"/>
      <c r="C1147" s="7"/>
    </row>
    <row r="1148" spans="1:6" ht="12.45" x14ac:dyDescent="0.3">
      <c r="A1148" s="7"/>
      <c r="B1148" s="7"/>
      <c r="C1148" s="7"/>
    </row>
    <row r="1149" spans="1:6" ht="12.45" x14ac:dyDescent="0.3">
      <c r="A1149" s="7"/>
      <c r="B1149" s="7"/>
      <c r="C1149" s="7"/>
    </row>
    <row r="1150" spans="1:6" ht="12.45" x14ac:dyDescent="0.3">
      <c r="A1150" s="7"/>
      <c r="B1150" s="7"/>
      <c r="C1150" s="7"/>
    </row>
    <row r="1151" spans="1:6" ht="12.45" x14ac:dyDescent="0.3">
      <c r="A1151" s="7"/>
      <c r="B1151" s="7"/>
      <c r="C1151" s="7"/>
    </row>
    <row r="1152" spans="1:6" ht="12.45" x14ac:dyDescent="0.3">
      <c r="A1152" s="7"/>
      <c r="B1152" s="7"/>
      <c r="C1152" s="7"/>
    </row>
    <row r="1153" spans="1:3" ht="12.45" x14ac:dyDescent="0.3">
      <c r="A1153" s="7"/>
      <c r="B1153" s="7"/>
      <c r="C1153" s="7"/>
    </row>
    <row r="1154" spans="1:3" ht="12.45" x14ac:dyDescent="0.3">
      <c r="A1154" s="7"/>
      <c r="B1154" s="7"/>
      <c r="C1154" s="7"/>
    </row>
    <row r="1155" spans="1:3" ht="12.45" x14ac:dyDescent="0.3">
      <c r="A1155" s="7"/>
      <c r="B1155" s="7"/>
      <c r="C1155" s="7"/>
    </row>
    <row r="1156" spans="1:3" ht="12.45" x14ac:dyDescent="0.3">
      <c r="A1156" s="7"/>
      <c r="B1156" s="7"/>
      <c r="C1156" s="7"/>
    </row>
    <row r="1157" spans="1:3" ht="12.45" x14ac:dyDescent="0.3">
      <c r="A1157" s="7"/>
      <c r="B1157" s="7"/>
      <c r="C1157" s="7"/>
    </row>
    <row r="1158" spans="1:3" ht="12.45" x14ac:dyDescent="0.3">
      <c r="A1158" s="7"/>
      <c r="B1158" s="7"/>
      <c r="C1158" s="7"/>
    </row>
    <row r="1159" spans="1:3" ht="12.45" x14ac:dyDescent="0.3">
      <c r="A1159" s="7"/>
      <c r="B1159" s="7"/>
      <c r="C1159" s="7"/>
    </row>
    <row r="1160" spans="1:3" ht="12.45" x14ac:dyDescent="0.3">
      <c r="A1160" s="7"/>
      <c r="B1160" s="7"/>
      <c r="C1160" s="7"/>
    </row>
    <row r="1161" spans="1:3" ht="12.45" x14ac:dyDescent="0.3">
      <c r="A1161" s="7"/>
      <c r="B1161" s="7"/>
      <c r="C1161" s="7"/>
    </row>
    <row r="1162" spans="1:3" ht="12.45" x14ac:dyDescent="0.3">
      <c r="A1162" s="7"/>
      <c r="B1162" s="7"/>
      <c r="C1162" s="7"/>
    </row>
    <row r="1163" spans="1:3" ht="12.45" x14ac:dyDescent="0.3">
      <c r="A1163" s="7"/>
      <c r="B1163" s="7"/>
      <c r="C1163" s="7"/>
    </row>
    <row r="1164" spans="1:3" ht="12.45" x14ac:dyDescent="0.3">
      <c r="A1164" s="7"/>
      <c r="B1164" s="7"/>
      <c r="C1164" s="7"/>
    </row>
    <row r="1165" spans="1:3" ht="12.45" x14ac:dyDescent="0.3">
      <c r="A1165" s="7"/>
      <c r="B1165" s="7"/>
      <c r="C1165" s="7"/>
    </row>
    <row r="1166" spans="1:3" ht="12.45" x14ac:dyDescent="0.3">
      <c r="A1166" s="7"/>
      <c r="B1166" s="7"/>
      <c r="C1166" s="7"/>
    </row>
    <row r="1167" spans="1:3" ht="12.45" x14ac:dyDescent="0.3">
      <c r="A1167" s="7"/>
      <c r="B1167" s="7"/>
      <c r="C1167" s="7"/>
    </row>
    <row r="1168" spans="1:3" ht="12.45" x14ac:dyDescent="0.3">
      <c r="A1168" s="7"/>
      <c r="B1168" s="7"/>
      <c r="C1168" s="7"/>
    </row>
    <row r="1169" spans="1:3" ht="12.45" x14ac:dyDescent="0.3">
      <c r="A1169" s="7"/>
      <c r="B1169" s="7"/>
      <c r="C1169" s="7"/>
    </row>
    <row r="1170" spans="1:3" ht="12.45" x14ac:dyDescent="0.3">
      <c r="A1170" s="7"/>
      <c r="B1170" s="7"/>
      <c r="C1170" s="7"/>
    </row>
    <row r="1171" spans="1:3" ht="12.45" x14ac:dyDescent="0.3">
      <c r="A1171" s="7"/>
      <c r="B1171" s="7"/>
      <c r="C1171" s="7"/>
    </row>
    <row r="1172" spans="1:3" ht="12.45" x14ac:dyDescent="0.3">
      <c r="A1172" s="7"/>
      <c r="B1172" s="7"/>
      <c r="C1172" s="7"/>
    </row>
    <row r="1173" spans="1:3" ht="12.45" x14ac:dyDescent="0.3">
      <c r="A1173" s="7"/>
      <c r="B1173" s="7"/>
      <c r="C1173" s="7"/>
    </row>
    <row r="1174" spans="1:3" ht="12.45" x14ac:dyDescent="0.3">
      <c r="A1174" s="7"/>
      <c r="B1174" s="7"/>
      <c r="C1174" s="7"/>
    </row>
    <row r="1175" spans="1:3" ht="12.45" x14ac:dyDescent="0.3">
      <c r="A1175" s="7"/>
      <c r="B1175" s="7"/>
      <c r="C1175" s="7"/>
    </row>
    <row r="1176" spans="1:3" ht="12.45" x14ac:dyDescent="0.3">
      <c r="A1176" s="7"/>
      <c r="B1176" s="7"/>
      <c r="C1176" s="7"/>
    </row>
    <row r="1177" spans="1:3" ht="12.45" x14ac:dyDescent="0.3">
      <c r="A1177" s="7"/>
      <c r="B1177" s="7"/>
      <c r="C1177" s="7"/>
    </row>
    <row r="1178" spans="1:3" ht="12.45" x14ac:dyDescent="0.3">
      <c r="A1178" s="7"/>
      <c r="B1178" s="7"/>
      <c r="C1178" s="7"/>
    </row>
    <row r="1179" spans="1:3" ht="12.45" x14ac:dyDescent="0.3">
      <c r="A1179" s="7"/>
      <c r="B1179" s="7"/>
      <c r="C1179" s="7"/>
    </row>
    <row r="1180" spans="1:3" ht="12.45" x14ac:dyDescent="0.3">
      <c r="A1180" s="7"/>
      <c r="B1180" s="7"/>
      <c r="C1180" s="7"/>
    </row>
    <row r="1181" spans="1:3" ht="12.45" x14ac:dyDescent="0.3">
      <c r="A1181" s="7"/>
      <c r="B1181" s="7"/>
      <c r="C1181" s="7"/>
    </row>
    <row r="1182" spans="1:3" ht="12.45" x14ac:dyDescent="0.3">
      <c r="A1182" s="7"/>
      <c r="B1182" s="7"/>
      <c r="C1182" s="7"/>
    </row>
    <row r="1183" spans="1:3" ht="12.45" x14ac:dyDescent="0.3">
      <c r="A1183" s="7"/>
      <c r="B1183" s="7"/>
      <c r="C1183" s="7"/>
    </row>
    <row r="1184" spans="1:3" ht="12.45" x14ac:dyDescent="0.3">
      <c r="A1184" s="7"/>
      <c r="B1184" s="7"/>
      <c r="C1184" s="7"/>
    </row>
    <row r="1185" spans="1:3" ht="12.45" x14ac:dyDescent="0.3">
      <c r="A1185" s="7"/>
      <c r="B1185" s="7"/>
      <c r="C1185" s="7"/>
    </row>
    <row r="1186" spans="1:3" ht="12.45" x14ac:dyDescent="0.3">
      <c r="A1186" s="7"/>
      <c r="B1186" s="7"/>
      <c r="C1186" s="7"/>
    </row>
    <row r="1187" spans="1:3" ht="12.45" x14ac:dyDescent="0.3">
      <c r="A1187" s="7"/>
      <c r="B1187" s="7"/>
      <c r="C1187" s="7"/>
    </row>
    <row r="1188" spans="1:3" ht="12.45" x14ac:dyDescent="0.3">
      <c r="A1188" s="7"/>
      <c r="B1188" s="7"/>
      <c r="C1188" s="7"/>
    </row>
    <row r="1189" spans="1:3" ht="12.45" x14ac:dyDescent="0.3">
      <c r="A1189" s="7"/>
      <c r="B1189" s="7"/>
      <c r="C1189" s="7"/>
    </row>
    <row r="1190" spans="1:3" ht="12.45" x14ac:dyDescent="0.3">
      <c r="A1190" s="7"/>
      <c r="B1190" s="7"/>
      <c r="C1190" s="7"/>
    </row>
    <row r="1191" spans="1:3" ht="12.45" x14ac:dyDescent="0.3">
      <c r="A1191" s="7"/>
      <c r="B1191" s="7"/>
      <c r="C1191" s="7"/>
    </row>
    <row r="1192" spans="1:3" ht="12.45" x14ac:dyDescent="0.3">
      <c r="A1192" s="7"/>
      <c r="B1192" s="7"/>
      <c r="C1192" s="7"/>
    </row>
    <row r="1193" spans="1:3" ht="12.45" x14ac:dyDescent="0.3">
      <c r="A1193" s="7"/>
      <c r="B1193" s="7"/>
      <c r="C1193" s="7"/>
    </row>
    <row r="1194" spans="1:3" ht="12.45" x14ac:dyDescent="0.3">
      <c r="A1194" s="7"/>
      <c r="B1194" s="7"/>
      <c r="C1194" s="7"/>
    </row>
    <row r="1195" spans="1:3" ht="12.45" x14ac:dyDescent="0.3">
      <c r="A1195" s="7"/>
      <c r="B1195" s="7"/>
      <c r="C1195" s="7"/>
    </row>
    <row r="1196" spans="1:3" ht="12.45" x14ac:dyDescent="0.3">
      <c r="A1196" s="7"/>
      <c r="B1196" s="7"/>
      <c r="C1196" s="7"/>
    </row>
    <row r="1197" spans="1:3" ht="12.45" x14ac:dyDescent="0.3">
      <c r="A1197" s="7"/>
      <c r="B1197" s="7"/>
      <c r="C1197" s="7"/>
    </row>
    <row r="1198" spans="1:3" ht="12.45" x14ac:dyDescent="0.3">
      <c r="A1198" s="7"/>
      <c r="B1198" s="7"/>
      <c r="C1198" s="7"/>
    </row>
    <row r="1199" spans="1:3" ht="12.45" x14ac:dyDescent="0.3">
      <c r="A1199" s="7"/>
      <c r="B1199" s="7"/>
      <c r="C1199" s="7"/>
    </row>
    <row r="1200" spans="1:3" ht="12.45" x14ac:dyDescent="0.3">
      <c r="A1200" s="7"/>
      <c r="B1200" s="7"/>
      <c r="C1200" s="7"/>
    </row>
    <row r="1201" spans="1:3" ht="12.45" x14ac:dyDescent="0.3">
      <c r="A1201" s="7"/>
      <c r="B1201" s="7"/>
      <c r="C1201" s="7"/>
    </row>
    <row r="1202" spans="1:3" ht="12.45" x14ac:dyDescent="0.3">
      <c r="A1202" s="7"/>
      <c r="B1202" s="7"/>
      <c r="C1202" s="7"/>
    </row>
    <row r="1203" spans="1:3" ht="12.45" x14ac:dyDescent="0.3">
      <c r="A1203" s="7"/>
      <c r="B1203" s="7"/>
      <c r="C1203" s="7"/>
    </row>
    <row r="1204" spans="1:3" ht="12.45" x14ac:dyDescent="0.3">
      <c r="A1204" s="7"/>
      <c r="B1204" s="7"/>
      <c r="C1204" s="7"/>
    </row>
    <row r="1205" spans="1:3" ht="12.45" x14ac:dyDescent="0.3">
      <c r="A1205" s="7"/>
      <c r="B1205" s="7"/>
      <c r="C1205" s="7"/>
    </row>
    <row r="1206" spans="1:3" ht="12.45" x14ac:dyDescent="0.3">
      <c r="A1206" s="7"/>
      <c r="B1206" s="7"/>
      <c r="C1206" s="7"/>
    </row>
    <row r="1207" spans="1:3" ht="12.45" x14ac:dyDescent="0.3">
      <c r="A1207" s="7"/>
      <c r="B1207" s="7"/>
      <c r="C1207" s="7"/>
    </row>
    <row r="1208" spans="1:3" ht="12.45" x14ac:dyDescent="0.3">
      <c r="A1208" s="7"/>
      <c r="B1208" s="7"/>
      <c r="C1208" s="7"/>
    </row>
    <row r="1209" spans="1:3" ht="12.45" x14ac:dyDescent="0.3">
      <c r="A1209" s="7"/>
      <c r="B1209" s="7"/>
      <c r="C1209" s="7"/>
    </row>
    <row r="1210" spans="1:3" ht="12.45" x14ac:dyDescent="0.3">
      <c r="A1210" s="7"/>
      <c r="B1210" s="7"/>
      <c r="C1210" s="7"/>
    </row>
    <row r="1211" spans="1:3" ht="12.45" x14ac:dyDescent="0.3">
      <c r="A1211" s="7"/>
      <c r="B1211" s="7"/>
      <c r="C1211" s="7"/>
    </row>
    <row r="1212" spans="1:3" ht="12.45" x14ac:dyDescent="0.3">
      <c r="A1212" s="7"/>
      <c r="B1212" s="7"/>
      <c r="C1212" s="7"/>
    </row>
    <row r="1213" spans="1:3" ht="12.45" x14ac:dyDescent="0.3">
      <c r="A1213" s="7"/>
      <c r="B1213" s="7"/>
      <c r="C1213" s="7"/>
    </row>
    <row r="1214" spans="1:3" ht="12.45" x14ac:dyDescent="0.3">
      <c r="A1214" s="7"/>
      <c r="B1214" s="7"/>
      <c r="C1214" s="7"/>
    </row>
    <row r="1215" spans="1:3" ht="12.45" x14ac:dyDescent="0.3">
      <c r="A1215" s="7"/>
      <c r="B1215" s="7"/>
      <c r="C1215" s="7"/>
    </row>
    <row r="1216" spans="1:3" ht="12.45" x14ac:dyDescent="0.3">
      <c r="A1216" s="7"/>
      <c r="B1216" s="7"/>
      <c r="C1216" s="7"/>
    </row>
    <row r="1217" spans="1:3" ht="12.45" x14ac:dyDescent="0.3">
      <c r="A1217" s="7"/>
      <c r="B1217" s="7"/>
      <c r="C1217" s="7"/>
    </row>
    <row r="1218" spans="1:3" ht="12.45" x14ac:dyDescent="0.3">
      <c r="A1218" s="7"/>
      <c r="B1218" s="7"/>
      <c r="C1218" s="7"/>
    </row>
    <row r="1219" spans="1:3" ht="12.45" x14ac:dyDescent="0.3">
      <c r="A1219" s="7"/>
      <c r="B1219" s="7"/>
      <c r="C1219" s="7"/>
    </row>
    <row r="1220" spans="1:3" ht="12.45" x14ac:dyDescent="0.3">
      <c r="A1220" s="7"/>
      <c r="B1220" s="7"/>
      <c r="C1220" s="7"/>
    </row>
    <row r="1221" spans="1:3" ht="12.45" x14ac:dyDescent="0.3">
      <c r="A1221" s="7"/>
      <c r="B1221" s="7"/>
      <c r="C1221" s="7"/>
    </row>
    <row r="1222" spans="1:3" ht="12.45" x14ac:dyDescent="0.3">
      <c r="A1222" s="7"/>
      <c r="B1222" s="7"/>
      <c r="C1222" s="7"/>
    </row>
    <row r="1223" spans="1:3" ht="12.45" x14ac:dyDescent="0.3">
      <c r="A1223" s="7"/>
      <c r="B1223" s="7"/>
      <c r="C1223" s="7"/>
    </row>
    <row r="1224" spans="1:3" ht="12.45" x14ac:dyDescent="0.3">
      <c r="A1224" s="7"/>
      <c r="B1224" s="7"/>
      <c r="C1224" s="7"/>
    </row>
    <row r="1225" spans="1:3" ht="12.45" x14ac:dyDescent="0.3">
      <c r="A1225" s="7"/>
      <c r="B1225" s="7"/>
      <c r="C1225" s="7"/>
    </row>
    <row r="1226" spans="1:3" ht="12.45" x14ac:dyDescent="0.3">
      <c r="A1226" s="7"/>
      <c r="B1226" s="7"/>
      <c r="C1226" s="7"/>
    </row>
    <row r="1227" spans="1:3" ht="12.45" x14ac:dyDescent="0.3">
      <c r="A1227" s="7"/>
      <c r="B1227" s="7"/>
      <c r="C1227" s="7"/>
    </row>
    <row r="1228" spans="1:3" ht="12.45" x14ac:dyDescent="0.3">
      <c r="A1228" s="7"/>
      <c r="B1228" s="7"/>
      <c r="C1228" s="7"/>
    </row>
    <row r="1229" spans="1:3" ht="12.45" x14ac:dyDescent="0.3">
      <c r="A1229" s="7"/>
      <c r="B1229" s="7"/>
      <c r="C1229" s="7"/>
    </row>
    <row r="1230" spans="1:3" ht="12.45" x14ac:dyDescent="0.3">
      <c r="A1230" s="7"/>
      <c r="B1230" s="7"/>
      <c r="C1230" s="7"/>
    </row>
    <row r="1231" spans="1:3" ht="12.45" x14ac:dyDescent="0.3">
      <c r="A1231" s="7"/>
      <c r="B1231" s="7"/>
      <c r="C1231" s="7"/>
    </row>
    <row r="1232" spans="1:3" ht="12.45" x14ac:dyDescent="0.3">
      <c r="A1232" s="7"/>
      <c r="B1232" s="7"/>
      <c r="C1232" s="7"/>
    </row>
    <row r="1233" spans="1:3" ht="12.45" x14ac:dyDescent="0.3">
      <c r="A1233" s="7"/>
      <c r="B1233" s="7"/>
      <c r="C1233" s="7"/>
    </row>
    <row r="1234" spans="1:3" ht="12.45" x14ac:dyDescent="0.3">
      <c r="A1234" s="7"/>
      <c r="B1234" s="7"/>
      <c r="C1234" s="7"/>
    </row>
    <row r="1235" spans="1:3" ht="12.45" x14ac:dyDescent="0.3">
      <c r="A1235" s="7"/>
      <c r="B1235" s="7"/>
      <c r="C1235" s="7"/>
    </row>
    <row r="1236" spans="1:3" ht="12.45" x14ac:dyDescent="0.3">
      <c r="A1236" s="7"/>
      <c r="B1236" s="7"/>
      <c r="C1236" s="7"/>
    </row>
    <row r="1237" spans="1:3" ht="12.45" x14ac:dyDescent="0.3">
      <c r="A1237" s="7"/>
      <c r="B1237" s="7"/>
      <c r="C1237" s="7"/>
    </row>
    <row r="1238" spans="1:3" ht="12.45" x14ac:dyDescent="0.3">
      <c r="A1238" s="7"/>
      <c r="B1238" s="7"/>
      <c r="C1238" s="7"/>
    </row>
    <row r="1239" spans="1:3" ht="12.45" x14ac:dyDescent="0.3">
      <c r="A1239" s="7"/>
      <c r="B1239" s="7"/>
      <c r="C1239" s="7"/>
    </row>
    <row r="1240" spans="1:3" ht="12.45" x14ac:dyDescent="0.3">
      <c r="A1240" s="7"/>
      <c r="B1240" s="7"/>
      <c r="C1240" s="7"/>
    </row>
    <row r="1241" spans="1:3" ht="12.45" x14ac:dyDescent="0.3">
      <c r="A1241" s="7"/>
      <c r="B1241" s="7"/>
      <c r="C1241" s="7"/>
    </row>
    <row r="1242" spans="1:3" ht="12.45" x14ac:dyDescent="0.3">
      <c r="A1242" s="7"/>
      <c r="B1242" s="7"/>
      <c r="C1242" s="7"/>
    </row>
    <row r="1243" spans="1:3" ht="12.45" x14ac:dyDescent="0.3">
      <c r="A1243" s="7"/>
      <c r="B1243" s="7"/>
      <c r="C1243" s="7"/>
    </row>
    <row r="1244" spans="1:3" ht="12.45" x14ac:dyDescent="0.3">
      <c r="A1244" s="7"/>
      <c r="B1244" s="7"/>
      <c r="C1244" s="7"/>
    </row>
    <row r="1245" spans="1:3" ht="12.45" x14ac:dyDescent="0.3">
      <c r="A1245" s="7"/>
      <c r="B1245" s="7"/>
      <c r="C1245" s="7"/>
    </row>
    <row r="1246" spans="1:3" ht="12.45" x14ac:dyDescent="0.3">
      <c r="A1246" s="7"/>
      <c r="B1246" s="7"/>
      <c r="C1246" s="7"/>
    </row>
    <row r="1247" spans="1:3" ht="12.45" x14ac:dyDescent="0.3">
      <c r="A1247" s="7"/>
      <c r="B1247" s="7"/>
      <c r="C1247" s="7"/>
    </row>
    <row r="1248" spans="1:3" ht="12.45" x14ac:dyDescent="0.3">
      <c r="A1248" s="7"/>
      <c r="B1248" s="7"/>
      <c r="C1248" s="7"/>
    </row>
    <row r="1249" spans="1:3" ht="12.45" x14ac:dyDescent="0.3">
      <c r="A1249" s="7"/>
      <c r="B1249" s="7"/>
      <c r="C1249" s="7"/>
    </row>
    <row r="1250" spans="1:3" ht="12.45" x14ac:dyDescent="0.3">
      <c r="A1250" s="7"/>
      <c r="B1250" s="7"/>
      <c r="C1250" s="7"/>
    </row>
    <row r="1251" spans="1:3" ht="12.45" x14ac:dyDescent="0.3">
      <c r="A1251" s="7"/>
      <c r="B1251" s="7"/>
      <c r="C1251" s="7"/>
    </row>
    <row r="1252" spans="1:3" ht="12.45" x14ac:dyDescent="0.3">
      <c r="A1252" s="7"/>
      <c r="B1252" s="7"/>
      <c r="C1252" s="7"/>
    </row>
    <row r="1253" spans="1:3" ht="12.45" x14ac:dyDescent="0.3">
      <c r="A1253" s="7"/>
      <c r="B1253" s="7"/>
      <c r="C1253" s="7"/>
    </row>
    <row r="1254" spans="1:3" ht="12.45" x14ac:dyDescent="0.3">
      <c r="A1254" s="7"/>
      <c r="B1254" s="7"/>
      <c r="C1254" s="7"/>
    </row>
    <row r="1255" spans="1:3" ht="12.45" x14ac:dyDescent="0.3">
      <c r="A1255" s="7"/>
      <c r="B1255" s="7"/>
      <c r="C1255" s="7"/>
    </row>
    <row r="1256" spans="1:3" ht="12.45" x14ac:dyDescent="0.3">
      <c r="A1256" s="7"/>
      <c r="B1256" s="7"/>
      <c r="C1256" s="7"/>
    </row>
    <row r="1257" spans="1:3" ht="12.45" x14ac:dyDescent="0.3">
      <c r="A1257" s="7"/>
      <c r="B1257" s="7"/>
      <c r="C1257" s="7"/>
    </row>
    <row r="1258" spans="1:3" ht="12.45" x14ac:dyDescent="0.3">
      <c r="A1258" s="7"/>
      <c r="B1258" s="7"/>
      <c r="C1258" s="7"/>
    </row>
    <row r="1259" spans="1:3" ht="12.45" x14ac:dyDescent="0.3">
      <c r="A1259" s="7"/>
      <c r="B1259" s="7"/>
      <c r="C1259" s="7"/>
    </row>
    <row r="1260" spans="1:3" ht="12.45" x14ac:dyDescent="0.3">
      <c r="A1260" s="7"/>
      <c r="B1260" s="7"/>
      <c r="C1260" s="7"/>
    </row>
    <row r="1261" spans="1:3" ht="12.45" x14ac:dyDescent="0.3">
      <c r="A1261" s="7"/>
      <c r="B1261" s="7"/>
      <c r="C1261" s="7"/>
    </row>
    <row r="1262" spans="1:3" ht="12.45" x14ac:dyDescent="0.3">
      <c r="A1262" s="7"/>
      <c r="B1262" s="7"/>
      <c r="C1262" s="7"/>
    </row>
    <row r="1263" spans="1:3" ht="12.45" x14ac:dyDescent="0.3">
      <c r="A1263" s="7"/>
      <c r="B1263" s="7"/>
      <c r="C1263" s="7"/>
    </row>
    <row r="1264" spans="1:3" ht="12.45" x14ac:dyDescent="0.3">
      <c r="A1264" s="7"/>
      <c r="B1264" s="7"/>
      <c r="C1264" s="7"/>
    </row>
    <row r="1265" spans="1:3" ht="12.45" x14ac:dyDescent="0.3">
      <c r="A1265" s="7"/>
      <c r="B1265" s="7"/>
      <c r="C1265" s="7"/>
    </row>
    <row r="1266" spans="1:3" ht="12.45" x14ac:dyDescent="0.3">
      <c r="A1266" s="7"/>
      <c r="B1266" s="7"/>
      <c r="C1266" s="7"/>
    </row>
    <row r="1267" spans="1:3" ht="12.45" x14ac:dyDescent="0.3">
      <c r="A1267" s="7"/>
      <c r="B1267" s="7"/>
      <c r="C1267" s="7"/>
    </row>
    <row r="1268" spans="1:3" ht="12.45" x14ac:dyDescent="0.3">
      <c r="A1268" s="7"/>
      <c r="B1268" s="7"/>
      <c r="C1268" s="7"/>
    </row>
    <row r="1269" spans="1:3" ht="12.45" x14ac:dyDescent="0.3">
      <c r="A1269" s="7"/>
      <c r="B1269" s="7"/>
      <c r="C1269" s="7"/>
    </row>
    <row r="1270" spans="1:3" ht="12.45" x14ac:dyDescent="0.3">
      <c r="A1270" s="7"/>
      <c r="B1270" s="7"/>
      <c r="C1270" s="7"/>
    </row>
    <row r="1271" spans="1:3" ht="12.45" x14ac:dyDescent="0.3">
      <c r="A1271" s="7"/>
      <c r="B1271" s="7"/>
      <c r="C1271" s="7"/>
    </row>
    <row r="1272" spans="1:3" ht="12.45" x14ac:dyDescent="0.3">
      <c r="A1272" s="7"/>
      <c r="B1272" s="7"/>
      <c r="C1272" s="7"/>
    </row>
    <row r="1273" spans="1:3" ht="12.45" x14ac:dyDescent="0.3">
      <c r="A1273" s="7"/>
      <c r="B1273" s="7"/>
      <c r="C1273" s="7"/>
    </row>
    <row r="1274" spans="1:3" ht="12.45" x14ac:dyDescent="0.3">
      <c r="A1274" s="7"/>
      <c r="B1274" s="7"/>
      <c r="C1274" s="7"/>
    </row>
    <row r="1275" spans="1:3" ht="12.45" x14ac:dyDescent="0.3">
      <c r="A1275" s="7"/>
      <c r="B1275" s="7"/>
      <c r="C1275" s="7"/>
    </row>
    <row r="1276" spans="1:3" ht="12.45" x14ac:dyDescent="0.3">
      <c r="A1276" s="7"/>
      <c r="B1276" s="7"/>
      <c r="C1276" s="7"/>
    </row>
    <row r="1277" spans="1:3" ht="12.45" x14ac:dyDescent="0.3">
      <c r="A1277" s="7"/>
      <c r="B1277" s="7"/>
      <c r="C1277" s="7"/>
    </row>
    <row r="1278" spans="1:3" ht="12.45" x14ac:dyDescent="0.3">
      <c r="A1278" s="7"/>
      <c r="B1278" s="7"/>
      <c r="C1278" s="7"/>
    </row>
    <row r="1279" spans="1:3" ht="12.45" x14ac:dyDescent="0.3">
      <c r="A1279" s="7"/>
      <c r="B1279" s="7"/>
      <c r="C1279" s="7"/>
    </row>
    <row r="1280" spans="1:3" ht="12.45" x14ac:dyDescent="0.3">
      <c r="A1280" s="7"/>
      <c r="B1280" s="7"/>
      <c r="C1280" s="7"/>
    </row>
    <row r="1281" spans="1:3" ht="12.45" x14ac:dyDescent="0.3">
      <c r="A1281" s="7"/>
      <c r="B1281" s="7"/>
      <c r="C1281" s="7"/>
    </row>
    <row r="1282" spans="1:3" ht="12.45" x14ac:dyDescent="0.3">
      <c r="A1282" s="7"/>
      <c r="B1282" s="7"/>
      <c r="C1282" s="7"/>
    </row>
    <row r="1283" spans="1:3" ht="12.45" x14ac:dyDescent="0.3">
      <c r="A1283" s="7"/>
      <c r="B1283" s="7"/>
      <c r="C1283" s="7"/>
    </row>
    <row r="1284" spans="1:3" ht="12.45" x14ac:dyDescent="0.3">
      <c r="A1284" s="7"/>
      <c r="B1284" s="7"/>
      <c r="C1284" s="7"/>
    </row>
    <row r="1285" spans="1:3" ht="12.45" x14ac:dyDescent="0.3">
      <c r="A1285" s="7"/>
      <c r="B1285" s="7"/>
      <c r="C1285" s="7"/>
    </row>
    <row r="1286" spans="1:3" ht="12.45" x14ac:dyDescent="0.3">
      <c r="A1286" s="7"/>
      <c r="B1286" s="7"/>
      <c r="C1286" s="7"/>
    </row>
    <row r="1287" spans="1:3" ht="12.45" x14ac:dyDescent="0.3">
      <c r="A1287" s="7"/>
      <c r="B1287" s="7"/>
      <c r="C1287" s="7"/>
    </row>
    <row r="1288" spans="1:3" ht="12.45" x14ac:dyDescent="0.3">
      <c r="A1288" s="7"/>
      <c r="B1288" s="7"/>
      <c r="C1288" s="7"/>
    </row>
    <row r="1289" spans="1:3" ht="12.45" x14ac:dyDescent="0.3">
      <c r="A1289" s="7"/>
      <c r="B1289" s="7"/>
      <c r="C1289" s="7"/>
    </row>
    <row r="1290" spans="1:3" ht="12.45" x14ac:dyDescent="0.3">
      <c r="A1290" s="7"/>
      <c r="B1290" s="7"/>
      <c r="C1290" s="7"/>
    </row>
    <row r="1291" spans="1:3" ht="12.45" x14ac:dyDescent="0.3">
      <c r="A1291" s="7"/>
      <c r="B1291" s="7"/>
      <c r="C1291" s="7"/>
    </row>
    <row r="1292" spans="1:3" ht="12.45" x14ac:dyDescent="0.3">
      <c r="A1292" s="7"/>
      <c r="B1292" s="7"/>
      <c r="C1292" s="7"/>
    </row>
    <row r="1293" spans="1:3" ht="12.45" x14ac:dyDescent="0.3">
      <c r="A1293" s="7"/>
      <c r="B1293" s="7"/>
      <c r="C1293" s="7"/>
    </row>
    <row r="1294" spans="1:3" ht="12.45" x14ac:dyDescent="0.3">
      <c r="A1294" s="7"/>
      <c r="B1294" s="7"/>
      <c r="C1294" s="7"/>
    </row>
    <row r="1295" spans="1:3" ht="12.45" x14ac:dyDescent="0.3">
      <c r="A1295" s="7"/>
      <c r="B1295" s="7"/>
      <c r="C1295" s="7"/>
    </row>
    <row r="1296" spans="1:3" ht="12.45" x14ac:dyDescent="0.3">
      <c r="A1296" s="7"/>
      <c r="B1296" s="7"/>
      <c r="C1296" s="7"/>
    </row>
    <row r="1297" spans="1:3" ht="12.45" x14ac:dyDescent="0.3">
      <c r="A1297" s="7"/>
      <c r="B1297" s="7"/>
      <c r="C1297" s="7"/>
    </row>
    <row r="1298" spans="1:3" ht="12.45" x14ac:dyDescent="0.3">
      <c r="A1298" s="7"/>
      <c r="B1298" s="7"/>
      <c r="C1298" s="7"/>
    </row>
    <row r="1299" spans="1:3" ht="12.45" x14ac:dyDescent="0.3">
      <c r="A1299" s="7"/>
      <c r="B1299" s="7"/>
      <c r="C1299" s="7"/>
    </row>
    <row r="1300" spans="1:3" ht="12.45" x14ac:dyDescent="0.3">
      <c r="A1300" s="7"/>
      <c r="B1300" s="7"/>
      <c r="C1300" s="7"/>
    </row>
    <row r="1301" spans="1:3" ht="12.45" x14ac:dyDescent="0.3">
      <c r="A1301" s="7"/>
      <c r="B1301" s="7"/>
      <c r="C1301" s="7"/>
    </row>
    <row r="1302" spans="1:3" ht="12.45" x14ac:dyDescent="0.3">
      <c r="A1302" s="7"/>
      <c r="B1302" s="7"/>
      <c r="C1302" s="7"/>
    </row>
    <row r="1303" spans="1:3" ht="12.45" x14ac:dyDescent="0.3">
      <c r="A1303" s="7"/>
      <c r="B1303" s="7"/>
      <c r="C1303" s="7"/>
    </row>
    <row r="1304" spans="1:3" ht="12.45" x14ac:dyDescent="0.3">
      <c r="A1304" s="7"/>
      <c r="B1304" s="7"/>
      <c r="C1304" s="7"/>
    </row>
    <row r="1305" spans="1:3" ht="12.45" x14ac:dyDescent="0.3">
      <c r="A1305" s="7"/>
      <c r="B1305" s="7"/>
      <c r="C1305" s="7"/>
    </row>
    <row r="1306" spans="1:3" ht="12.45" x14ac:dyDescent="0.3">
      <c r="A1306" s="7"/>
      <c r="B1306" s="7"/>
      <c r="C1306" s="7"/>
    </row>
    <row r="1307" spans="1:3" ht="12.45" x14ac:dyDescent="0.3">
      <c r="A1307" s="7"/>
      <c r="B1307" s="7"/>
      <c r="C1307" s="7"/>
    </row>
    <row r="1308" spans="1:3" ht="12.45" x14ac:dyDescent="0.3">
      <c r="A1308" s="7"/>
      <c r="B1308" s="7"/>
      <c r="C1308" s="7"/>
    </row>
    <row r="1309" spans="1:3" ht="12.45" x14ac:dyDescent="0.3">
      <c r="A1309" s="7"/>
      <c r="B1309" s="7"/>
      <c r="C1309" s="7"/>
    </row>
    <row r="1310" spans="1:3" ht="12.45" x14ac:dyDescent="0.3">
      <c r="A1310" s="7"/>
      <c r="B1310" s="7"/>
      <c r="C1310" s="7"/>
    </row>
    <row r="1311" spans="1:3" ht="12.45" x14ac:dyDescent="0.3">
      <c r="A1311" s="7"/>
      <c r="B1311" s="7"/>
      <c r="C1311" s="7"/>
    </row>
    <row r="1312" spans="1:3" ht="12.45" x14ac:dyDescent="0.3">
      <c r="A1312" s="7"/>
      <c r="B1312" s="7"/>
      <c r="C1312" s="7"/>
    </row>
    <row r="1313" spans="1:3" ht="12.45" x14ac:dyDescent="0.3">
      <c r="A1313" s="7"/>
      <c r="B1313" s="7"/>
      <c r="C1313" s="7"/>
    </row>
    <row r="1314" spans="1:3" ht="12.45" x14ac:dyDescent="0.3">
      <c r="A1314" s="7"/>
      <c r="B1314" s="7"/>
      <c r="C1314" s="7"/>
    </row>
    <row r="1315" spans="1:3" ht="12.45" x14ac:dyDescent="0.3">
      <c r="A1315" s="7"/>
      <c r="B1315" s="7"/>
      <c r="C1315" s="7"/>
    </row>
    <row r="1316" spans="1:3" ht="12.45" x14ac:dyDescent="0.3">
      <c r="A1316" s="7"/>
      <c r="B1316" s="7"/>
      <c r="C1316" s="7"/>
    </row>
    <row r="1317" spans="1:3" ht="12.45" x14ac:dyDescent="0.3">
      <c r="A1317" s="7"/>
      <c r="B1317" s="7"/>
      <c r="C1317" s="7"/>
    </row>
    <row r="1318" spans="1:3" ht="12.45" x14ac:dyDescent="0.3">
      <c r="A1318" s="7"/>
      <c r="B1318" s="7"/>
      <c r="C1318" s="7"/>
    </row>
    <row r="1319" spans="1:3" ht="12.45" x14ac:dyDescent="0.3">
      <c r="A1319" s="7"/>
      <c r="B1319" s="7"/>
      <c r="C1319" s="7"/>
    </row>
    <row r="1320" spans="1:3" ht="12.45" x14ac:dyDescent="0.3">
      <c r="A1320" s="7"/>
      <c r="B1320" s="7"/>
      <c r="C1320" s="7"/>
    </row>
    <row r="1321" spans="1:3" ht="12.45" x14ac:dyDescent="0.3">
      <c r="A1321" s="7"/>
      <c r="B1321" s="7"/>
      <c r="C1321" s="7"/>
    </row>
    <row r="1322" spans="1:3" ht="12.45" x14ac:dyDescent="0.3">
      <c r="A1322" s="7"/>
      <c r="B1322" s="7"/>
      <c r="C1322" s="7"/>
    </row>
    <row r="1323" spans="1:3" ht="12.45" x14ac:dyDescent="0.3">
      <c r="A1323" s="7"/>
      <c r="B1323" s="7"/>
      <c r="C1323" s="7"/>
    </row>
    <row r="1324" spans="1:3" ht="12.45" x14ac:dyDescent="0.3">
      <c r="A1324" s="7"/>
      <c r="B1324" s="7"/>
      <c r="C1324" s="7"/>
    </row>
    <row r="1325" spans="1:3" ht="12.45" x14ac:dyDescent="0.3">
      <c r="A1325" s="7"/>
      <c r="B1325" s="7"/>
      <c r="C1325" s="7"/>
    </row>
    <row r="1326" spans="1:3" ht="12.45" x14ac:dyDescent="0.3">
      <c r="A1326" s="7"/>
      <c r="B1326" s="7"/>
      <c r="C1326" s="7"/>
    </row>
    <row r="1327" spans="1:3" ht="12.45" x14ac:dyDescent="0.3">
      <c r="A1327" s="7"/>
      <c r="B1327" s="7"/>
      <c r="C1327" s="7"/>
    </row>
    <row r="1328" spans="1:3" ht="12.45" x14ac:dyDescent="0.3">
      <c r="A1328" s="7"/>
      <c r="B1328" s="7"/>
      <c r="C1328" s="7"/>
    </row>
    <row r="1329" spans="1:3" ht="12.45" x14ac:dyDescent="0.3">
      <c r="A1329" s="7"/>
      <c r="B1329" s="7"/>
      <c r="C1329" s="7"/>
    </row>
    <row r="1330" spans="1:3" ht="12.45" x14ac:dyDescent="0.3">
      <c r="A1330" s="7"/>
      <c r="B1330" s="7"/>
      <c r="C1330" s="7"/>
    </row>
    <row r="1331" spans="1:3" ht="12.45" x14ac:dyDescent="0.3">
      <c r="A1331" s="7"/>
      <c r="B1331" s="7"/>
      <c r="C1331" s="7"/>
    </row>
    <row r="1332" spans="1:3" ht="12.45" x14ac:dyDescent="0.3">
      <c r="A1332" s="7"/>
      <c r="B1332" s="7"/>
      <c r="C1332" s="7"/>
    </row>
    <row r="1333" spans="1:3" ht="12.45" x14ac:dyDescent="0.3">
      <c r="A1333" s="7"/>
      <c r="B1333" s="7"/>
      <c r="C1333" s="7"/>
    </row>
    <row r="1334" spans="1:3" ht="12.45" x14ac:dyDescent="0.3">
      <c r="A1334" s="7"/>
      <c r="B1334" s="7"/>
      <c r="C1334" s="7"/>
    </row>
    <row r="1335" spans="1:3" ht="12.45" x14ac:dyDescent="0.3">
      <c r="A1335" s="7"/>
      <c r="B1335" s="7"/>
      <c r="C1335" s="7"/>
    </row>
    <row r="1336" spans="1:3" ht="12.45" x14ac:dyDescent="0.3">
      <c r="A1336" s="7"/>
      <c r="B1336" s="7"/>
      <c r="C1336" s="7"/>
    </row>
    <row r="1337" spans="1:3" ht="12.45" x14ac:dyDescent="0.3">
      <c r="A1337" s="7"/>
      <c r="B1337" s="7"/>
      <c r="C1337" s="7"/>
    </row>
    <row r="1338" spans="1:3" ht="12.45" x14ac:dyDescent="0.3">
      <c r="A1338" s="7"/>
      <c r="B1338" s="7"/>
      <c r="C1338" s="7"/>
    </row>
    <row r="1339" spans="1:3" ht="12.45" x14ac:dyDescent="0.3">
      <c r="A1339" s="7"/>
      <c r="B1339" s="7"/>
      <c r="C1339" s="7"/>
    </row>
    <row r="1340" spans="1:3" ht="12.45" x14ac:dyDescent="0.3">
      <c r="A1340" s="7"/>
      <c r="B1340" s="7"/>
      <c r="C1340" s="7"/>
    </row>
    <row r="1341" spans="1:3" ht="12.45" x14ac:dyDescent="0.3">
      <c r="A1341" s="7"/>
      <c r="B1341" s="7"/>
      <c r="C1341" s="7"/>
    </row>
    <row r="1342" spans="1:3" ht="12.45" x14ac:dyDescent="0.3">
      <c r="A1342" s="7"/>
      <c r="B1342" s="7"/>
      <c r="C1342" s="7"/>
    </row>
    <row r="1343" spans="1:3" ht="12.45" x14ac:dyDescent="0.3">
      <c r="A1343" s="7"/>
      <c r="B1343" s="7"/>
      <c r="C1343" s="7"/>
    </row>
    <row r="1344" spans="1:3" ht="12.45" x14ac:dyDescent="0.3">
      <c r="A1344" s="7"/>
      <c r="B1344" s="7"/>
      <c r="C1344" s="7"/>
    </row>
    <row r="1345" spans="1:3" ht="12.45" x14ac:dyDescent="0.3">
      <c r="A1345" s="7"/>
      <c r="B1345" s="7"/>
      <c r="C1345" s="7"/>
    </row>
    <row r="1346" spans="1:3" ht="12.45" x14ac:dyDescent="0.3">
      <c r="A1346" s="7"/>
      <c r="B1346" s="7"/>
      <c r="C1346" s="7"/>
    </row>
    <row r="1347" spans="1:3" ht="12.45" x14ac:dyDescent="0.3">
      <c r="A1347" s="7"/>
      <c r="B1347" s="7"/>
      <c r="C1347" s="7"/>
    </row>
    <row r="1348" spans="1:3" ht="12.45" x14ac:dyDescent="0.3">
      <c r="A1348" s="7"/>
      <c r="B1348" s="7"/>
      <c r="C1348" s="7"/>
    </row>
    <row r="1349" spans="1:3" ht="12.45" x14ac:dyDescent="0.3">
      <c r="A1349" s="7"/>
      <c r="B1349" s="7"/>
      <c r="C1349" s="7"/>
    </row>
    <row r="1350" spans="1:3" ht="12.45" x14ac:dyDescent="0.3">
      <c r="A1350" s="7"/>
      <c r="B1350" s="7"/>
      <c r="C1350" s="7"/>
    </row>
    <row r="1351" spans="1:3" ht="12.45" x14ac:dyDescent="0.3">
      <c r="A1351" s="7"/>
      <c r="B1351" s="7"/>
      <c r="C1351" s="7"/>
    </row>
    <row r="1352" spans="1:3" ht="12.45" x14ac:dyDescent="0.3">
      <c r="A1352" s="7"/>
      <c r="B1352" s="7"/>
      <c r="C1352" s="7"/>
    </row>
    <row r="1353" spans="1:3" ht="12.45" x14ac:dyDescent="0.3">
      <c r="A1353" s="7"/>
      <c r="B1353" s="7"/>
      <c r="C1353" s="7"/>
    </row>
    <row r="1354" spans="1:3" ht="12.45" x14ac:dyDescent="0.3">
      <c r="A1354" s="7"/>
      <c r="B1354" s="7"/>
      <c r="C1354" s="7"/>
    </row>
    <row r="1355" spans="1:3" ht="12.45" x14ac:dyDescent="0.3">
      <c r="A1355" s="7"/>
      <c r="B1355" s="7"/>
      <c r="C1355" s="7"/>
    </row>
    <row r="1356" spans="1:3" ht="12.45" x14ac:dyDescent="0.3">
      <c r="A1356" s="7"/>
      <c r="B1356" s="7"/>
      <c r="C1356" s="7"/>
    </row>
    <row r="1357" spans="1:3" ht="12.45" x14ac:dyDescent="0.3">
      <c r="A1357" s="7"/>
      <c r="B1357" s="7"/>
      <c r="C1357" s="7"/>
    </row>
    <row r="1358" spans="1:3" ht="12.45" x14ac:dyDescent="0.3">
      <c r="A1358" s="7"/>
      <c r="B1358" s="7"/>
      <c r="C1358" s="7"/>
    </row>
    <row r="1359" spans="1:3" ht="12.45" x14ac:dyDescent="0.3">
      <c r="A1359" s="7"/>
      <c r="B1359" s="7"/>
      <c r="C1359" s="7"/>
    </row>
    <row r="1360" spans="1:3" ht="12.45" x14ac:dyDescent="0.3">
      <c r="A1360" s="7"/>
      <c r="B1360" s="7"/>
      <c r="C1360" s="7"/>
    </row>
    <row r="1361" spans="1:3" ht="12.45" x14ac:dyDescent="0.3">
      <c r="A1361" s="7"/>
      <c r="B1361" s="7"/>
      <c r="C1361" s="7"/>
    </row>
    <row r="1362" spans="1:3" ht="12.45" x14ac:dyDescent="0.3">
      <c r="A1362" s="7"/>
      <c r="B1362" s="7"/>
      <c r="C1362" s="7"/>
    </row>
    <row r="1363" spans="1:3" ht="12.45" x14ac:dyDescent="0.3">
      <c r="A1363" s="7"/>
      <c r="B1363" s="7"/>
      <c r="C1363" s="7"/>
    </row>
    <row r="1364" spans="1:3" ht="12.45" x14ac:dyDescent="0.3">
      <c r="A1364" s="7"/>
      <c r="B1364" s="7"/>
      <c r="C1364" s="7"/>
    </row>
    <row r="1365" spans="1:3" ht="12.45" x14ac:dyDescent="0.3">
      <c r="A1365" s="7"/>
      <c r="B1365" s="7"/>
      <c r="C1365" s="7"/>
    </row>
    <row r="1366" spans="1:3" ht="12.45" x14ac:dyDescent="0.3">
      <c r="A1366" s="7"/>
      <c r="B1366" s="7"/>
      <c r="C1366" s="7"/>
    </row>
    <row r="1367" spans="1:3" ht="12.45" x14ac:dyDescent="0.3">
      <c r="A1367" s="7"/>
      <c r="B1367" s="7"/>
      <c r="C1367" s="7"/>
    </row>
    <row r="1368" spans="1:3" ht="12.45" x14ac:dyDescent="0.3">
      <c r="A1368" s="7"/>
      <c r="B1368" s="7"/>
      <c r="C1368" s="7"/>
    </row>
    <row r="1369" spans="1:3" ht="12.45" x14ac:dyDescent="0.3">
      <c r="A1369" s="7"/>
      <c r="B1369" s="7"/>
      <c r="C1369" s="7"/>
    </row>
    <row r="1370" spans="1:3" ht="12.45" x14ac:dyDescent="0.3">
      <c r="A1370" s="7"/>
      <c r="B1370" s="7"/>
      <c r="C1370" s="7"/>
    </row>
    <row r="1371" spans="1:3" ht="12.45" x14ac:dyDescent="0.3">
      <c r="A1371" s="7"/>
      <c r="B1371" s="7"/>
      <c r="C1371" s="7"/>
    </row>
    <row r="1372" spans="1:3" ht="12.45" x14ac:dyDescent="0.3">
      <c r="A1372" s="7"/>
      <c r="B1372" s="7"/>
      <c r="C1372" s="7"/>
    </row>
    <row r="1373" spans="1:3" ht="12.45" x14ac:dyDescent="0.3">
      <c r="A1373" s="7"/>
      <c r="B1373" s="7"/>
      <c r="C1373" s="7"/>
    </row>
    <row r="1374" spans="1:3" ht="12.45" x14ac:dyDescent="0.3">
      <c r="A1374" s="7"/>
      <c r="B1374" s="7"/>
      <c r="C1374" s="7"/>
    </row>
    <row r="1375" spans="1:3" ht="12.45" x14ac:dyDescent="0.3">
      <c r="A1375" s="7"/>
      <c r="B1375" s="7"/>
      <c r="C1375" s="7"/>
    </row>
    <row r="1376" spans="1:3" ht="12.45" x14ac:dyDescent="0.3">
      <c r="A1376" s="7"/>
      <c r="B1376" s="7"/>
      <c r="C1376" s="7"/>
    </row>
    <row r="1377" spans="1:3" ht="12.45" x14ac:dyDescent="0.3">
      <c r="A1377" s="7"/>
      <c r="B1377" s="7"/>
      <c r="C1377" s="7"/>
    </row>
    <row r="1378" spans="1:3" ht="12.45" x14ac:dyDescent="0.3">
      <c r="A1378" s="7"/>
      <c r="B1378" s="7"/>
      <c r="C1378" s="7"/>
    </row>
    <row r="1379" spans="1:3" ht="12.45" x14ac:dyDescent="0.3">
      <c r="A1379" s="7"/>
      <c r="B1379" s="7"/>
      <c r="C1379" s="7"/>
    </row>
    <row r="1380" spans="1:3" ht="12.45" x14ac:dyDescent="0.3">
      <c r="A1380" s="7"/>
      <c r="B1380" s="7"/>
      <c r="C1380" s="7"/>
    </row>
    <row r="1381" spans="1:3" ht="12.45" x14ac:dyDescent="0.3">
      <c r="A1381" s="7"/>
      <c r="B1381" s="7"/>
      <c r="C1381" s="7"/>
    </row>
    <row r="1382" spans="1:3" ht="12.45" x14ac:dyDescent="0.3">
      <c r="A1382" s="7"/>
      <c r="B1382" s="7"/>
      <c r="C1382" s="7"/>
    </row>
    <row r="1383" spans="1:3" ht="12.45" x14ac:dyDescent="0.3">
      <c r="A1383" s="7"/>
      <c r="B1383" s="7"/>
      <c r="C1383" s="7"/>
    </row>
    <row r="1384" spans="1:3" ht="12.45" x14ac:dyDescent="0.3">
      <c r="A1384" s="7"/>
      <c r="B1384" s="7"/>
      <c r="C1384" s="7"/>
    </row>
    <row r="1385" spans="1:3" ht="12.45" x14ac:dyDescent="0.3">
      <c r="A1385" s="7"/>
      <c r="B1385" s="7"/>
      <c r="C1385" s="7"/>
    </row>
    <row r="1386" spans="1:3" ht="12.45" x14ac:dyDescent="0.3">
      <c r="A1386" s="7"/>
      <c r="B1386" s="7"/>
      <c r="C1386" s="7"/>
    </row>
    <row r="1387" spans="1:3" ht="12.45" x14ac:dyDescent="0.3">
      <c r="A1387" s="7"/>
      <c r="B1387" s="7"/>
      <c r="C1387" s="7"/>
    </row>
    <row r="1388" spans="1:3" ht="12.45" x14ac:dyDescent="0.3">
      <c r="A1388" s="7"/>
      <c r="B1388" s="7"/>
      <c r="C1388" s="7"/>
    </row>
    <row r="1389" spans="1:3" ht="12.45" x14ac:dyDescent="0.3">
      <c r="A1389" s="7"/>
      <c r="B1389" s="7"/>
      <c r="C1389" s="7"/>
    </row>
    <row r="1390" spans="1:3" ht="12.45" x14ac:dyDescent="0.3">
      <c r="A1390" s="7"/>
      <c r="B1390" s="7"/>
      <c r="C1390" s="7"/>
    </row>
    <row r="1391" spans="1:3" ht="12.45" x14ac:dyDescent="0.3">
      <c r="A1391" s="7"/>
      <c r="B1391" s="7"/>
      <c r="C1391" s="7"/>
    </row>
    <row r="1392" spans="1:3" ht="12.45" x14ac:dyDescent="0.3">
      <c r="A1392" s="7"/>
      <c r="B1392" s="7"/>
      <c r="C1392" s="7"/>
    </row>
    <row r="1393" spans="1:3" ht="12.45" x14ac:dyDescent="0.3">
      <c r="A1393" s="7"/>
      <c r="B1393" s="7"/>
      <c r="C1393" s="7"/>
    </row>
    <row r="1394" spans="1:3" ht="12.45" x14ac:dyDescent="0.3">
      <c r="A1394" s="7"/>
      <c r="B1394" s="7"/>
      <c r="C1394" s="7"/>
    </row>
    <row r="1395" spans="1:3" ht="12.45" x14ac:dyDescent="0.3">
      <c r="A1395" s="7"/>
      <c r="B1395" s="7"/>
      <c r="C1395" s="7"/>
    </row>
    <row r="1396" spans="1:3" ht="12.45" x14ac:dyDescent="0.3">
      <c r="A1396" s="7"/>
      <c r="B1396" s="7"/>
      <c r="C1396" s="7"/>
    </row>
    <row r="1397" spans="1:3" ht="12.45" x14ac:dyDescent="0.3">
      <c r="A1397" s="7"/>
      <c r="B1397" s="7"/>
      <c r="C1397" s="7"/>
    </row>
    <row r="1398" spans="1:3" ht="12.45" x14ac:dyDescent="0.3">
      <c r="A1398" s="7"/>
      <c r="B1398" s="7"/>
      <c r="C1398" s="7"/>
    </row>
    <row r="1399" spans="1:3" ht="12.45" x14ac:dyDescent="0.3">
      <c r="A1399" s="7"/>
      <c r="B1399" s="7"/>
      <c r="C1399" s="7"/>
    </row>
    <row r="1400" spans="1:3" ht="12.45" x14ac:dyDescent="0.3">
      <c r="A1400" s="7"/>
      <c r="B1400" s="7"/>
      <c r="C1400" s="7"/>
    </row>
    <row r="1401" spans="1:3" ht="12.45" x14ac:dyDescent="0.3">
      <c r="A1401" s="7"/>
      <c r="B1401" s="7"/>
      <c r="C1401" s="7"/>
    </row>
    <row r="1402" spans="1:3" ht="12.45" x14ac:dyDescent="0.3">
      <c r="A1402" s="7"/>
      <c r="B1402" s="7"/>
      <c r="C1402" s="7"/>
    </row>
    <row r="1403" spans="1:3" ht="12.45" x14ac:dyDescent="0.3">
      <c r="A1403" s="7"/>
      <c r="B1403" s="7"/>
      <c r="C1403" s="7"/>
    </row>
    <row r="1404" spans="1:3" ht="12.45" x14ac:dyDescent="0.3">
      <c r="A1404" s="7"/>
      <c r="B1404" s="7"/>
      <c r="C1404" s="7"/>
    </row>
    <row r="1405" spans="1:3" ht="12.45" x14ac:dyDescent="0.3">
      <c r="A1405" s="7"/>
      <c r="B1405" s="7"/>
      <c r="C1405" s="7"/>
    </row>
    <row r="1406" spans="1:3" ht="12.45" x14ac:dyDescent="0.3">
      <c r="A1406" s="7"/>
      <c r="B1406" s="7"/>
      <c r="C1406" s="7"/>
    </row>
    <row r="1407" spans="1:3" ht="12.45" x14ac:dyDescent="0.3">
      <c r="A1407" s="7"/>
      <c r="B1407" s="7"/>
      <c r="C1407" s="7"/>
    </row>
    <row r="1408" spans="1:3" ht="12.45" x14ac:dyDescent="0.3">
      <c r="A1408" s="7"/>
      <c r="B1408" s="7"/>
      <c r="C1408" s="7"/>
    </row>
    <row r="1409" spans="1:3" ht="12.45" x14ac:dyDescent="0.3">
      <c r="A1409" s="7"/>
      <c r="B1409" s="7"/>
      <c r="C1409" s="7"/>
    </row>
    <row r="1410" spans="1:3" ht="12.45" x14ac:dyDescent="0.3">
      <c r="A1410" s="7"/>
      <c r="B1410" s="7"/>
      <c r="C1410" s="7"/>
    </row>
    <row r="1411" spans="1:3" ht="12.45" x14ac:dyDescent="0.3">
      <c r="A1411" s="7"/>
      <c r="B1411" s="7"/>
      <c r="C1411" s="7"/>
    </row>
    <row r="1412" spans="1:3" ht="12.45" x14ac:dyDescent="0.3">
      <c r="A1412" s="7"/>
      <c r="B1412" s="7"/>
      <c r="C1412" s="7"/>
    </row>
    <row r="1413" spans="1:3" ht="12.45" x14ac:dyDescent="0.3">
      <c r="A1413" s="7"/>
      <c r="B1413" s="7"/>
      <c r="C1413" s="7"/>
    </row>
    <row r="1414" spans="1:3" ht="12.45" x14ac:dyDescent="0.3">
      <c r="A1414" s="7"/>
      <c r="B1414" s="7"/>
      <c r="C1414" s="7"/>
    </row>
    <row r="1415" spans="1:3" ht="12.45" x14ac:dyDescent="0.3">
      <c r="A1415" s="7"/>
      <c r="B1415" s="7"/>
      <c r="C1415" s="7"/>
    </row>
    <row r="1416" spans="1:3" ht="12.45" x14ac:dyDescent="0.3">
      <c r="A1416" s="7"/>
      <c r="B1416" s="7"/>
      <c r="C1416" s="7"/>
    </row>
    <row r="1417" spans="1:3" ht="12.45" x14ac:dyDescent="0.3">
      <c r="A1417" s="7"/>
      <c r="B1417" s="7"/>
      <c r="C1417" s="7"/>
    </row>
    <row r="1418" spans="1:3" ht="12.45" x14ac:dyDescent="0.3">
      <c r="A1418" s="7"/>
      <c r="B1418" s="7"/>
      <c r="C1418" s="7"/>
    </row>
    <row r="1419" spans="1:3" ht="12.45" x14ac:dyDescent="0.3">
      <c r="A1419" s="7"/>
      <c r="B1419" s="7"/>
      <c r="C1419" s="7"/>
    </row>
    <row r="1420" spans="1:3" ht="12.45" x14ac:dyDescent="0.3">
      <c r="A1420" s="7"/>
      <c r="B1420" s="7"/>
      <c r="C1420" s="7"/>
    </row>
    <row r="1421" spans="1:3" ht="12.45" x14ac:dyDescent="0.3">
      <c r="A1421" s="7"/>
      <c r="B1421" s="7"/>
      <c r="C1421" s="7"/>
    </row>
    <row r="1422" spans="1:3" ht="12.45" x14ac:dyDescent="0.3">
      <c r="A1422" s="7"/>
      <c r="B1422" s="7"/>
      <c r="C1422" s="7"/>
    </row>
    <row r="1423" spans="1:3" ht="12.45" x14ac:dyDescent="0.3">
      <c r="A1423" s="7"/>
      <c r="B1423" s="7"/>
      <c r="C1423" s="7"/>
    </row>
    <row r="1424" spans="1:3" ht="12.45" x14ac:dyDescent="0.3">
      <c r="A1424" s="7"/>
      <c r="B1424" s="7"/>
      <c r="C1424" s="7"/>
    </row>
    <row r="1425" spans="1:3" ht="12.45" x14ac:dyDescent="0.3">
      <c r="A1425" s="7"/>
      <c r="B1425" s="7"/>
      <c r="C1425" s="7"/>
    </row>
    <row r="1426" spans="1:3" ht="12.45" x14ac:dyDescent="0.3">
      <c r="A1426" s="7"/>
      <c r="B1426" s="7"/>
      <c r="C1426" s="7"/>
    </row>
    <row r="1427" spans="1:3" ht="12.45" x14ac:dyDescent="0.3">
      <c r="A1427" s="7"/>
      <c r="B1427" s="7"/>
      <c r="C1427" s="7"/>
    </row>
    <row r="1428" spans="1:3" ht="12.45" x14ac:dyDescent="0.3">
      <c r="A1428" s="7"/>
      <c r="B1428" s="7"/>
      <c r="C1428" s="7"/>
    </row>
    <row r="1429" spans="1:3" ht="12.45" x14ac:dyDescent="0.3">
      <c r="A1429" s="7"/>
      <c r="B1429" s="7"/>
      <c r="C1429" s="7"/>
    </row>
    <row r="1430" spans="1:3" ht="12.45" x14ac:dyDescent="0.3">
      <c r="A1430" s="7"/>
      <c r="B1430" s="7"/>
      <c r="C1430" s="7"/>
    </row>
    <row r="1431" spans="1:3" ht="12.45" x14ac:dyDescent="0.3">
      <c r="A1431" s="7"/>
      <c r="B1431" s="7"/>
      <c r="C1431" s="7"/>
    </row>
    <row r="1432" spans="1:3" ht="12.45" x14ac:dyDescent="0.3">
      <c r="A1432" s="7"/>
      <c r="B1432" s="7"/>
      <c r="C1432" s="7"/>
    </row>
    <row r="1433" spans="1:3" ht="12.45" x14ac:dyDescent="0.3">
      <c r="A1433" s="7"/>
      <c r="B1433" s="7"/>
      <c r="C1433" s="7"/>
    </row>
    <row r="1434" spans="1:3" ht="12.45" x14ac:dyDescent="0.3">
      <c r="A1434" s="7"/>
      <c r="B1434" s="7"/>
      <c r="C1434" s="7"/>
    </row>
    <row r="1435" spans="1:3" ht="12.45" x14ac:dyDescent="0.3">
      <c r="A1435" s="7"/>
      <c r="B1435" s="7"/>
      <c r="C1435" s="7"/>
    </row>
    <row r="1436" spans="1:3" ht="12.45" x14ac:dyDescent="0.3">
      <c r="A1436" s="7"/>
      <c r="B1436" s="7"/>
      <c r="C1436" s="7"/>
    </row>
    <row r="1437" spans="1:3" ht="12.45" x14ac:dyDescent="0.3">
      <c r="A1437" s="7"/>
      <c r="B1437" s="7"/>
      <c r="C1437" s="7"/>
    </row>
    <row r="1438" spans="1:3" ht="12.45" x14ac:dyDescent="0.3">
      <c r="A1438" s="7"/>
      <c r="B1438" s="7"/>
      <c r="C1438" s="7"/>
    </row>
    <row r="1439" spans="1:3" ht="12.45" x14ac:dyDescent="0.3">
      <c r="A1439" s="7"/>
      <c r="B1439" s="7"/>
      <c r="C1439" s="7"/>
    </row>
    <row r="1440" spans="1:3" ht="12.45" x14ac:dyDescent="0.3">
      <c r="A1440" s="7"/>
      <c r="B1440" s="7"/>
      <c r="C1440" s="7"/>
    </row>
    <row r="1441" spans="1:3" ht="12.45" x14ac:dyDescent="0.3">
      <c r="A1441" s="7"/>
      <c r="B1441" s="7"/>
      <c r="C1441" s="7"/>
    </row>
    <row r="1442" spans="1:3" ht="12.45" x14ac:dyDescent="0.3">
      <c r="A1442" s="7"/>
      <c r="B1442" s="7"/>
      <c r="C1442" s="7"/>
    </row>
    <row r="1443" spans="1:3" ht="12.45" x14ac:dyDescent="0.3">
      <c r="A1443" s="7"/>
      <c r="B1443" s="7"/>
      <c r="C1443" s="7"/>
    </row>
    <row r="1444" spans="1:3" ht="12.45" x14ac:dyDescent="0.3">
      <c r="A1444" s="7"/>
      <c r="B1444" s="7"/>
      <c r="C1444" s="7"/>
    </row>
    <row r="1445" spans="1:3" ht="12.45" x14ac:dyDescent="0.3">
      <c r="A1445" s="7"/>
      <c r="B1445" s="7"/>
      <c r="C1445" s="7"/>
    </row>
    <row r="1446" spans="1:3" ht="12.45" x14ac:dyDescent="0.3">
      <c r="A1446" s="7"/>
      <c r="B1446" s="7"/>
      <c r="C1446" s="7"/>
    </row>
    <row r="1447" spans="1:3" ht="12.45" x14ac:dyDescent="0.3">
      <c r="A1447" s="7"/>
      <c r="B1447" s="7"/>
      <c r="C1447" s="7"/>
    </row>
    <row r="1448" spans="1:3" ht="12.45" x14ac:dyDescent="0.3">
      <c r="A1448" s="7"/>
      <c r="B1448" s="7"/>
      <c r="C1448" s="7"/>
    </row>
    <row r="1449" spans="1:3" ht="12.45" x14ac:dyDescent="0.3">
      <c r="A1449" s="7"/>
      <c r="B1449" s="7"/>
      <c r="C1449" s="7"/>
    </row>
    <row r="1450" spans="1:3" ht="12.45" x14ac:dyDescent="0.3">
      <c r="A1450" s="7"/>
      <c r="B1450" s="7"/>
      <c r="C1450" s="7"/>
    </row>
    <row r="1451" spans="1:3" ht="12.45" x14ac:dyDescent="0.3">
      <c r="A1451" s="7"/>
      <c r="B1451" s="7"/>
      <c r="C1451" s="7"/>
    </row>
    <row r="1452" spans="1:3" ht="12.45" x14ac:dyDescent="0.3">
      <c r="A1452" s="7"/>
      <c r="B1452" s="7"/>
      <c r="C1452" s="7"/>
    </row>
    <row r="1453" spans="1:3" ht="12.45" x14ac:dyDescent="0.3">
      <c r="A1453" s="7"/>
      <c r="B1453" s="7"/>
      <c r="C1453" s="7"/>
    </row>
    <row r="1454" spans="1:3" ht="12.45" x14ac:dyDescent="0.3">
      <c r="A1454" s="7"/>
      <c r="B1454" s="7"/>
      <c r="C1454" s="7"/>
    </row>
    <row r="1455" spans="1:3" ht="12.45" x14ac:dyDescent="0.3">
      <c r="A1455" s="7"/>
      <c r="B1455" s="7"/>
      <c r="C1455" s="7"/>
    </row>
    <row r="1456" spans="1:3" ht="12.45" x14ac:dyDescent="0.3">
      <c r="A1456" s="7"/>
      <c r="B1456" s="7"/>
      <c r="C1456" s="7"/>
    </row>
    <row r="1457" spans="1:3" ht="12.45" x14ac:dyDescent="0.3">
      <c r="A1457" s="7"/>
      <c r="B1457" s="7"/>
      <c r="C1457" s="7"/>
    </row>
    <row r="1458" spans="1:3" ht="12.45" x14ac:dyDescent="0.3">
      <c r="A1458" s="7"/>
      <c r="B1458" s="7"/>
      <c r="C1458" s="7"/>
    </row>
    <row r="1459" spans="1:3" ht="12.45" x14ac:dyDescent="0.3">
      <c r="A1459" s="7"/>
      <c r="B1459" s="7"/>
      <c r="C1459" s="7"/>
    </row>
    <row r="1460" spans="1:3" ht="12.45" x14ac:dyDescent="0.3">
      <c r="A1460" s="7"/>
      <c r="B1460" s="7"/>
      <c r="C1460" s="7"/>
    </row>
    <row r="1461" spans="1:3" ht="12.45" x14ac:dyDescent="0.3">
      <c r="A1461" s="7"/>
      <c r="B1461" s="7"/>
      <c r="C1461" s="7"/>
    </row>
    <row r="1462" spans="1:3" ht="12.45" x14ac:dyDescent="0.3">
      <c r="A1462" s="7"/>
      <c r="B1462" s="7"/>
      <c r="C1462" s="7"/>
    </row>
    <row r="1463" spans="1:3" ht="12.45" x14ac:dyDescent="0.3">
      <c r="A1463" s="7"/>
      <c r="B1463" s="7"/>
      <c r="C1463" s="7"/>
    </row>
    <row r="1464" spans="1:3" ht="12.45" x14ac:dyDescent="0.3">
      <c r="A1464" s="7"/>
      <c r="B1464" s="7"/>
      <c r="C1464" s="7"/>
    </row>
    <row r="1465" spans="1:3" ht="12.45" x14ac:dyDescent="0.3">
      <c r="A1465" s="7"/>
      <c r="B1465" s="7"/>
      <c r="C1465" s="7"/>
    </row>
    <row r="1466" spans="1:3" ht="12.45" x14ac:dyDescent="0.3">
      <c r="A1466" s="7"/>
      <c r="B1466" s="7"/>
      <c r="C1466" s="7"/>
    </row>
    <row r="1467" spans="1:3" ht="12.45" x14ac:dyDescent="0.3">
      <c r="A1467" s="7"/>
      <c r="B1467" s="7"/>
      <c r="C1467" s="7"/>
    </row>
    <row r="1468" spans="1:3" ht="12.45" x14ac:dyDescent="0.3">
      <c r="A1468" s="7"/>
      <c r="B1468" s="7"/>
      <c r="C1468" s="7"/>
    </row>
    <row r="1469" spans="1:3" ht="12.45" x14ac:dyDescent="0.3">
      <c r="A1469" s="7"/>
      <c r="B1469" s="7"/>
      <c r="C1469" s="7"/>
    </row>
    <row r="1470" spans="1:3" ht="12.45" x14ac:dyDescent="0.3">
      <c r="A1470" s="7"/>
      <c r="B1470" s="7"/>
      <c r="C1470" s="7"/>
    </row>
    <row r="1471" spans="1:3" ht="12.45" x14ac:dyDescent="0.3">
      <c r="A1471" s="7"/>
      <c r="B1471" s="7"/>
      <c r="C1471" s="7"/>
    </row>
    <row r="1472" spans="1:3" ht="12.45" x14ac:dyDescent="0.3">
      <c r="A1472" s="7"/>
      <c r="B1472" s="7"/>
      <c r="C1472" s="7"/>
    </row>
    <row r="1473" spans="1:3" ht="12.45" x14ac:dyDescent="0.3">
      <c r="A1473" s="7"/>
      <c r="B1473" s="7"/>
      <c r="C1473" s="7"/>
    </row>
    <row r="1474" spans="1:3" ht="12.45" x14ac:dyDescent="0.3">
      <c r="A1474" s="7"/>
      <c r="B1474" s="7"/>
      <c r="C1474" s="7"/>
    </row>
    <row r="1475" spans="1:3" ht="12.45" x14ac:dyDescent="0.3">
      <c r="A1475" s="7"/>
      <c r="B1475" s="7"/>
      <c r="C1475" s="7"/>
    </row>
    <row r="1476" spans="1:3" ht="12.45" x14ac:dyDescent="0.3">
      <c r="A1476" s="7"/>
      <c r="B1476" s="7"/>
      <c r="C1476" s="7"/>
    </row>
    <row r="1477" spans="1:3" ht="12.45" x14ac:dyDescent="0.3">
      <c r="A1477" s="7"/>
      <c r="B1477" s="7"/>
      <c r="C1477" s="7"/>
    </row>
    <row r="1478" spans="1:3" ht="12.45" x14ac:dyDescent="0.3">
      <c r="A1478" s="7"/>
      <c r="B1478" s="7"/>
      <c r="C1478" s="7"/>
    </row>
    <row r="1479" spans="1:3" ht="12.45" x14ac:dyDescent="0.3">
      <c r="A1479" s="7"/>
      <c r="B1479" s="7"/>
      <c r="C1479" s="7"/>
    </row>
    <row r="1480" spans="1:3" ht="12.45" x14ac:dyDescent="0.3">
      <c r="A1480" s="7"/>
      <c r="B1480" s="7"/>
      <c r="C1480" s="7"/>
    </row>
    <row r="1481" spans="1:3" ht="12.45" x14ac:dyDescent="0.3">
      <c r="A1481" s="7"/>
      <c r="B1481" s="7"/>
      <c r="C1481" s="7"/>
    </row>
    <row r="1482" spans="1:3" ht="12.45" x14ac:dyDescent="0.3">
      <c r="A1482" s="7"/>
      <c r="B1482" s="7"/>
      <c r="C1482" s="7"/>
    </row>
    <row r="1483" spans="1:3" ht="12.45" x14ac:dyDescent="0.3">
      <c r="A1483" s="7"/>
      <c r="B1483" s="7"/>
      <c r="C1483" s="7"/>
    </row>
    <row r="1484" spans="1:3" ht="12.45" x14ac:dyDescent="0.3">
      <c r="A1484" s="7"/>
      <c r="B1484" s="7"/>
      <c r="C1484" s="7"/>
    </row>
    <row r="1485" spans="1:3" ht="12.45" x14ac:dyDescent="0.3">
      <c r="A1485" s="7"/>
      <c r="B1485" s="7"/>
      <c r="C1485" s="7"/>
    </row>
    <row r="1486" spans="1:3" ht="12.45" x14ac:dyDescent="0.3">
      <c r="A1486" s="7"/>
      <c r="B1486" s="7"/>
      <c r="C1486" s="7"/>
    </row>
    <row r="1487" spans="1:3" ht="12.45" x14ac:dyDescent="0.3">
      <c r="A1487" s="7"/>
      <c r="B1487" s="7"/>
      <c r="C1487" s="7"/>
    </row>
    <row r="1488" spans="1:3" ht="12.45" x14ac:dyDescent="0.3">
      <c r="A1488" s="7"/>
      <c r="B1488" s="7"/>
      <c r="C1488" s="7"/>
    </row>
    <row r="1489" spans="1:3" ht="12.45" x14ac:dyDescent="0.3">
      <c r="A1489" s="7"/>
      <c r="B1489" s="7"/>
      <c r="C1489" s="7"/>
    </row>
    <row r="1490" spans="1:3" ht="12.45" x14ac:dyDescent="0.3">
      <c r="A1490" s="7"/>
      <c r="B1490" s="7"/>
      <c r="C1490" s="7"/>
    </row>
    <row r="1491" spans="1:3" ht="12.45" x14ac:dyDescent="0.3">
      <c r="A1491" s="7"/>
      <c r="B1491" s="7"/>
      <c r="C1491" s="7"/>
    </row>
    <row r="1492" spans="1:3" ht="12.45" x14ac:dyDescent="0.3">
      <c r="A1492" s="7"/>
      <c r="B1492" s="7"/>
      <c r="C1492" s="7"/>
    </row>
    <row r="1493" spans="1:3" ht="12.45" x14ac:dyDescent="0.3">
      <c r="A1493" s="7"/>
      <c r="B1493" s="7"/>
      <c r="C1493" s="7"/>
    </row>
    <row r="1494" spans="1:3" ht="12.45" x14ac:dyDescent="0.3">
      <c r="A1494" s="7"/>
      <c r="B1494" s="7"/>
      <c r="C1494" s="7"/>
    </row>
    <row r="1495" spans="1:3" ht="12.45" x14ac:dyDescent="0.3">
      <c r="A1495" s="7"/>
      <c r="B1495" s="7"/>
      <c r="C1495" s="7"/>
    </row>
    <row r="1496" spans="1:3" ht="12.45" x14ac:dyDescent="0.3">
      <c r="A1496" s="7"/>
      <c r="B1496" s="7"/>
      <c r="C1496" s="7"/>
    </row>
    <row r="1497" spans="1:3" ht="12.45" x14ac:dyDescent="0.3">
      <c r="A1497" s="7"/>
      <c r="B1497" s="7"/>
      <c r="C1497" s="7"/>
    </row>
    <row r="1498" spans="1:3" ht="12.45" x14ac:dyDescent="0.3">
      <c r="A1498" s="7"/>
      <c r="B1498" s="7"/>
      <c r="C1498" s="7"/>
    </row>
    <row r="1499" spans="1:3" ht="12.45" x14ac:dyDescent="0.3">
      <c r="A1499" s="7"/>
      <c r="B1499" s="7"/>
      <c r="C1499" s="7"/>
    </row>
    <row r="1500" spans="1:3" ht="12.45" x14ac:dyDescent="0.3">
      <c r="A1500" s="7"/>
      <c r="B1500" s="7"/>
      <c r="C1500" s="7"/>
    </row>
    <row r="1501" spans="1:3" ht="12.45" x14ac:dyDescent="0.3">
      <c r="A1501" s="7"/>
      <c r="B1501" s="7"/>
      <c r="C1501" s="7"/>
    </row>
    <row r="1502" spans="1:3" ht="12.45" x14ac:dyDescent="0.3">
      <c r="A1502" s="7"/>
      <c r="B1502" s="7"/>
      <c r="C1502" s="7"/>
    </row>
    <row r="1503" spans="1:3" ht="12.45" x14ac:dyDescent="0.3">
      <c r="A1503" s="7"/>
      <c r="B1503" s="7"/>
      <c r="C1503" s="7"/>
    </row>
    <row r="1504" spans="1:3" ht="12.45" x14ac:dyDescent="0.3">
      <c r="A1504" s="7"/>
      <c r="B1504" s="7"/>
      <c r="C1504" s="7"/>
    </row>
    <row r="1505" spans="1:3" ht="12.45" x14ac:dyDescent="0.3">
      <c r="A1505" s="7"/>
      <c r="B1505" s="7"/>
      <c r="C1505" s="7"/>
    </row>
    <row r="1506" spans="1:3" ht="12.45" x14ac:dyDescent="0.3">
      <c r="A1506" s="7"/>
      <c r="B1506" s="7"/>
      <c r="C1506" s="7"/>
    </row>
    <row r="1507" spans="1:3" ht="12.45" x14ac:dyDescent="0.3">
      <c r="A1507" s="7"/>
      <c r="B1507" s="7"/>
      <c r="C1507" s="7"/>
    </row>
    <row r="1508" spans="1:3" ht="12.45" x14ac:dyDescent="0.3">
      <c r="A1508" s="7"/>
      <c r="B1508" s="7"/>
      <c r="C1508" s="7"/>
    </row>
    <row r="1509" spans="1:3" ht="12.45" x14ac:dyDescent="0.3">
      <c r="A1509" s="7"/>
      <c r="B1509" s="7"/>
      <c r="C1509" s="7"/>
    </row>
    <row r="1510" spans="1:3" ht="12.45" x14ac:dyDescent="0.3">
      <c r="A1510" s="7"/>
      <c r="B1510" s="7"/>
      <c r="C1510" s="7"/>
    </row>
    <row r="1511" spans="1:3" ht="12.45" x14ac:dyDescent="0.3">
      <c r="A1511" s="7"/>
      <c r="B1511" s="7"/>
      <c r="C1511" s="7"/>
    </row>
    <row r="1512" spans="1:3" ht="12.45" x14ac:dyDescent="0.3">
      <c r="A1512" s="7"/>
      <c r="B1512" s="7"/>
      <c r="C1512" s="7"/>
    </row>
    <row r="1513" spans="1:3" ht="12.45" x14ac:dyDescent="0.3">
      <c r="A1513" s="7"/>
      <c r="B1513" s="7"/>
      <c r="C1513" s="7"/>
    </row>
    <row r="1514" spans="1:3" ht="12.45" x14ac:dyDescent="0.3">
      <c r="A1514" s="7"/>
      <c r="B1514" s="7"/>
      <c r="C1514" s="7"/>
    </row>
    <row r="1515" spans="1:3" ht="12.45" x14ac:dyDescent="0.3">
      <c r="A1515" s="7"/>
      <c r="B1515" s="7"/>
      <c r="C1515" s="7"/>
    </row>
    <row r="1516" spans="1:3" ht="12.45" x14ac:dyDescent="0.3">
      <c r="A1516" s="7"/>
      <c r="B1516" s="7"/>
      <c r="C1516" s="7"/>
    </row>
    <row r="1517" spans="1:3" ht="12.45" x14ac:dyDescent="0.3">
      <c r="A1517" s="7"/>
      <c r="B1517" s="7"/>
      <c r="C1517" s="7"/>
    </row>
    <row r="1518" spans="1:3" ht="12.45" x14ac:dyDescent="0.3">
      <c r="A1518" s="7"/>
      <c r="B1518" s="7"/>
      <c r="C1518" s="7"/>
    </row>
    <row r="1519" spans="1:3" ht="12.45" x14ac:dyDescent="0.3">
      <c r="A1519" s="7"/>
      <c r="B1519" s="7"/>
      <c r="C1519" s="7"/>
    </row>
    <row r="1520" spans="1:3" ht="12.45" x14ac:dyDescent="0.3">
      <c r="A1520" s="7"/>
      <c r="B1520" s="7"/>
      <c r="C1520" s="7"/>
    </row>
    <row r="1521" spans="1:3" ht="12.45" x14ac:dyDescent="0.3">
      <c r="A1521" s="7"/>
      <c r="B1521" s="7"/>
      <c r="C1521" s="7"/>
    </row>
    <row r="1522" spans="1:3" ht="12.45" x14ac:dyDescent="0.3">
      <c r="A1522" s="7"/>
      <c r="B1522" s="7"/>
      <c r="C1522" s="7"/>
    </row>
    <row r="1523" spans="1:3" ht="12.45" x14ac:dyDescent="0.3">
      <c r="A1523" s="7"/>
      <c r="B1523" s="7"/>
      <c r="C1523" s="7"/>
    </row>
    <row r="1524" spans="1:3" ht="12.45" x14ac:dyDescent="0.3">
      <c r="A1524" s="7"/>
      <c r="B1524" s="7"/>
      <c r="C1524" s="7"/>
    </row>
    <row r="1525" spans="1:3" ht="12.45" x14ac:dyDescent="0.3">
      <c r="A1525" s="7"/>
      <c r="B1525" s="7"/>
      <c r="C1525" s="7"/>
    </row>
    <row r="1526" spans="1:3" ht="12.45" x14ac:dyDescent="0.3">
      <c r="A1526" s="7"/>
      <c r="B1526" s="7"/>
      <c r="C1526" s="7"/>
    </row>
    <row r="1527" spans="1:3" ht="12.45" x14ac:dyDescent="0.3">
      <c r="A1527" s="7"/>
      <c r="B1527" s="7"/>
      <c r="C1527" s="7"/>
    </row>
    <row r="1528" spans="1:3" ht="12.45" x14ac:dyDescent="0.3">
      <c r="A1528" s="7"/>
      <c r="B1528" s="7"/>
      <c r="C1528" s="7"/>
    </row>
    <row r="1529" spans="1:3" ht="12.45" x14ac:dyDescent="0.3">
      <c r="A1529" s="7"/>
      <c r="B1529" s="7"/>
      <c r="C1529" s="7"/>
    </row>
    <row r="1530" spans="1:3" ht="12.45" x14ac:dyDescent="0.3">
      <c r="A1530" s="7"/>
      <c r="B1530" s="7"/>
      <c r="C1530" s="7"/>
    </row>
    <row r="1531" spans="1:3" ht="12.45" x14ac:dyDescent="0.3">
      <c r="A1531" s="7"/>
      <c r="B1531" s="7"/>
      <c r="C1531" s="7"/>
    </row>
    <row r="1532" spans="1:3" ht="12.45" x14ac:dyDescent="0.3">
      <c r="A1532" s="7"/>
      <c r="B1532" s="7"/>
      <c r="C1532" s="7"/>
    </row>
    <row r="1533" spans="1:3" ht="12.45" x14ac:dyDescent="0.3">
      <c r="A1533" s="7"/>
      <c r="B1533" s="7"/>
      <c r="C1533" s="7"/>
    </row>
    <row r="1534" spans="1:3" ht="12.45" x14ac:dyDescent="0.3">
      <c r="A1534" s="7"/>
      <c r="B1534" s="7"/>
      <c r="C1534" s="7"/>
    </row>
    <row r="1535" spans="1:3" ht="12.45" x14ac:dyDescent="0.3">
      <c r="A1535" s="7"/>
      <c r="B1535" s="7"/>
      <c r="C1535" s="7"/>
    </row>
    <row r="1536" spans="1:3" ht="12.45" x14ac:dyDescent="0.3">
      <c r="A1536" s="7"/>
      <c r="B1536" s="7"/>
      <c r="C1536" s="7"/>
    </row>
    <row r="1537" spans="1:3" ht="12.45" x14ac:dyDescent="0.3">
      <c r="A1537" s="7"/>
      <c r="B1537" s="7"/>
      <c r="C1537" s="7"/>
    </row>
    <row r="1538" spans="1:3" ht="12.45" x14ac:dyDescent="0.3">
      <c r="A1538" s="7"/>
      <c r="B1538" s="7"/>
      <c r="C1538" s="7"/>
    </row>
    <row r="1539" spans="1:3" ht="12.45" x14ac:dyDescent="0.3">
      <c r="A1539" s="7"/>
      <c r="B1539" s="7"/>
      <c r="C1539" s="7"/>
    </row>
    <row r="1540" spans="1:3" ht="12.45" x14ac:dyDescent="0.3">
      <c r="A1540" s="7"/>
      <c r="B1540" s="7"/>
      <c r="C1540" s="7"/>
    </row>
    <row r="1541" spans="1:3" ht="12.45" x14ac:dyDescent="0.3">
      <c r="A1541" s="7"/>
      <c r="B1541" s="7"/>
      <c r="C1541" s="7"/>
    </row>
    <row r="1542" spans="1:3" ht="12.45" x14ac:dyDescent="0.3">
      <c r="A1542" s="7"/>
      <c r="B1542" s="7"/>
      <c r="C1542" s="7"/>
    </row>
    <row r="1543" spans="1:3" ht="12.45" x14ac:dyDescent="0.3">
      <c r="A1543" s="7"/>
      <c r="B1543" s="7"/>
      <c r="C1543" s="7"/>
    </row>
    <row r="1544" spans="1:3" ht="12.45" x14ac:dyDescent="0.3">
      <c r="A1544" s="7"/>
      <c r="B1544" s="7"/>
      <c r="C1544" s="7"/>
    </row>
    <row r="1545" spans="1:3" ht="12.45" x14ac:dyDescent="0.3">
      <c r="A1545" s="7"/>
      <c r="B1545" s="7"/>
      <c r="C1545" s="7"/>
    </row>
    <row r="1546" spans="1:3" ht="12.45" x14ac:dyDescent="0.3">
      <c r="A1546" s="7"/>
      <c r="B1546" s="7"/>
      <c r="C1546" s="7"/>
    </row>
    <row r="1547" spans="1:3" ht="12.45" x14ac:dyDescent="0.3">
      <c r="A1547" s="7"/>
      <c r="B1547" s="7"/>
      <c r="C1547" s="7"/>
    </row>
    <row r="1548" spans="1:3" ht="12.45" x14ac:dyDescent="0.3">
      <c r="A1548" s="7"/>
      <c r="B1548" s="7"/>
      <c r="C1548" s="7"/>
    </row>
    <row r="1549" spans="1:3" ht="12.45" x14ac:dyDescent="0.3">
      <c r="A1549" s="7"/>
      <c r="B1549" s="7"/>
      <c r="C1549" s="7"/>
    </row>
    <row r="1550" spans="1:3" ht="12.45" x14ac:dyDescent="0.3">
      <c r="A1550" s="7"/>
      <c r="B1550" s="7"/>
      <c r="C1550" s="7"/>
    </row>
    <row r="1551" spans="1:3" ht="12.45" x14ac:dyDescent="0.3">
      <c r="A1551" s="7"/>
      <c r="B1551" s="7"/>
      <c r="C1551" s="7"/>
    </row>
    <row r="1552" spans="1:3" ht="12.45" x14ac:dyDescent="0.3">
      <c r="A1552" s="7"/>
      <c r="B1552" s="7"/>
      <c r="C1552" s="7"/>
    </row>
    <row r="1553" spans="1:3" ht="12.45" x14ac:dyDescent="0.3">
      <c r="A1553" s="7"/>
      <c r="B1553" s="7"/>
      <c r="C1553" s="7"/>
    </row>
    <row r="1554" spans="1:3" ht="12.45" x14ac:dyDescent="0.3">
      <c r="A1554" s="7"/>
      <c r="B1554" s="7"/>
      <c r="C1554" s="7"/>
    </row>
    <row r="1555" spans="1:3" ht="12.45" x14ac:dyDescent="0.3">
      <c r="A1555" s="7"/>
      <c r="B1555" s="7"/>
      <c r="C1555" s="7"/>
    </row>
    <row r="1556" spans="1:3" ht="12.45" x14ac:dyDescent="0.3">
      <c r="A1556" s="7"/>
      <c r="B1556" s="7"/>
      <c r="C1556" s="7"/>
    </row>
    <row r="1557" spans="1:3" ht="12.45" x14ac:dyDescent="0.3">
      <c r="A1557" s="7"/>
      <c r="B1557" s="7"/>
      <c r="C1557" s="7"/>
    </row>
    <row r="1558" spans="1:3" ht="12.45" x14ac:dyDescent="0.3">
      <c r="A1558" s="7"/>
      <c r="B1558" s="7"/>
      <c r="C1558" s="7"/>
    </row>
    <row r="1559" spans="1:3" ht="12.45" x14ac:dyDescent="0.3">
      <c r="A1559" s="7"/>
      <c r="B1559" s="7"/>
      <c r="C1559" s="7"/>
    </row>
    <row r="1560" spans="1:3" ht="12.45" x14ac:dyDescent="0.3">
      <c r="A1560" s="7"/>
      <c r="B1560" s="7"/>
      <c r="C1560" s="7"/>
    </row>
    <row r="1561" spans="1:3" ht="12.45" x14ac:dyDescent="0.3">
      <c r="A1561" s="7"/>
      <c r="B1561" s="7"/>
      <c r="C1561" s="7"/>
    </row>
    <row r="1562" spans="1:3" ht="12.45" x14ac:dyDescent="0.3">
      <c r="A1562" s="7"/>
      <c r="B1562" s="7"/>
      <c r="C1562" s="7"/>
    </row>
    <row r="1563" spans="1:3" ht="12.45" x14ac:dyDescent="0.3">
      <c r="A1563" s="7"/>
      <c r="B1563" s="7"/>
      <c r="C1563" s="7"/>
    </row>
    <row r="1564" spans="1:3" ht="12.45" x14ac:dyDescent="0.3">
      <c r="A1564" s="7"/>
      <c r="B1564" s="7"/>
      <c r="C1564" s="7"/>
    </row>
    <row r="1565" spans="1:3" ht="12.45" x14ac:dyDescent="0.3">
      <c r="A1565" s="7"/>
      <c r="B1565" s="7"/>
      <c r="C1565" s="7"/>
    </row>
    <row r="1566" spans="1:3" ht="12.45" x14ac:dyDescent="0.3">
      <c r="A1566" s="7"/>
      <c r="B1566" s="7"/>
      <c r="C1566" s="7"/>
    </row>
    <row r="1567" spans="1:3" ht="12.45" x14ac:dyDescent="0.3">
      <c r="A1567" s="7"/>
      <c r="B1567" s="7"/>
      <c r="C1567" s="7"/>
    </row>
    <row r="1568" spans="1:3" ht="12.45" x14ac:dyDescent="0.3">
      <c r="A1568" s="7"/>
      <c r="B1568" s="7"/>
      <c r="C1568" s="7"/>
    </row>
    <row r="1569" spans="1:3" ht="12.45" x14ac:dyDescent="0.3">
      <c r="A1569" s="7"/>
      <c r="B1569" s="7"/>
      <c r="C1569" s="7"/>
    </row>
    <row r="1570" spans="1:3" ht="12.45" x14ac:dyDescent="0.3">
      <c r="A1570" s="7"/>
      <c r="B1570" s="7"/>
      <c r="C1570" s="7"/>
    </row>
    <row r="1571" spans="1:3" ht="12.45" x14ac:dyDescent="0.3">
      <c r="A1571" s="7"/>
      <c r="B1571" s="7"/>
      <c r="C1571" s="7"/>
    </row>
    <row r="1572" spans="1:3" ht="12.45" x14ac:dyDescent="0.3">
      <c r="A1572" s="7"/>
      <c r="B1572" s="7"/>
      <c r="C1572" s="7"/>
    </row>
    <row r="1573" spans="1:3" ht="12.45" x14ac:dyDescent="0.3">
      <c r="A1573" s="7"/>
      <c r="B1573" s="7"/>
      <c r="C1573" s="7"/>
    </row>
    <row r="1574" spans="1:3" ht="12.45" x14ac:dyDescent="0.3">
      <c r="A1574" s="7"/>
      <c r="B1574" s="7"/>
      <c r="C1574" s="7"/>
    </row>
    <row r="1575" spans="1:3" ht="12.45" x14ac:dyDescent="0.3">
      <c r="A1575" s="7"/>
      <c r="B1575" s="7"/>
      <c r="C1575" s="7"/>
    </row>
    <row r="1576" spans="1:3" ht="12.45" x14ac:dyDescent="0.3">
      <c r="A1576" s="7"/>
      <c r="B1576" s="7"/>
      <c r="C1576" s="7"/>
    </row>
    <row r="1577" spans="1:3" ht="12.45" x14ac:dyDescent="0.3">
      <c r="A1577" s="7"/>
      <c r="B1577" s="7"/>
      <c r="C1577" s="7"/>
    </row>
    <row r="1578" spans="1:3" ht="12.45" x14ac:dyDescent="0.3">
      <c r="A1578" s="7"/>
      <c r="B1578" s="7"/>
      <c r="C1578" s="7"/>
    </row>
    <row r="1579" spans="1:3" ht="12.45" x14ac:dyDescent="0.3">
      <c r="A1579" s="7"/>
      <c r="B1579" s="7"/>
      <c r="C1579" s="7"/>
    </row>
    <row r="1580" spans="1:3" ht="12.45" x14ac:dyDescent="0.3">
      <c r="A1580" s="7"/>
      <c r="B1580" s="7"/>
      <c r="C1580" s="7"/>
    </row>
    <row r="1581" spans="1:3" ht="12.45" x14ac:dyDescent="0.3">
      <c r="A1581" s="7"/>
      <c r="B1581" s="7"/>
      <c r="C1581" s="7"/>
    </row>
    <row r="1582" spans="1:3" ht="12.45" x14ac:dyDescent="0.3">
      <c r="A1582" s="7"/>
      <c r="B1582" s="7"/>
      <c r="C1582" s="7"/>
    </row>
    <row r="1583" spans="1:3" ht="12.45" x14ac:dyDescent="0.3">
      <c r="A1583" s="7"/>
      <c r="B1583" s="7"/>
      <c r="C1583" s="7"/>
    </row>
    <row r="1584" spans="1:3" ht="12.45" x14ac:dyDescent="0.3">
      <c r="A1584" s="7"/>
      <c r="B1584" s="7"/>
      <c r="C1584" s="7"/>
    </row>
    <row r="1585" spans="1:3" ht="12.45" x14ac:dyDescent="0.3">
      <c r="A1585" s="7"/>
      <c r="B1585" s="7"/>
      <c r="C1585" s="7"/>
    </row>
    <row r="1586" spans="1:3" ht="12.45" x14ac:dyDescent="0.3">
      <c r="A1586" s="7"/>
      <c r="B1586" s="7"/>
      <c r="C1586" s="7"/>
    </row>
    <row r="1587" spans="1:3" ht="12.45" x14ac:dyDescent="0.3">
      <c r="A1587" s="7"/>
      <c r="B1587" s="7"/>
      <c r="C1587" s="7"/>
    </row>
    <row r="1588" spans="1:3" ht="12.45" x14ac:dyDescent="0.3">
      <c r="A1588" s="7"/>
      <c r="B1588" s="7"/>
      <c r="C1588" s="7"/>
    </row>
    <row r="1589" spans="1:3" ht="12.45" x14ac:dyDescent="0.3">
      <c r="A1589" s="7"/>
      <c r="B1589" s="7"/>
      <c r="C1589" s="7"/>
    </row>
    <row r="1590" spans="1:3" ht="12.45" x14ac:dyDescent="0.3">
      <c r="A1590" s="7"/>
      <c r="B1590" s="7"/>
      <c r="C1590" s="7"/>
    </row>
    <row r="1591" spans="1:3" ht="12.45" x14ac:dyDescent="0.3">
      <c r="A1591" s="7"/>
      <c r="B1591" s="7"/>
      <c r="C1591" s="7"/>
    </row>
    <row r="1592" spans="1:3" ht="12.45" x14ac:dyDescent="0.3">
      <c r="A1592" s="7"/>
      <c r="B1592" s="7"/>
      <c r="C1592" s="7"/>
    </row>
    <row r="1593" spans="1:3" ht="12.45" x14ac:dyDescent="0.3">
      <c r="A1593" s="7"/>
      <c r="B1593" s="7"/>
      <c r="C1593" s="7"/>
    </row>
    <row r="1594" spans="1:3" ht="12.45" x14ac:dyDescent="0.3">
      <c r="A1594" s="7"/>
      <c r="B1594" s="7"/>
      <c r="C1594" s="7"/>
    </row>
    <row r="1595" spans="1:3" ht="12.45" x14ac:dyDescent="0.3">
      <c r="A1595" s="7"/>
      <c r="B1595" s="7"/>
      <c r="C1595" s="7"/>
    </row>
    <row r="1596" spans="1:3" ht="12.45" x14ac:dyDescent="0.3">
      <c r="A1596" s="7"/>
      <c r="B1596" s="7"/>
      <c r="C1596" s="7"/>
    </row>
    <row r="1597" spans="1:3" ht="12.45" x14ac:dyDescent="0.3">
      <c r="A1597" s="7"/>
      <c r="B1597" s="7"/>
      <c r="C1597" s="7"/>
    </row>
    <row r="1598" spans="1:3" ht="12.45" x14ac:dyDescent="0.3">
      <c r="A1598" s="7"/>
      <c r="B1598" s="7"/>
      <c r="C1598" s="7"/>
    </row>
    <row r="1599" spans="1:3" ht="12.45" x14ac:dyDescent="0.3">
      <c r="A1599" s="7"/>
      <c r="B1599" s="7"/>
      <c r="C1599" s="7"/>
    </row>
    <row r="1600" spans="1:3" ht="12.45" x14ac:dyDescent="0.3">
      <c r="A1600" s="7"/>
      <c r="B1600" s="7"/>
      <c r="C1600" s="7"/>
    </row>
    <row r="1601" spans="1:3" ht="12.45" x14ac:dyDescent="0.3">
      <c r="A1601" s="7"/>
      <c r="B1601" s="7"/>
      <c r="C1601" s="7"/>
    </row>
    <row r="1602" spans="1:3" ht="12.45" x14ac:dyDescent="0.3">
      <c r="A1602" s="7"/>
      <c r="B1602" s="7"/>
      <c r="C1602" s="7"/>
    </row>
    <row r="1603" spans="1:3" ht="12.45" x14ac:dyDescent="0.3">
      <c r="A1603" s="7"/>
      <c r="B1603" s="7"/>
      <c r="C1603" s="7"/>
    </row>
    <row r="1604" spans="1:3" ht="12.45" x14ac:dyDescent="0.3">
      <c r="A1604" s="7"/>
      <c r="B1604" s="7"/>
      <c r="C1604" s="7"/>
    </row>
    <row r="1605" spans="1:3" ht="12.45" x14ac:dyDescent="0.3">
      <c r="A1605" s="7"/>
      <c r="B1605" s="7"/>
      <c r="C1605" s="7"/>
    </row>
    <row r="1606" spans="1:3" ht="12.45" x14ac:dyDescent="0.3">
      <c r="A1606" s="7"/>
      <c r="B1606" s="7"/>
      <c r="C1606" s="7"/>
    </row>
    <row r="1607" spans="1:3" ht="12.45" x14ac:dyDescent="0.3">
      <c r="A1607" s="7"/>
      <c r="B1607" s="7"/>
      <c r="C1607" s="7"/>
    </row>
    <row r="1608" spans="1:3" ht="12.45" x14ac:dyDescent="0.3">
      <c r="A1608" s="7"/>
      <c r="B1608" s="7"/>
      <c r="C1608" s="7"/>
    </row>
    <row r="1609" spans="1:3" ht="12.45" x14ac:dyDescent="0.3">
      <c r="A1609" s="7"/>
      <c r="B1609" s="7"/>
      <c r="C1609" s="7"/>
    </row>
    <row r="1610" spans="1:3" ht="12.45" x14ac:dyDescent="0.3">
      <c r="A1610" s="7"/>
      <c r="B1610" s="7"/>
      <c r="C1610" s="7"/>
    </row>
    <row r="1611" spans="1:3" ht="12.45" x14ac:dyDescent="0.3">
      <c r="A1611" s="7"/>
      <c r="B1611" s="7"/>
      <c r="C1611" s="7"/>
    </row>
    <row r="1612" spans="1:3" ht="12.45" x14ac:dyDescent="0.3">
      <c r="A1612" s="7"/>
      <c r="B1612" s="7"/>
      <c r="C1612" s="7"/>
    </row>
    <row r="1613" spans="1:3" ht="12.45" x14ac:dyDescent="0.3">
      <c r="A1613" s="7"/>
      <c r="B1613" s="7"/>
      <c r="C1613" s="7"/>
    </row>
    <row r="1614" spans="1:3" ht="12.45" x14ac:dyDescent="0.3">
      <c r="A1614" s="7"/>
      <c r="B1614" s="7"/>
      <c r="C1614" s="7"/>
    </row>
    <row r="1615" spans="1:3" ht="12.45" x14ac:dyDescent="0.3">
      <c r="A1615" s="7"/>
      <c r="B1615" s="7"/>
      <c r="C1615" s="7"/>
    </row>
    <row r="1616" spans="1:3" ht="12.45" x14ac:dyDescent="0.3">
      <c r="A1616" s="7"/>
      <c r="B1616" s="7"/>
      <c r="C1616" s="7"/>
    </row>
    <row r="1617" spans="1:3" ht="12.45" x14ac:dyDescent="0.3">
      <c r="A1617" s="7"/>
      <c r="B1617" s="7"/>
      <c r="C1617" s="7"/>
    </row>
    <row r="1618" spans="1:3" ht="12.45" x14ac:dyDescent="0.3">
      <c r="A1618" s="7"/>
      <c r="B1618" s="7"/>
      <c r="C1618" s="7"/>
    </row>
    <row r="1619" spans="1:3" ht="12.45" x14ac:dyDescent="0.3">
      <c r="A1619" s="7"/>
      <c r="B1619" s="7"/>
      <c r="C1619" s="7"/>
    </row>
    <row r="1620" spans="1:3" ht="12.45" x14ac:dyDescent="0.3">
      <c r="A1620" s="7"/>
      <c r="B1620" s="7"/>
      <c r="C1620" s="7"/>
    </row>
    <row r="1621" spans="1:3" ht="12.45" x14ac:dyDescent="0.3">
      <c r="A1621" s="7"/>
      <c r="B1621" s="7"/>
      <c r="C1621" s="7"/>
    </row>
    <row r="1622" spans="1:3" ht="12.45" x14ac:dyDescent="0.3">
      <c r="A1622" s="7"/>
      <c r="B1622" s="7"/>
      <c r="C1622" s="7"/>
    </row>
    <row r="1623" spans="1:3" ht="12.45" x14ac:dyDescent="0.3">
      <c r="A1623" s="7"/>
      <c r="B1623" s="7"/>
      <c r="C1623" s="7"/>
    </row>
    <row r="1624" spans="1:3" ht="12.45" x14ac:dyDescent="0.3">
      <c r="A1624" s="7"/>
      <c r="B1624" s="7"/>
      <c r="C1624" s="7"/>
    </row>
    <row r="1625" spans="1:3" ht="12.45" x14ac:dyDescent="0.3">
      <c r="A1625" s="7"/>
      <c r="B1625" s="7"/>
      <c r="C1625" s="7"/>
    </row>
    <row r="1626" spans="1:3" ht="12.45" x14ac:dyDescent="0.3">
      <c r="A1626" s="7"/>
      <c r="B1626" s="7"/>
      <c r="C1626" s="7"/>
    </row>
    <row r="1627" spans="1:3" ht="12.45" x14ac:dyDescent="0.3">
      <c r="A1627" s="7"/>
      <c r="B1627" s="7"/>
      <c r="C1627" s="7"/>
    </row>
    <row r="1628" spans="1:3" ht="12.45" x14ac:dyDescent="0.3">
      <c r="A1628" s="7"/>
      <c r="B1628" s="7"/>
      <c r="C1628" s="7"/>
    </row>
    <row r="1629" spans="1:3" ht="12.45" x14ac:dyDescent="0.3">
      <c r="A1629" s="7"/>
      <c r="B1629" s="7"/>
      <c r="C1629" s="7"/>
    </row>
    <row r="1630" spans="1:3" ht="12.45" x14ac:dyDescent="0.3">
      <c r="A1630" s="7"/>
      <c r="B1630" s="7"/>
      <c r="C1630" s="7"/>
    </row>
    <row r="1631" spans="1:3" ht="12.45" x14ac:dyDescent="0.3">
      <c r="A1631" s="7"/>
      <c r="B1631" s="7"/>
      <c r="C1631" s="7"/>
    </row>
    <row r="1632" spans="1:3" ht="12.45" x14ac:dyDescent="0.3">
      <c r="A1632" s="7"/>
      <c r="B1632" s="7"/>
      <c r="C1632" s="7"/>
    </row>
    <row r="1633" spans="1:3" ht="12.45" x14ac:dyDescent="0.3">
      <c r="A1633" s="7"/>
      <c r="B1633" s="7"/>
      <c r="C1633" s="7"/>
    </row>
    <row r="1634" spans="1:3" ht="12.45" x14ac:dyDescent="0.3">
      <c r="A1634" s="7"/>
      <c r="B1634" s="7"/>
      <c r="C1634" s="7"/>
    </row>
    <row r="1635" spans="1:3" ht="12.45" x14ac:dyDescent="0.3">
      <c r="A1635" s="7"/>
      <c r="B1635" s="7"/>
      <c r="C1635" s="7"/>
    </row>
    <row r="1636" spans="1:3" ht="12.45" x14ac:dyDescent="0.3">
      <c r="A1636" s="7"/>
      <c r="B1636" s="7"/>
      <c r="C1636" s="7"/>
    </row>
    <row r="1637" spans="1:3" ht="12.45" x14ac:dyDescent="0.3">
      <c r="A1637" s="7"/>
      <c r="B1637" s="7"/>
      <c r="C1637" s="7"/>
    </row>
    <row r="1638" spans="1:3" ht="12.45" x14ac:dyDescent="0.3">
      <c r="A1638" s="7"/>
      <c r="B1638" s="7"/>
      <c r="C1638" s="7"/>
    </row>
    <row r="1639" spans="1:3" ht="12.45" x14ac:dyDescent="0.3">
      <c r="A1639" s="7"/>
      <c r="B1639" s="7"/>
      <c r="C1639" s="7"/>
    </row>
    <row r="1640" spans="1:3" ht="12.45" x14ac:dyDescent="0.3">
      <c r="A1640" s="7"/>
      <c r="B1640" s="7"/>
      <c r="C1640" s="7"/>
    </row>
    <row r="1641" spans="1:3" ht="12.45" x14ac:dyDescent="0.3">
      <c r="A1641" s="7"/>
      <c r="B1641" s="7"/>
      <c r="C1641" s="7"/>
    </row>
    <row r="1642" spans="1:3" ht="12.45" x14ac:dyDescent="0.3">
      <c r="A1642" s="7"/>
      <c r="B1642" s="7"/>
      <c r="C1642" s="7"/>
    </row>
    <row r="1643" spans="1:3" ht="12.45" x14ac:dyDescent="0.3">
      <c r="A1643" s="7"/>
      <c r="B1643" s="7"/>
      <c r="C1643" s="7"/>
    </row>
    <row r="1644" spans="1:3" ht="12.45" x14ac:dyDescent="0.3">
      <c r="A1644" s="7"/>
      <c r="B1644" s="7"/>
      <c r="C1644" s="7"/>
    </row>
    <row r="1645" spans="1:3" ht="12.45" x14ac:dyDescent="0.3">
      <c r="A1645" s="7"/>
      <c r="B1645" s="7"/>
      <c r="C1645" s="7"/>
    </row>
    <row r="1646" spans="1:3" ht="12.45" x14ac:dyDescent="0.3">
      <c r="A1646" s="7"/>
      <c r="B1646" s="7"/>
      <c r="C1646" s="7"/>
    </row>
    <row r="1647" spans="1:3" ht="12.45" x14ac:dyDescent="0.3">
      <c r="A1647" s="7"/>
      <c r="B1647" s="7"/>
      <c r="C1647" s="7"/>
    </row>
    <row r="1648" spans="1:3" ht="12.45" x14ac:dyDescent="0.3">
      <c r="A1648" s="7"/>
      <c r="B1648" s="7"/>
      <c r="C1648" s="7"/>
    </row>
    <row r="1649" spans="1:3" ht="12.45" x14ac:dyDescent="0.3">
      <c r="A1649" s="7"/>
      <c r="B1649" s="7"/>
      <c r="C1649" s="7"/>
    </row>
    <row r="1650" spans="1:3" ht="12.45" x14ac:dyDescent="0.3">
      <c r="A1650" s="7"/>
      <c r="B1650" s="7"/>
      <c r="C1650" s="7"/>
    </row>
    <row r="1651" spans="1:3" ht="12.45" x14ac:dyDescent="0.3">
      <c r="A1651" s="7"/>
      <c r="B1651" s="7"/>
      <c r="C1651" s="7"/>
    </row>
    <row r="1652" spans="1:3" ht="12.45" x14ac:dyDescent="0.3">
      <c r="A1652" s="7"/>
      <c r="B1652" s="7"/>
      <c r="C1652" s="7"/>
    </row>
    <row r="1653" spans="1:3" ht="12.45" x14ac:dyDescent="0.3">
      <c r="A1653" s="7"/>
      <c r="B1653" s="7"/>
      <c r="C1653" s="7"/>
    </row>
    <row r="1654" spans="1:3" ht="12.45" x14ac:dyDescent="0.3">
      <c r="A1654" s="7"/>
      <c r="B1654" s="7"/>
      <c r="C1654" s="7"/>
    </row>
    <row r="1655" spans="1:3" ht="12.45" x14ac:dyDescent="0.3">
      <c r="A1655" s="7"/>
      <c r="B1655" s="7"/>
      <c r="C1655" s="7"/>
    </row>
    <row r="1656" spans="1:3" ht="12.45" x14ac:dyDescent="0.3">
      <c r="A1656" s="7"/>
      <c r="B1656" s="7"/>
      <c r="C1656" s="7"/>
    </row>
    <row r="1657" spans="1:3" ht="12.45" x14ac:dyDescent="0.3">
      <c r="A1657" s="7"/>
      <c r="B1657" s="7"/>
      <c r="C1657" s="7"/>
    </row>
    <row r="1658" spans="1:3" ht="12.45" x14ac:dyDescent="0.3">
      <c r="A1658" s="7"/>
      <c r="B1658" s="7"/>
      <c r="C1658" s="7"/>
    </row>
    <row r="1659" spans="1:3" ht="12.45" x14ac:dyDescent="0.3">
      <c r="A1659" s="7"/>
      <c r="B1659" s="7"/>
      <c r="C1659" s="7"/>
    </row>
    <row r="1660" spans="1:3" ht="12.45" x14ac:dyDescent="0.3">
      <c r="A1660" s="7"/>
      <c r="B1660" s="7"/>
      <c r="C1660" s="7"/>
    </row>
    <row r="1661" spans="1:3" ht="12.45" x14ac:dyDescent="0.3">
      <c r="A1661" s="7"/>
      <c r="B1661" s="7"/>
      <c r="C1661" s="7"/>
    </row>
    <row r="1662" spans="1:3" ht="12.45" x14ac:dyDescent="0.3">
      <c r="A1662" s="7"/>
      <c r="B1662" s="7"/>
      <c r="C1662" s="7"/>
    </row>
    <row r="1663" spans="1:3" ht="12.45" x14ac:dyDescent="0.3">
      <c r="A1663" s="7"/>
      <c r="B1663" s="7"/>
      <c r="C1663" s="7"/>
    </row>
    <row r="1664" spans="1:3" ht="12.45" x14ac:dyDescent="0.3">
      <c r="A1664" s="7"/>
      <c r="B1664" s="7"/>
      <c r="C1664" s="7"/>
    </row>
    <row r="1665" spans="1:3" ht="12.45" x14ac:dyDescent="0.3">
      <c r="A1665" s="7"/>
      <c r="B1665" s="7"/>
      <c r="C1665" s="7"/>
    </row>
    <row r="1666" spans="1:3" ht="12.45" x14ac:dyDescent="0.3">
      <c r="A1666" s="7"/>
      <c r="B1666" s="7"/>
      <c r="C1666" s="7"/>
    </row>
    <row r="1667" spans="1:3" ht="12.45" x14ac:dyDescent="0.3">
      <c r="A1667" s="7"/>
      <c r="B1667" s="7"/>
      <c r="C1667" s="7"/>
    </row>
    <row r="1668" spans="1:3" ht="12.45" x14ac:dyDescent="0.3">
      <c r="A1668" s="7"/>
      <c r="B1668" s="7"/>
      <c r="C1668" s="7"/>
    </row>
    <row r="1669" spans="1:3" ht="12.45" x14ac:dyDescent="0.3">
      <c r="A1669" s="7"/>
      <c r="B1669" s="7"/>
      <c r="C1669" s="7"/>
    </row>
    <row r="1670" spans="1:3" ht="12.45" x14ac:dyDescent="0.3">
      <c r="A1670" s="7"/>
      <c r="B1670" s="7"/>
      <c r="C1670" s="7"/>
    </row>
    <row r="1671" spans="1:3" ht="12.45" x14ac:dyDescent="0.3">
      <c r="A1671" s="7"/>
      <c r="B1671" s="7"/>
      <c r="C1671" s="7"/>
    </row>
    <row r="1672" spans="1:3" ht="12.45" x14ac:dyDescent="0.3">
      <c r="A1672" s="7"/>
      <c r="B1672" s="7"/>
      <c r="C1672" s="7"/>
    </row>
    <row r="1673" spans="1:3" ht="12.45" x14ac:dyDescent="0.3">
      <c r="A1673" s="7"/>
      <c r="B1673" s="7"/>
      <c r="C1673" s="7"/>
    </row>
    <row r="1674" spans="1:3" ht="12.45" x14ac:dyDescent="0.3">
      <c r="A1674" s="7"/>
      <c r="B1674" s="7"/>
      <c r="C1674" s="7"/>
    </row>
    <row r="1675" spans="1:3" ht="12.45" x14ac:dyDescent="0.3">
      <c r="A1675" s="7"/>
      <c r="B1675" s="7"/>
      <c r="C1675" s="7"/>
    </row>
    <row r="1676" spans="1:3" ht="12.45" x14ac:dyDescent="0.3">
      <c r="A1676" s="7"/>
      <c r="B1676" s="7"/>
      <c r="C1676" s="7"/>
    </row>
    <row r="1677" spans="1:3" ht="12.45" x14ac:dyDescent="0.3">
      <c r="A1677" s="7"/>
      <c r="B1677" s="7"/>
      <c r="C1677" s="7"/>
    </row>
    <row r="1678" spans="1:3" ht="12.45" x14ac:dyDescent="0.3">
      <c r="A1678" s="7"/>
      <c r="B1678" s="7"/>
      <c r="C1678" s="7"/>
    </row>
    <row r="1679" spans="1:3" ht="12.45" x14ac:dyDescent="0.3">
      <c r="A1679" s="7"/>
      <c r="B1679" s="7"/>
      <c r="C1679" s="7"/>
    </row>
    <row r="1680" spans="1:3" ht="12.45" x14ac:dyDescent="0.3">
      <c r="A1680" s="7"/>
      <c r="B1680" s="7"/>
      <c r="C1680" s="7"/>
    </row>
    <row r="1681" spans="1:3" ht="12.45" x14ac:dyDescent="0.3">
      <c r="A1681" s="7"/>
      <c r="B1681" s="7"/>
      <c r="C1681" s="7"/>
    </row>
    <row r="1682" spans="1:3" ht="12.45" x14ac:dyDescent="0.3">
      <c r="A1682" s="7"/>
      <c r="B1682" s="7"/>
      <c r="C1682" s="7"/>
    </row>
    <row r="1683" spans="1:3" ht="12.45" x14ac:dyDescent="0.3">
      <c r="A1683" s="7"/>
      <c r="B1683" s="7"/>
      <c r="C1683" s="7"/>
    </row>
    <row r="1684" spans="1:3" ht="12.45" x14ac:dyDescent="0.3">
      <c r="A1684" s="7"/>
      <c r="B1684" s="7"/>
      <c r="C1684" s="7"/>
    </row>
    <row r="1685" spans="1:3" ht="12.45" x14ac:dyDescent="0.3">
      <c r="A1685" s="7"/>
      <c r="B1685" s="7"/>
      <c r="C1685" s="7"/>
    </row>
    <row r="1686" spans="1:3" ht="12.45" x14ac:dyDescent="0.3">
      <c r="A1686" s="7"/>
      <c r="B1686" s="7"/>
      <c r="C1686" s="7"/>
    </row>
    <row r="1687" spans="1:3" ht="12.45" x14ac:dyDescent="0.3">
      <c r="A1687" s="7"/>
      <c r="B1687" s="7"/>
      <c r="C1687" s="7"/>
    </row>
    <row r="1688" spans="1:3" ht="12.45" x14ac:dyDescent="0.3">
      <c r="A1688" s="7"/>
      <c r="B1688" s="7"/>
      <c r="C1688" s="7"/>
    </row>
    <row r="1689" spans="1:3" ht="12.45" x14ac:dyDescent="0.3">
      <c r="A1689" s="7"/>
      <c r="B1689" s="7"/>
      <c r="C1689" s="7"/>
    </row>
    <row r="1690" spans="1:3" ht="12.45" x14ac:dyDescent="0.3">
      <c r="A1690" s="7"/>
      <c r="B1690" s="7"/>
      <c r="C1690" s="7"/>
    </row>
    <row r="1691" spans="1:3" ht="12.45" x14ac:dyDescent="0.3">
      <c r="A1691" s="7"/>
      <c r="B1691" s="7"/>
      <c r="C1691" s="7"/>
    </row>
    <row r="1692" spans="1:3" ht="12.45" x14ac:dyDescent="0.3">
      <c r="A1692" s="7"/>
      <c r="B1692" s="7"/>
      <c r="C1692" s="7"/>
    </row>
    <row r="1693" spans="1:3" ht="12.45" x14ac:dyDescent="0.3">
      <c r="A1693" s="7"/>
      <c r="B1693" s="7"/>
      <c r="C1693" s="7"/>
    </row>
    <row r="1694" spans="1:3" ht="12.45" x14ac:dyDescent="0.3">
      <c r="A1694" s="7"/>
      <c r="B1694" s="7"/>
      <c r="C1694" s="7"/>
    </row>
    <row r="1695" spans="1:3" ht="12.45" x14ac:dyDescent="0.3">
      <c r="A1695" s="7"/>
      <c r="B1695" s="7"/>
      <c r="C1695" s="7"/>
    </row>
    <row r="1696" spans="1:3" ht="12.45" x14ac:dyDescent="0.3">
      <c r="A1696" s="7"/>
      <c r="B1696" s="7"/>
      <c r="C1696" s="7"/>
    </row>
    <row r="1697" spans="1:3" ht="12.45" x14ac:dyDescent="0.3">
      <c r="A1697" s="7"/>
      <c r="B1697" s="7"/>
      <c r="C1697" s="7"/>
    </row>
    <row r="1698" spans="1:3" ht="12.45" x14ac:dyDescent="0.3">
      <c r="A1698" s="7"/>
      <c r="B1698" s="7"/>
      <c r="C1698" s="7"/>
    </row>
    <row r="1699" spans="1:3" ht="12.45" x14ac:dyDescent="0.3">
      <c r="A1699" s="7"/>
      <c r="B1699" s="7"/>
      <c r="C1699" s="7"/>
    </row>
    <row r="1700" spans="1:3" ht="12.45" x14ac:dyDescent="0.3">
      <c r="A1700" s="7"/>
      <c r="B1700" s="7"/>
      <c r="C1700" s="7"/>
    </row>
    <row r="1701" spans="1:3" ht="12.45" x14ac:dyDescent="0.3">
      <c r="A1701" s="7"/>
      <c r="B1701" s="7"/>
      <c r="C1701" s="7"/>
    </row>
    <row r="1702" spans="1:3" ht="12.45" x14ac:dyDescent="0.3">
      <c r="A1702" s="7"/>
      <c r="B1702" s="7"/>
      <c r="C1702" s="7"/>
    </row>
    <row r="1703" spans="1:3" ht="12.45" x14ac:dyDescent="0.3">
      <c r="A1703" s="7"/>
      <c r="B1703" s="7"/>
      <c r="C1703" s="7"/>
    </row>
    <row r="1704" spans="1:3" ht="12.45" x14ac:dyDescent="0.3">
      <c r="A1704" s="7"/>
      <c r="B1704" s="7"/>
      <c r="C1704" s="7"/>
    </row>
    <row r="1705" spans="1:3" ht="12.45" x14ac:dyDescent="0.3">
      <c r="A1705" s="7"/>
      <c r="B1705" s="7"/>
      <c r="C1705" s="7"/>
    </row>
    <row r="1706" spans="1:3" ht="12.45" x14ac:dyDescent="0.3">
      <c r="A1706" s="7"/>
      <c r="B1706" s="7"/>
      <c r="C1706" s="7"/>
    </row>
    <row r="1707" spans="1:3" ht="12.45" x14ac:dyDescent="0.3">
      <c r="A1707" s="7"/>
      <c r="B1707" s="7"/>
      <c r="C1707" s="7"/>
    </row>
    <row r="1708" spans="1:3" ht="12.45" x14ac:dyDescent="0.3">
      <c r="A1708" s="7"/>
      <c r="B1708" s="7"/>
      <c r="C1708" s="7"/>
    </row>
    <row r="1709" spans="1:3" ht="12.45" x14ac:dyDescent="0.3">
      <c r="A1709" s="7"/>
      <c r="B1709" s="7"/>
      <c r="C1709" s="7"/>
    </row>
    <row r="1710" spans="1:3" ht="12.45" x14ac:dyDescent="0.3">
      <c r="A1710" s="7"/>
      <c r="B1710" s="7"/>
      <c r="C1710" s="7"/>
    </row>
    <row r="1711" spans="1:3" ht="12.45" x14ac:dyDescent="0.3">
      <c r="A1711" s="7"/>
      <c r="B1711" s="7"/>
      <c r="C1711" s="7"/>
    </row>
    <row r="1712" spans="1:3" ht="12.45" x14ac:dyDescent="0.3">
      <c r="A1712" s="7"/>
      <c r="B1712" s="7"/>
      <c r="C1712" s="7"/>
    </row>
    <row r="1713" spans="1:3" ht="12.45" x14ac:dyDescent="0.3">
      <c r="A1713" s="7"/>
      <c r="B1713" s="7"/>
      <c r="C1713" s="7"/>
    </row>
    <row r="1714" spans="1:3" ht="12.45" x14ac:dyDescent="0.3">
      <c r="A1714" s="7"/>
      <c r="B1714" s="7"/>
      <c r="C1714" s="7"/>
    </row>
    <row r="1715" spans="1:3" ht="12.45" x14ac:dyDescent="0.3">
      <c r="A1715" s="7"/>
      <c r="B1715" s="7"/>
      <c r="C1715" s="7"/>
    </row>
    <row r="1716" spans="1:3" ht="12.45" x14ac:dyDescent="0.3">
      <c r="A1716" s="7"/>
      <c r="B1716" s="7"/>
      <c r="C1716" s="7"/>
    </row>
    <row r="1717" spans="1:3" ht="12.45" x14ac:dyDescent="0.3">
      <c r="A1717" s="7"/>
      <c r="B1717" s="7"/>
      <c r="C1717" s="7"/>
    </row>
    <row r="1718" spans="1:3" ht="12.45" x14ac:dyDescent="0.3">
      <c r="A1718" s="7"/>
      <c r="B1718" s="7"/>
      <c r="C1718" s="7"/>
    </row>
    <row r="1719" spans="1:3" ht="12.45" x14ac:dyDescent="0.3">
      <c r="A1719" s="7"/>
      <c r="B1719" s="7"/>
      <c r="C1719" s="7"/>
    </row>
    <row r="1720" spans="1:3" ht="12.45" x14ac:dyDescent="0.3">
      <c r="A1720" s="7"/>
      <c r="B1720" s="7"/>
      <c r="C1720" s="7"/>
    </row>
    <row r="1721" spans="1:3" ht="12.45" x14ac:dyDescent="0.3">
      <c r="A1721" s="7"/>
      <c r="B1721" s="7"/>
      <c r="C1721" s="7"/>
    </row>
    <row r="1722" spans="1:3" ht="12.45" x14ac:dyDescent="0.3">
      <c r="A1722" s="7"/>
      <c r="B1722" s="7"/>
      <c r="C1722" s="7"/>
    </row>
    <row r="1723" spans="1:3" ht="12.45" x14ac:dyDescent="0.3">
      <c r="A1723" s="7"/>
      <c r="B1723" s="7"/>
      <c r="C1723" s="7"/>
    </row>
    <row r="1724" spans="1:3" ht="12.45" x14ac:dyDescent="0.3">
      <c r="A1724" s="7"/>
      <c r="B1724" s="7"/>
      <c r="C1724" s="7"/>
    </row>
    <row r="1725" spans="1:3" ht="12.45" x14ac:dyDescent="0.3">
      <c r="A1725" s="7"/>
      <c r="B1725" s="7"/>
      <c r="C1725" s="7"/>
    </row>
    <row r="1726" spans="1:3" ht="12.45" x14ac:dyDescent="0.3">
      <c r="A1726" s="7"/>
      <c r="B1726" s="7"/>
      <c r="C1726" s="7"/>
    </row>
    <row r="1727" spans="1:3" ht="12.45" x14ac:dyDescent="0.3">
      <c r="A1727" s="7"/>
      <c r="B1727" s="7"/>
      <c r="C1727" s="7"/>
    </row>
    <row r="1728" spans="1:3" ht="12.45" x14ac:dyDescent="0.3">
      <c r="A1728" s="7"/>
      <c r="B1728" s="7"/>
      <c r="C1728" s="7"/>
    </row>
    <row r="1729" spans="1:3" ht="12.45" x14ac:dyDescent="0.3">
      <c r="A1729" s="7"/>
      <c r="B1729" s="7"/>
      <c r="C1729" s="7"/>
    </row>
    <row r="1730" spans="1:3" ht="12.45" x14ac:dyDescent="0.3">
      <c r="A1730" s="7"/>
      <c r="B1730" s="7"/>
      <c r="C1730" s="7"/>
    </row>
    <row r="1731" spans="1:3" ht="12.45" x14ac:dyDescent="0.3">
      <c r="A1731" s="7"/>
      <c r="B1731" s="7"/>
      <c r="C1731" s="7"/>
    </row>
    <row r="1732" spans="1:3" ht="12.45" x14ac:dyDescent="0.3">
      <c r="A1732" s="7"/>
      <c r="B1732" s="7"/>
      <c r="C1732" s="7"/>
    </row>
    <row r="1733" spans="1:3" ht="12.45" x14ac:dyDescent="0.3">
      <c r="A1733" s="7"/>
      <c r="B1733" s="7"/>
      <c r="C1733" s="7"/>
    </row>
    <row r="1734" spans="1:3" ht="12.45" x14ac:dyDescent="0.3">
      <c r="A1734" s="7"/>
      <c r="B1734" s="7"/>
      <c r="C1734" s="7"/>
    </row>
    <row r="1735" spans="1:3" ht="12.45" x14ac:dyDescent="0.3">
      <c r="A1735" s="7"/>
      <c r="B1735" s="7"/>
      <c r="C1735" s="7"/>
    </row>
    <row r="1736" spans="1:3" ht="12.45" x14ac:dyDescent="0.3">
      <c r="A1736" s="7"/>
      <c r="B1736" s="7"/>
      <c r="C1736" s="7"/>
    </row>
    <row r="1737" spans="1:3" ht="12.45" x14ac:dyDescent="0.3">
      <c r="A1737" s="7"/>
      <c r="B1737" s="7"/>
      <c r="C1737" s="7"/>
    </row>
    <row r="1738" spans="1:3" ht="12.45" x14ac:dyDescent="0.3">
      <c r="A1738" s="7"/>
      <c r="B1738" s="7"/>
      <c r="C1738" s="7"/>
    </row>
    <row r="1739" spans="1:3" ht="12.45" x14ac:dyDescent="0.3">
      <c r="A1739" s="7"/>
      <c r="B1739" s="7"/>
      <c r="C1739" s="7"/>
    </row>
    <row r="1740" spans="1:3" ht="12.45" x14ac:dyDescent="0.3">
      <c r="A1740" s="7"/>
      <c r="B1740" s="7"/>
      <c r="C1740" s="7"/>
    </row>
    <row r="1741" spans="1:3" ht="12.45" x14ac:dyDescent="0.3">
      <c r="A1741" s="7"/>
      <c r="B1741" s="7"/>
      <c r="C1741" s="7"/>
    </row>
    <row r="1742" spans="1:3" ht="12.45" x14ac:dyDescent="0.3">
      <c r="A1742" s="7"/>
      <c r="B1742" s="7"/>
      <c r="C1742" s="7"/>
    </row>
    <row r="1743" spans="1:3" ht="12.45" x14ac:dyDescent="0.3">
      <c r="A1743" s="7"/>
      <c r="B1743" s="7"/>
      <c r="C1743" s="7"/>
    </row>
    <row r="1744" spans="1:3" ht="12.45" x14ac:dyDescent="0.3">
      <c r="A1744" s="7"/>
      <c r="B1744" s="7"/>
      <c r="C1744" s="7"/>
    </row>
    <row r="1745" spans="1:3" ht="12.45" x14ac:dyDescent="0.3">
      <c r="A1745" s="7"/>
      <c r="B1745" s="7"/>
      <c r="C1745" s="7"/>
    </row>
    <row r="1746" spans="1:3" ht="12.45" x14ac:dyDescent="0.3">
      <c r="A1746" s="7"/>
      <c r="B1746" s="7"/>
      <c r="C1746" s="7"/>
    </row>
    <row r="1747" spans="1:3" ht="12.45" x14ac:dyDescent="0.3">
      <c r="A1747" s="7"/>
      <c r="B1747" s="7"/>
      <c r="C1747" s="7"/>
    </row>
    <row r="1748" spans="1:3" ht="12.45" x14ac:dyDescent="0.3">
      <c r="A1748" s="7"/>
      <c r="B1748" s="7"/>
      <c r="C1748" s="7"/>
    </row>
    <row r="1749" spans="1:3" ht="12.45" x14ac:dyDescent="0.3">
      <c r="A1749" s="7"/>
      <c r="B1749" s="7"/>
      <c r="C1749" s="7"/>
    </row>
    <row r="1750" spans="1:3" ht="12.45" x14ac:dyDescent="0.3">
      <c r="A1750" s="7"/>
      <c r="B1750" s="7"/>
      <c r="C1750" s="7"/>
    </row>
    <row r="1751" spans="1:3" ht="12.45" x14ac:dyDescent="0.3">
      <c r="A1751" s="7"/>
      <c r="B1751" s="7"/>
      <c r="C1751" s="7"/>
    </row>
    <row r="1752" spans="1:3" ht="12.45" x14ac:dyDescent="0.3">
      <c r="A1752" s="7"/>
      <c r="B1752" s="7"/>
      <c r="C1752" s="7"/>
    </row>
    <row r="1753" spans="1:3" ht="12.45" x14ac:dyDescent="0.3">
      <c r="A1753" s="7"/>
      <c r="B1753" s="7"/>
      <c r="C1753" s="7"/>
    </row>
    <row r="1754" spans="1:3" ht="12.45" x14ac:dyDescent="0.3">
      <c r="A1754" s="7"/>
      <c r="B1754" s="7"/>
      <c r="C1754" s="7"/>
    </row>
    <row r="1755" spans="1:3" ht="12.45" x14ac:dyDescent="0.3">
      <c r="A1755" s="7"/>
      <c r="B1755" s="7"/>
      <c r="C1755" s="7"/>
    </row>
    <row r="1756" spans="1:3" ht="12.45" x14ac:dyDescent="0.3">
      <c r="A1756" s="7"/>
      <c r="B1756" s="7"/>
      <c r="C1756" s="7"/>
    </row>
    <row r="1757" spans="1:3" ht="12.45" x14ac:dyDescent="0.3">
      <c r="A1757" s="7"/>
      <c r="B1757" s="7"/>
      <c r="C1757" s="7"/>
    </row>
    <row r="1758" spans="1:3" ht="12.45" x14ac:dyDescent="0.3">
      <c r="A1758" s="7"/>
      <c r="B1758" s="7"/>
      <c r="C1758" s="7"/>
    </row>
    <row r="1759" spans="1:3" ht="12.45" x14ac:dyDescent="0.3">
      <c r="A1759" s="7"/>
      <c r="B1759" s="7"/>
      <c r="C1759" s="7"/>
    </row>
    <row r="1760" spans="1:3" ht="12.45" x14ac:dyDescent="0.3">
      <c r="A1760" s="7"/>
      <c r="B1760" s="7"/>
      <c r="C1760" s="7"/>
    </row>
    <row r="1761" spans="1:3" ht="12.45" x14ac:dyDescent="0.3">
      <c r="A1761" s="7"/>
      <c r="B1761" s="7"/>
      <c r="C1761" s="7"/>
    </row>
    <row r="1762" spans="1:3" ht="12.45" x14ac:dyDescent="0.3">
      <c r="A1762" s="7"/>
      <c r="B1762" s="7"/>
      <c r="C1762" s="7"/>
    </row>
    <row r="1763" spans="1:3" ht="12.45" x14ac:dyDescent="0.3">
      <c r="A1763" s="7"/>
      <c r="B1763" s="7"/>
      <c r="C1763" s="7"/>
    </row>
    <row r="1764" spans="1:3" ht="12.45" x14ac:dyDescent="0.3">
      <c r="A1764" s="7"/>
      <c r="B1764" s="7"/>
      <c r="C1764" s="7"/>
    </row>
    <row r="1765" spans="1:3" ht="12.45" x14ac:dyDescent="0.3">
      <c r="A1765" s="7"/>
      <c r="B1765" s="7"/>
      <c r="C1765" s="7"/>
    </row>
    <row r="1766" spans="1:3" ht="12.45" x14ac:dyDescent="0.3">
      <c r="A1766" s="7"/>
      <c r="B1766" s="7"/>
      <c r="C1766" s="7"/>
    </row>
    <row r="1767" spans="1:3" ht="12.45" x14ac:dyDescent="0.3">
      <c r="A1767" s="7"/>
      <c r="B1767" s="7"/>
      <c r="C1767" s="7"/>
    </row>
    <row r="1768" spans="1:3" ht="12.45" x14ac:dyDescent="0.3">
      <c r="A1768" s="7"/>
      <c r="B1768" s="7"/>
      <c r="C1768" s="7"/>
    </row>
    <row r="1769" spans="1:3" ht="12.45" x14ac:dyDescent="0.3">
      <c r="A1769" s="7"/>
      <c r="B1769" s="7"/>
      <c r="C1769" s="7"/>
    </row>
    <row r="1770" spans="1:3" ht="12.45" x14ac:dyDescent="0.3">
      <c r="A1770" s="7"/>
      <c r="B1770" s="7"/>
      <c r="C1770" s="7"/>
    </row>
    <row r="1771" spans="1:3" ht="12.45" x14ac:dyDescent="0.3">
      <c r="A1771" s="7"/>
      <c r="B1771" s="7"/>
      <c r="C1771" s="7"/>
    </row>
    <row r="1772" spans="1:3" ht="12.45" x14ac:dyDescent="0.3">
      <c r="A1772" s="7"/>
      <c r="B1772" s="7"/>
      <c r="C1772" s="7"/>
    </row>
    <row r="1773" spans="1:3" ht="12.45" x14ac:dyDescent="0.3">
      <c r="A1773" s="7"/>
      <c r="B1773" s="7"/>
      <c r="C1773" s="7"/>
    </row>
    <row r="1774" spans="1:3" ht="12.45" x14ac:dyDescent="0.3">
      <c r="A1774" s="7"/>
      <c r="B1774" s="7"/>
      <c r="C1774" s="7"/>
    </row>
    <row r="1775" spans="1:3" ht="12.45" x14ac:dyDescent="0.3">
      <c r="A1775" s="7"/>
      <c r="B1775" s="7"/>
      <c r="C1775" s="7"/>
    </row>
    <row r="1776" spans="1:3" ht="12.45" x14ac:dyDescent="0.3">
      <c r="A1776" s="7"/>
      <c r="B1776" s="7"/>
      <c r="C1776" s="7"/>
    </row>
    <row r="1777" spans="1:3" ht="12.45" x14ac:dyDescent="0.3">
      <c r="A1777" s="7"/>
      <c r="B1777" s="7"/>
      <c r="C1777" s="7"/>
    </row>
    <row r="1778" spans="1:3" ht="12.45" x14ac:dyDescent="0.3">
      <c r="A1778" s="7"/>
      <c r="B1778" s="7"/>
      <c r="C1778" s="7"/>
    </row>
    <row r="1779" spans="1:3" ht="12.45" x14ac:dyDescent="0.3">
      <c r="A1779" s="7"/>
      <c r="B1779" s="7"/>
      <c r="C1779" s="7"/>
    </row>
    <row r="1780" spans="1:3" ht="12.45" x14ac:dyDescent="0.3">
      <c r="A1780" s="7"/>
      <c r="B1780" s="7"/>
      <c r="C1780" s="7"/>
    </row>
    <row r="1781" spans="1:3" ht="12.45" x14ac:dyDescent="0.3">
      <c r="A1781" s="7"/>
      <c r="B1781" s="7"/>
      <c r="C1781" s="7"/>
    </row>
    <row r="1782" spans="1:3" ht="12.45" x14ac:dyDescent="0.3">
      <c r="A1782" s="7"/>
      <c r="B1782" s="7"/>
      <c r="C1782" s="7"/>
    </row>
    <row r="1783" spans="1:3" ht="12.45" x14ac:dyDescent="0.3">
      <c r="A1783" s="7"/>
      <c r="B1783" s="7"/>
      <c r="C1783" s="7"/>
    </row>
    <row r="1784" spans="1:3" ht="12.45" x14ac:dyDescent="0.3">
      <c r="A1784" s="7"/>
      <c r="B1784" s="7"/>
      <c r="C1784" s="7"/>
    </row>
    <row r="1785" spans="1:3" ht="12.45" x14ac:dyDescent="0.3">
      <c r="A1785" s="7"/>
      <c r="B1785" s="7"/>
      <c r="C1785" s="7"/>
    </row>
    <row r="1786" spans="1:3" ht="12.45" x14ac:dyDescent="0.3">
      <c r="A1786" s="7"/>
      <c r="B1786" s="7"/>
      <c r="C1786" s="7"/>
    </row>
    <row r="1787" spans="1:3" ht="12.45" x14ac:dyDescent="0.3">
      <c r="A1787" s="7"/>
      <c r="B1787" s="7"/>
      <c r="C1787" s="7"/>
    </row>
    <row r="1788" spans="1:3" ht="12.45" x14ac:dyDescent="0.3">
      <c r="A1788" s="7"/>
      <c r="B1788" s="7"/>
      <c r="C1788" s="7"/>
    </row>
    <row r="1789" spans="1:3" ht="12.45" x14ac:dyDescent="0.3">
      <c r="A1789" s="7"/>
      <c r="B1789" s="7"/>
      <c r="C1789" s="7"/>
    </row>
    <row r="1790" spans="1:3" ht="12.45" x14ac:dyDescent="0.3">
      <c r="A1790" s="7"/>
      <c r="B1790" s="7"/>
      <c r="C1790" s="7"/>
    </row>
    <row r="1791" spans="1:3" ht="12.45" x14ac:dyDescent="0.3">
      <c r="A1791" s="7"/>
      <c r="B1791" s="7"/>
      <c r="C1791" s="7"/>
    </row>
    <row r="1792" spans="1:3" ht="12.45" x14ac:dyDescent="0.3">
      <c r="A1792" s="7"/>
      <c r="B1792" s="7"/>
      <c r="C1792" s="7"/>
    </row>
    <row r="1793" spans="1:3" ht="12.45" x14ac:dyDescent="0.3">
      <c r="A1793" s="7"/>
      <c r="B1793" s="7"/>
      <c r="C1793" s="7"/>
    </row>
    <row r="1794" spans="1:3" ht="12.45" x14ac:dyDescent="0.3">
      <c r="A1794" s="7"/>
      <c r="B1794" s="7"/>
      <c r="C1794" s="7"/>
    </row>
    <row r="1795" spans="1:3" ht="12.45" x14ac:dyDescent="0.3">
      <c r="A1795" s="7"/>
      <c r="B1795" s="7"/>
      <c r="C1795" s="7"/>
    </row>
    <row r="1796" spans="1:3" ht="12.45" x14ac:dyDescent="0.3">
      <c r="A1796" s="7"/>
      <c r="B1796" s="7"/>
      <c r="C1796" s="7"/>
    </row>
    <row r="1797" spans="1:3" ht="12.45" x14ac:dyDescent="0.3">
      <c r="A1797" s="7"/>
      <c r="B1797" s="7"/>
      <c r="C1797" s="7"/>
    </row>
    <row r="1798" spans="1:3" ht="12.45" x14ac:dyDescent="0.3">
      <c r="A1798" s="7"/>
      <c r="B1798" s="7"/>
      <c r="C1798" s="7"/>
    </row>
    <row r="1799" spans="1:3" ht="12.45" x14ac:dyDescent="0.3">
      <c r="A1799" s="7"/>
      <c r="B1799" s="7"/>
      <c r="C1799" s="7"/>
    </row>
    <row r="1800" spans="1:3" ht="12.45" x14ac:dyDescent="0.3">
      <c r="A1800" s="7"/>
      <c r="B1800" s="7"/>
      <c r="C1800" s="7"/>
    </row>
    <row r="1801" spans="1:3" ht="12.45" x14ac:dyDescent="0.3">
      <c r="A1801" s="7"/>
      <c r="B1801" s="7"/>
      <c r="C1801" s="7"/>
    </row>
    <row r="1802" spans="1:3" ht="12.45" x14ac:dyDescent="0.3">
      <c r="A1802" s="7"/>
      <c r="B1802" s="7"/>
      <c r="C1802" s="7"/>
    </row>
    <row r="1803" spans="1:3" ht="12.45" x14ac:dyDescent="0.3">
      <c r="A1803" s="7"/>
      <c r="B1803" s="7"/>
      <c r="C1803" s="7"/>
    </row>
    <row r="1804" spans="1:3" ht="12.45" x14ac:dyDescent="0.3">
      <c r="A1804" s="7"/>
      <c r="B1804" s="7"/>
      <c r="C1804" s="7"/>
    </row>
    <row r="1805" spans="1:3" ht="12.45" x14ac:dyDescent="0.3">
      <c r="A1805" s="7"/>
      <c r="B1805" s="7"/>
      <c r="C1805" s="7"/>
    </row>
    <row r="1806" spans="1:3" ht="12.45" x14ac:dyDescent="0.3">
      <c r="A1806" s="7"/>
      <c r="B1806" s="7"/>
      <c r="C1806" s="7"/>
    </row>
    <row r="1807" spans="1:3" ht="12.45" x14ac:dyDescent="0.3">
      <c r="A1807" s="7"/>
      <c r="B1807" s="7"/>
      <c r="C1807" s="7"/>
    </row>
    <row r="1808" spans="1:3" ht="12.45" x14ac:dyDescent="0.3">
      <c r="A1808" s="7"/>
      <c r="B1808" s="7"/>
      <c r="C1808" s="7"/>
    </row>
    <row r="1809" spans="1:3" ht="12.45" x14ac:dyDescent="0.3">
      <c r="A1809" s="7"/>
      <c r="B1809" s="7"/>
      <c r="C1809" s="7"/>
    </row>
    <row r="1810" spans="1:3" ht="12.45" x14ac:dyDescent="0.3">
      <c r="A1810" s="7"/>
      <c r="B1810" s="7"/>
      <c r="C1810" s="7"/>
    </row>
    <row r="1811" spans="1:3" ht="12.45" x14ac:dyDescent="0.3">
      <c r="A1811" s="7"/>
      <c r="B1811" s="7"/>
      <c r="C1811" s="7"/>
    </row>
    <row r="1812" spans="1:3" ht="12.45" x14ac:dyDescent="0.3">
      <c r="A1812" s="7"/>
      <c r="B1812" s="7"/>
      <c r="C1812" s="7"/>
    </row>
    <row r="1813" spans="1:3" ht="12.45" x14ac:dyDescent="0.3">
      <c r="A1813" s="7"/>
      <c r="B1813" s="7"/>
      <c r="C1813" s="7"/>
    </row>
    <row r="1814" spans="1:3" ht="12.45" x14ac:dyDescent="0.3">
      <c r="A1814" s="7"/>
      <c r="B1814" s="7"/>
      <c r="C1814" s="7"/>
    </row>
    <row r="1815" spans="1:3" ht="12.45" x14ac:dyDescent="0.3">
      <c r="A1815" s="7"/>
      <c r="B1815" s="7"/>
      <c r="C1815" s="7"/>
    </row>
    <row r="1816" spans="1:3" ht="12.45" x14ac:dyDescent="0.3">
      <c r="A1816" s="7"/>
      <c r="B1816" s="7"/>
      <c r="C1816" s="7"/>
    </row>
    <row r="1817" spans="1:3" ht="12.45" x14ac:dyDescent="0.3">
      <c r="A1817" s="7"/>
      <c r="B1817" s="7"/>
      <c r="C1817" s="7"/>
    </row>
    <row r="1818" spans="1:3" ht="12.45" x14ac:dyDescent="0.3">
      <c r="A1818" s="7"/>
      <c r="B1818" s="7"/>
      <c r="C1818" s="7"/>
    </row>
    <row r="1819" spans="1:3" ht="12.45" x14ac:dyDescent="0.3">
      <c r="A1819" s="7"/>
      <c r="B1819" s="7"/>
      <c r="C1819" s="7"/>
    </row>
    <row r="1820" spans="1:3" ht="12.45" x14ac:dyDescent="0.3">
      <c r="A1820" s="7"/>
      <c r="B1820" s="7"/>
      <c r="C1820" s="7"/>
    </row>
    <row r="1821" spans="1:3" ht="12.45" x14ac:dyDescent="0.3">
      <c r="A1821" s="7"/>
      <c r="B1821" s="7"/>
      <c r="C1821" s="7"/>
    </row>
    <row r="1822" spans="1:3" ht="12.45" x14ac:dyDescent="0.3">
      <c r="A1822" s="7"/>
      <c r="B1822" s="7"/>
      <c r="C1822" s="7"/>
    </row>
    <row r="1823" spans="1:3" ht="12.45" x14ac:dyDescent="0.3">
      <c r="A1823" s="7"/>
      <c r="B1823" s="7"/>
      <c r="C1823" s="7"/>
    </row>
    <row r="1824" spans="1:3" ht="12.45" x14ac:dyDescent="0.3">
      <c r="A1824" s="7"/>
      <c r="B1824" s="7"/>
      <c r="C1824" s="7"/>
    </row>
    <row r="1825" spans="1:3" ht="12.45" x14ac:dyDescent="0.3">
      <c r="A1825" s="7"/>
      <c r="B1825" s="7"/>
      <c r="C1825" s="7"/>
    </row>
    <row r="1826" spans="1:3" ht="12.45" x14ac:dyDescent="0.3">
      <c r="A1826" s="7"/>
      <c r="B1826" s="7"/>
      <c r="C1826" s="7"/>
    </row>
    <row r="1827" spans="1:3" ht="12.45" x14ac:dyDescent="0.3">
      <c r="A1827" s="7"/>
      <c r="B1827" s="7"/>
      <c r="C1827" s="7"/>
    </row>
    <row r="1828" spans="1:3" ht="12.45" x14ac:dyDescent="0.3">
      <c r="A1828" s="7"/>
      <c r="B1828" s="7"/>
      <c r="C1828" s="7"/>
    </row>
    <row r="1829" spans="1:3" ht="12.45" x14ac:dyDescent="0.3">
      <c r="A1829" s="7"/>
      <c r="B1829" s="7"/>
      <c r="C1829" s="7"/>
    </row>
    <row r="1830" spans="1:3" ht="12.45" x14ac:dyDescent="0.3">
      <c r="A1830" s="7"/>
      <c r="B1830" s="7"/>
      <c r="C1830" s="7"/>
    </row>
    <row r="1831" spans="1:3" ht="12.45" x14ac:dyDescent="0.3">
      <c r="A1831" s="7"/>
      <c r="B1831" s="7"/>
      <c r="C1831" s="7"/>
    </row>
    <row r="1832" spans="1:3" ht="12.45" x14ac:dyDescent="0.3">
      <c r="A1832" s="7"/>
      <c r="B1832" s="7"/>
      <c r="C1832" s="7"/>
    </row>
    <row r="1833" spans="1:3" ht="12.45" x14ac:dyDescent="0.3">
      <c r="A1833" s="7"/>
      <c r="B1833" s="7"/>
      <c r="C1833" s="7"/>
    </row>
    <row r="1834" spans="1:3" ht="12.45" x14ac:dyDescent="0.3">
      <c r="A1834" s="7"/>
      <c r="B1834" s="7"/>
      <c r="C1834" s="7"/>
    </row>
    <row r="1835" spans="1:3" ht="12.45" x14ac:dyDescent="0.3">
      <c r="A1835" s="7"/>
      <c r="B1835" s="7"/>
      <c r="C1835" s="7"/>
    </row>
    <row r="1836" spans="1:3" ht="12.45" x14ac:dyDescent="0.3">
      <c r="A1836" s="7"/>
      <c r="B1836" s="7"/>
      <c r="C1836" s="7"/>
    </row>
    <row r="1837" spans="1:3" ht="12.45" x14ac:dyDescent="0.3">
      <c r="A1837" s="7"/>
      <c r="B1837" s="7"/>
      <c r="C1837" s="7"/>
    </row>
    <row r="1838" spans="1:3" ht="12.45" x14ac:dyDescent="0.3">
      <c r="A1838" s="7"/>
      <c r="B1838" s="7"/>
      <c r="C1838" s="7"/>
    </row>
    <row r="1839" spans="1:3" ht="12.45" x14ac:dyDescent="0.3">
      <c r="A1839" s="7"/>
      <c r="B1839" s="7"/>
      <c r="C1839" s="7"/>
    </row>
    <row r="1840" spans="1:3" ht="12.45" x14ac:dyDescent="0.3">
      <c r="A1840" s="7"/>
      <c r="B1840" s="7"/>
      <c r="C1840" s="7"/>
    </row>
    <row r="1841" spans="1:3" ht="12.45" x14ac:dyDescent="0.3">
      <c r="A1841" s="7"/>
      <c r="B1841" s="7"/>
      <c r="C1841" s="7"/>
    </row>
    <row r="1842" spans="1:3" ht="12.45" x14ac:dyDescent="0.3">
      <c r="A1842" s="7"/>
      <c r="B1842" s="7"/>
      <c r="C1842" s="7"/>
    </row>
    <row r="1843" spans="1:3" ht="12.45" x14ac:dyDescent="0.3">
      <c r="A1843" s="7"/>
      <c r="B1843" s="7"/>
      <c r="C1843" s="7"/>
    </row>
    <row r="1844" spans="1:3" ht="12.45" x14ac:dyDescent="0.3">
      <c r="A1844" s="7"/>
      <c r="B1844" s="7"/>
      <c r="C1844" s="7"/>
    </row>
    <row r="1845" spans="1:3" ht="12.45" x14ac:dyDescent="0.3">
      <c r="A1845" s="7"/>
      <c r="B1845" s="7"/>
      <c r="C1845" s="7"/>
    </row>
    <row r="1846" spans="1:3" ht="12.45" x14ac:dyDescent="0.3">
      <c r="A1846" s="7"/>
      <c r="B1846" s="7"/>
      <c r="C1846" s="7"/>
    </row>
    <row r="1847" spans="1:3" ht="12.45" x14ac:dyDescent="0.3">
      <c r="A1847" s="7"/>
      <c r="B1847" s="7"/>
      <c r="C1847" s="7"/>
    </row>
    <row r="1848" spans="1:3" ht="12.45" x14ac:dyDescent="0.3">
      <c r="A1848" s="7"/>
      <c r="B1848" s="7"/>
      <c r="C1848" s="7"/>
    </row>
    <row r="1849" spans="1:3" ht="12.45" x14ac:dyDescent="0.3">
      <c r="A1849" s="7"/>
      <c r="B1849" s="7"/>
      <c r="C1849" s="7"/>
    </row>
    <row r="1850" spans="1:3" ht="12.45" x14ac:dyDescent="0.3">
      <c r="A1850" s="7"/>
      <c r="B1850" s="7"/>
      <c r="C1850" s="7"/>
    </row>
    <row r="1851" spans="1:3" ht="12.45" x14ac:dyDescent="0.3">
      <c r="A1851" s="7"/>
      <c r="B1851" s="7"/>
      <c r="C1851" s="7"/>
    </row>
    <row r="1852" spans="1:3" ht="12.45" x14ac:dyDescent="0.3">
      <c r="A1852" s="7"/>
      <c r="B1852" s="7"/>
      <c r="C1852" s="7"/>
    </row>
    <row r="1853" spans="1:3" ht="12.45" x14ac:dyDescent="0.3">
      <c r="A1853" s="7"/>
      <c r="B1853" s="7"/>
      <c r="C1853" s="7"/>
    </row>
    <row r="1854" spans="1:3" ht="12.45" x14ac:dyDescent="0.3">
      <c r="A1854" s="7"/>
      <c r="B1854" s="7"/>
      <c r="C1854" s="7"/>
    </row>
    <row r="1855" spans="1:3" ht="12.45" x14ac:dyDescent="0.3">
      <c r="A1855" s="7"/>
      <c r="B1855" s="7"/>
      <c r="C1855" s="7"/>
    </row>
    <row r="1856" spans="1:3" ht="12.45" x14ac:dyDescent="0.3">
      <c r="A1856" s="7"/>
      <c r="B1856" s="7"/>
      <c r="C1856" s="7"/>
    </row>
    <row r="1857" spans="1:3" ht="12.45" x14ac:dyDescent="0.3">
      <c r="A1857" s="7"/>
      <c r="B1857" s="7"/>
      <c r="C1857" s="7"/>
    </row>
    <row r="1858" spans="1:3" ht="12.45" x14ac:dyDescent="0.3">
      <c r="A1858" s="7"/>
      <c r="B1858" s="7"/>
      <c r="C1858" s="7"/>
    </row>
    <row r="1859" spans="1:3" ht="12.45" x14ac:dyDescent="0.3">
      <c r="A1859" s="7"/>
      <c r="B1859" s="7"/>
      <c r="C1859" s="7"/>
    </row>
    <row r="1860" spans="1:3" ht="12.45" x14ac:dyDescent="0.3">
      <c r="A1860" s="7"/>
      <c r="B1860" s="7"/>
      <c r="C1860" s="7"/>
    </row>
    <row r="1861" spans="1:3" ht="12.45" x14ac:dyDescent="0.3">
      <c r="A1861" s="7"/>
      <c r="B1861" s="7"/>
      <c r="C1861" s="7"/>
    </row>
    <row r="1862" spans="1:3" ht="12.45" x14ac:dyDescent="0.3">
      <c r="A1862" s="7"/>
      <c r="B1862" s="7"/>
      <c r="C1862" s="7"/>
    </row>
    <row r="1863" spans="1:3" ht="12.45" x14ac:dyDescent="0.3">
      <c r="A1863" s="7"/>
      <c r="B1863" s="7"/>
      <c r="C1863" s="7"/>
    </row>
    <row r="1864" spans="1:3" ht="12.45" x14ac:dyDescent="0.3">
      <c r="A1864" s="7"/>
      <c r="B1864" s="7"/>
      <c r="C1864" s="7"/>
    </row>
    <row r="1865" spans="1:3" ht="12.45" x14ac:dyDescent="0.3">
      <c r="A1865" s="7"/>
      <c r="B1865" s="7"/>
      <c r="C1865" s="7"/>
    </row>
    <row r="1866" spans="1:3" ht="12.45" x14ac:dyDescent="0.3">
      <c r="A1866" s="7"/>
      <c r="B1866" s="7"/>
      <c r="C1866" s="7"/>
    </row>
    <row r="1867" spans="1:3" ht="12.45" x14ac:dyDescent="0.3">
      <c r="A1867" s="7"/>
      <c r="B1867" s="7"/>
      <c r="C1867" s="7"/>
    </row>
    <row r="1868" spans="1:3" ht="12.45" x14ac:dyDescent="0.3">
      <c r="A1868" s="7"/>
      <c r="B1868" s="7"/>
      <c r="C1868" s="7"/>
    </row>
    <row r="1869" spans="1:3" ht="12.45" x14ac:dyDescent="0.3">
      <c r="A1869" s="7"/>
      <c r="B1869" s="7"/>
      <c r="C1869" s="7"/>
    </row>
    <row r="1870" spans="1:3" ht="12.45" x14ac:dyDescent="0.3">
      <c r="A1870" s="7"/>
      <c r="B1870" s="7"/>
      <c r="C1870" s="7"/>
    </row>
    <row r="1871" spans="1:3" ht="12.45" x14ac:dyDescent="0.3">
      <c r="A1871" s="7"/>
      <c r="B1871" s="7"/>
      <c r="C1871" s="7"/>
    </row>
    <row r="1872" spans="1:3" ht="12.45" x14ac:dyDescent="0.3">
      <c r="A1872" s="7"/>
      <c r="B1872" s="7"/>
      <c r="C1872" s="7"/>
    </row>
    <row r="1873" spans="1:3" ht="12.45" x14ac:dyDescent="0.3">
      <c r="A1873" s="7"/>
      <c r="B1873" s="7"/>
      <c r="C1873" s="7"/>
    </row>
    <row r="1874" spans="1:3" ht="12.45" x14ac:dyDescent="0.3">
      <c r="A1874" s="7"/>
      <c r="B1874" s="7"/>
      <c r="C1874" s="7"/>
    </row>
    <row r="1875" spans="1:3" ht="12.45" x14ac:dyDescent="0.3">
      <c r="A1875" s="7"/>
      <c r="B1875" s="7"/>
      <c r="C1875" s="7"/>
    </row>
    <row r="1876" spans="1:3" ht="12.45" x14ac:dyDescent="0.3">
      <c r="A1876" s="7"/>
      <c r="B1876" s="7"/>
      <c r="C1876" s="7"/>
    </row>
    <row r="1877" spans="1:3" ht="12.45" x14ac:dyDescent="0.3">
      <c r="A1877" s="7"/>
      <c r="B1877" s="7"/>
      <c r="C1877" s="7"/>
    </row>
    <row r="1878" spans="1:3" ht="12.45" x14ac:dyDescent="0.3">
      <c r="A1878" s="7"/>
      <c r="B1878" s="7"/>
      <c r="C1878" s="7"/>
    </row>
    <row r="1879" spans="1:3" ht="12.45" x14ac:dyDescent="0.3">
      <c r="A1879" s="7"/>
      <c r="B1879" s="7"/>
      <c r="C1879" s="7"/>
    </row>
    <row r="1880" spans="1:3" ht="12.45" x14ac:dyDescent="0.3">
      <c r="A1880" s="7"/>
      <c r="B1880" s="7"/>
      <c r="C1880" s="7"/>
    </row>
    <row r="1881" spans="1:3" ht="12.45" x14ac:dyDescent="0.3">
      <c r="A1881" s="7"/>
      <c r="B1881" s="7"/>
      <c r="C1881" s="7"/>
    </row>
    <row r="1882" spans="1:3" ht="12.45" x14ac:dyDescent="0.3">
      <c r="A1882" s="7"/>
      <c r="B1882" s="7"/>
      <c r="C1882" s="7"/>
    </row>
    <row r="1883" spans="1:3" ht="12.45" x14ac:dyDescent="0.3">
      <c r="A1883" s="7"/>
      <c r="B1883" s="7"/>
      <c r="C1883" s="7"/>
    </row>
    <row r="1884" spans="1:3" ht="12.45" x14ac:dyDescent="0.3">
      <c r="A1884" s="7"/>
      <c r="B1884" s="7"/>
      <c r="C1884" s="7"/>
    </row>
    <row r="1885" spans="1:3" ht="12.45" x14ac:dyDescent="0.3">
      <c r="A1885" s="7"/>
      <c r="B1885" s="7"/>
      <c r="C1885" s="7"/>
    </row>
    <row r="1886" spans="1:3" ht="12.45" x14ac:dyDescent="0.3">
      <c r="A1886" s="7"/>
      <c r="B1886" s="7"/>
      <c r="C1886" s="7"/>
    </row>
    <row r="1887" spans="1:3" ht="12.45" x14ac:dyDescent="0.3">
      <c r="A1887" s="7"/>
      <c r="B1887" s="7"/>
      <c r="C1887" s="7"/>
    </row>
    <row r="1888" spans="1:3" ht="12.45" x14ac:dyDescent="0.3">
      <c r="A1888" s="7"/>
      <c r="B1888" s="7"/>
      <c r="C1888" s="7"/>
    </row>
    <row r="1889" spans="1:3" ht="12.45" x14ac:dyDescent="0.3">
      <c r="A1889" s="7"/>
      <c r="B1889" s="7"/>
      <c r="C1889" s="7"/>
    </row>
    <row r="1890" spans="1:3" ht="12.45" x14ac:dyDescent="0.3">
      <c r="A1890" s="7"/>
      <c r="B1890" s="7"/>
      <c r="C1890" s="7"/>
    </row>
    <row r="1891" spans="1:3" ht="12.45" x14ac:dyDescent="0.3">
      <c r="A1891" s="7"/>
      <c r="B1891" s="7"/>
      <c r="C1891" s="7"/>
    </row>
    <row r="1892" spans="1:3" ht="12.45" x14ac:dyDescent="0.3">
      <c r="A1892" s="7"/>
      <c r="B1892" s="7"/>
      <c r="C1892" s="7"/>
    </row>
    <row r="1893" spans="1:3" ht="12.45" x14ac:dyDescent="0.3">
      <c r="A1893" s="7"/>
      <c r="B1893" s="7"/>
      <c r="C1893" s="7"/>
    </row>
    <row r="1894" spans="1:3" ht="12.45" x14ac:dyDescent="0.3">
      <c r="A1894" s="7"/>
      <c r="B1894" s="7"/>
      <c r="C1894" s="7"/>
    </row>
    <row r="1895" spans="1:3" ht="12.45" x14ac:dyDescent="0.3">
      <c r="A1895" s="7"/>
      <c r="B1895" s="7"/>
      <c r="C1895" s="7"/>
    </row>
    <row r="1896" spans="1:3" ht="12.45" x14ac:dyDescent="0.3">
      <c r="A1896" s="7"/>
      <c r="B1896" s="7"/>
      <c r="C1896" s="7"/>
    </row>
    <row r="1897" spans="1:3" ht="12.45" x14ac:dyDescent="0.3">
      <c r="A1897" s="7"/>
      <c r="B1897" s="7"/>
      <c r="C1897" s="7"/>
    </row>
    <row r="1898" spans="1:3" ht="12.45" x14ac:dyDescent="0.3">
      <c r="A1898" s="7"/>
      <c r="B1898" s="7"/>
      <c r="C1898" s="7"/>
    </row>
    <row r="1899" spans="1:3" ht="12.45" x14ac:dyDescent="0.3">
      <c r="A1899" s="7"/>
      <c r="B1899" s="7"/>
      <c r="C1899" s="7"/>
    </row>
    <row r="1900" spans="1:3" ht="12.45" x14ac:dyDescent="0.3">
      <c r="A1900" s="7"/>
      <c r="B1900" s="7"/>
      <c r="C1900" s="7"/>
    </row>
    <row r="1901" spans="1:3" ht="12.45" x14ac:dyDescent="0.3">
      <c r="A1901" s="7"/>
      <c r="B1901" s="7"/>
      <c r="C1901" s="7"/>
    </row>
    <row r="1902" spans="1:3" ht="12.45" x14ac:dyDescent="0.3">
      <c r="A1902" s="7"/>
      <c r="B1902" s="7"/>
      <c r="C1902" s="7"/>
    </row>
    <row r="1903" spans="1:3" ht="12.45" x14ac:dyDescent="0.3">
      <c r="A1903" s="7"/>
      <c r="B1903" s="7"/>
      <c r="C1903" s="7"/>
    </row>
    <row r="1904" spans="1:3" ht="12.45" x14ac:dyDescent="0.3">
      <c r="A1904" s="7"/>
      <c r="B1904" s="7"/>
      <c r="C1904" s="7"/>
    </row>
    <row r="1905" spans="1:3" ht="12.45" x14ac:dyDescent="0.3">
      <c r="A1905" s="7"/>
      <c r="B1905" s="7"/>
      <c r="C1905" s="7"/>
    </row>
    <row r="1906" spans="1:3" ht="12.45" x14ac:dyDescent="0.3">
      <c r="A1906" s="7"/>
      <c r="B1906" s="7"/>
      <c r="C1906" s="7"/>
    </row>
    <row r="1907" spans="1:3" ht="12.45" x14ac:dyDescent="0.3">
      <c r="A1907" s="7"/>
      <c r="B1907" s="7"/>
      <c r="C1907" s="7"/>
    </row>
    <row r="1908" spans="1:3" ht="12.45" x14ac:dyDescent="0.3">
      <c r="A1908" s="7"/>
      <c r="B1908" s="7"/>
      <c r="C1908" s="7"/>
    </row>
    <row r="1909" spans="1:3" ht="12.45" x14ac:dyDescent="0.3">
      <c r="A1909" s="7"/>
      <c r="B1909" s="7"/>
      <c r="C1909" s="7"/>
    </row>
    <row r="1910" spans="1:3" ht="12.45" x14ac:dyDescent="0.3">
      <c r="A1910" s="7"/>
      <c r="B1910" s="7"/>
      <c r="C1910" s="7"/>
    </row>
    <row r="1911" spans="1:3" ht="12.45" x14ac:dyDescent="0.3">
      <c r="A1911" s="7"/>
      <c r="B1911" s="7"/>
      <c r="C1911" s="7"/>
    </row>
    <row r="1912" spans="1:3" ht="12.45" x14ac:dyDescent="0.3">
      <c r="A1912" s="7"/>
      <c r="B1912" s="7"/>
      <c r="C1912" s="7"/>
    </row>
    <row r="1913" spans="1:3" ht="12.45" x14ac:dyDescent="0.3">
      <c r="A1913" s="7"/>
      <c r="B1913" s="7"/>
      <c r="C1913" s="7"/>
    </row>
    <row r="1914" spans="1:3" ht="12.45" x14ac:dyDescent="0.3">
      <c r="A1914" s="7"/>
      <c r="B1914" s="7"/>
      <c r="C1914" s="7"/>
    </row>
    <row r="1915" spans="1:3" ht="12.45" x14ac:dyDescent="0.3">
      <c r="A1915" s="7"/>
      <c r="B1915" s="7"/>
      <c r="C1915" s="7"/>
    </row>
    <row r="1916" spans="1:3" ht="12.45" x14ac:dyDescent="0.3">
      <c r="A1916" s="7"/>
      <c r="B1916" s="7"/>
      <c r="C1916" s="7"/>
    </row>
    <row r="1917" spans="1:3" ht="12.45" x14ac:dyDescent="0.3">
      <c r="A1917" s="7"/>
      <c r="B1917" s="7"/>
      <c r="C1917" s="7"/>
    </row>
    <row r="1918" spans="1:3" ht="12.45" x14ac:dyDescent="0.3">
      <c r="A1918" s="7"/>
      <c r="B1918" s="7"/>
      <c r="C1918" s="7"/>
    </row>
    <row r="1919" spans="1:3" ht="12.45" x14ac:dyDescent="0.3">
      <c r="A1919" s="7"/>
      <c r="B1919" s="7"/>
      <c r="C1919" s="7"/>
    </row>
    <row r="1920" spans="1:3" ht="12.45" x14ac:dyDescent="0.3">
      <c r="A1920" s="7"/>
      <c r="B1920" s="7"/>
      <c r="C1920" s="7"/>
    </row>
    <row r="1921" spans="1:3" ht="12.45" x14ac:dyDescent="0.3">
      <c r="A1921" s="7"/>
      <c r="B1921" s="7"/>
      <c r="C1921" s="7"/>
    </row>
    <row r="1922" spans="1:3" ht="12.45" x14ac:dyDescent="0.3">
      <c r="A1922" s="7"/>
      <c r="B1922" s="7"/>
      <c r="C1922" s="7"/>
    </row>
    <row r="1923" spans="1:3" ht="12.45" x14ac:dyDescent="0.3">
      <c r="A1923" s="7"/>
      <c r="B1923" s="7"/>
      <c r="C1923" s="7"/>
    </row>
    <row r="1924" spans="1:3" ht="12.45" x14ac:dyDescent="0.3">
      <c r="A1924" s="7"/>
      <c r="B1924" s="7"/>
      <c r="C1924" s="7"/>
    </row>
    <row r="1925" spans="1:3" ht="12.45" x14ac:dyDescent="0.3">
      <c r="A1925" s="7"/>
      <c r="B1925" s="7"/>
      <c r="C1925" s="7"/>
    </row>
    <row r="1926" spans="1:3" ht="12.45" x14ac:dyDescent="0.3">
      <c r="A1926" s="7"/>
      <c r="B1926" s="7"/>
      <c r="C1926" s="7"/>
    </row>
    <row r="1927" spans="1:3" ht="12.45" x14ac:dyDescent="0.3">
      <c r="A1927" s="7"/>
      <c r="B1927" s="7"/>
      <c r="C1927" s="7"/>
    </row>
    <row r="1928" spans="1:3" ht="12.45" x14ac:dyDescent="0.3">
      <c r="A1928" s="7"/>
      <c r="B1928" s="7"/>
      <c r="C1928" s="7"/>
    </row>
    <row r="1929" spans="1:3" ht="12.45" x14ac:dyDescent="0.3">
      <c r="A1929" s="7"/>
      <c r="B1929" s="7"/>
      <c r="C1929" s="7"/>
    </row>
    <row r="1930" spans="1:3" ht="12.45" x14ac:dyDescent="0.3">
      <c r="A1930" s="7"/>
      <c r="B1930" s="7"/>
      <c r="C1930" s="7"/>
    </row>
    <row r="1931" spans="1:3" ht="12.45" x14ac:dyDescent="0.3">
      <c r="A1931" s="7"/>
      <c r="B1931" s="7"/>
      <c r="C1931" s="7"/>
    </row>
    <row r="1932" spans="1:3" ht="12.45" x14ac:dyDescent="0.3">
      <c r="A1932" s="7"/>
      <c r="B1932" s="7"/>
      <c r="C1932" s="7"/>
    </row>
    <row r="1933" spans="1:3" ht="12.45" x14ac:dyDescent="0.3">
      <c r="A1933" s="7"/>
      <c r="B1933" s="7"/>
      <c r="C1933" s="7"/>
    </row>
    <row r="1934" spans="1:3" ht="12.45" x14ac:dyDescent="0.3">
      <c r="A1934" s="7"/>
      <c r="B1934" s="7"/>
      <c r="C1934" s="7"/>
    </row>
    <row r="1935" spans="1:3" ht="12.45" x14ac:dyDescent="0.3">
      <c r="A1935" s="7"/>
      <c r="B1935" s="7"/>
      <c r="C1935" s="7"/>
    </row>
    <row r="1936" spans="1:3" ht="12.45" x14ac:dyDescent="0.3">
      <c r="A1936" s="7"/>
      <c r="B1936" s="7"/>
      <c r="C1936" s="7"/>
    </row>
    <row r="1937" spans="1:3" ht="12.45" x14ac:dyDescent="0.3">
      <c r="A1937" s="7"/>
      <c r="B1937" s="7"/>
      <c r="C1937" s="7"/>
    </row>
    <row r="1938" spans="1:3" ht="12.45" x14ac:dyDescent="0.3">
      <c r="A1938" s="7"/>
      <c r="B1938" s="7"/>
      <c r="C1938" s="7"/>
    </row>
    <row r="1939" spans="1:3" ht="12.45" x14ac:dyDescent="0.3">
      <c r="A1939" s="7"/>
      <c r="B1939" s="7"/>
      <c r="C1939" s="7"/>
    </row>
    <row r="1940" spans="1:3" ht="12.45" x14ac:dyDescent="0.3">
      <c r="A1940" s="7"/>
      <c r="B1940" s="7"/>
      <c r="C1940" s="7"/>
    </row>
    <row r="1941" spans="1:3" ht="12.45" x14ac:dyDescent="0.3">
      <c r="A1941" s="7"/>
      <c r="B1941" s="7"/>
      <c r="C1941" s="7"/>
    </row>
    <row r="1942" spans="1:3" ht="12.45" x14ac:dyDescent="0.3">
      <c r="A1942" s="7"/>
      <c r="B1942" s="7"/>
      <c r="C1942" s="7"/>
    </row>
    <row r="1943" spans="1:3" ht="12.45" x14ac:dyDescent="0.3">
      <c r="A1943" s="7"/>
      <c r="B1943" s="7"/>
      <c r="C1943" s="7"/>
    </row>
    <row r="1944" spans="1:3" ht="12.45" x14ac:dyDescent="0.3">
      <c r="A1944" s="7"/>
      <c r="B1944" s="7"/>
      <c r="C1944" s="7"/>
    </row>
    <row r="1945" spans="1:3" ht="12.45" x14ac:dyDescent="0.3">
      <c r="A1945" s="7"/>
      <c r="B1945" s="7"/>
      <c r="C1945" s="7"/>
    </row>
    <row r="1946" spans="1:3" ht="12.45" x14ac:dyDescent="0.3">
      <c r="A1946" s="7"/>
      <c r="B1946" s="7"/>
      <c r="C1946" s="7"/>
    </row>
    <row r="1947" spans="1:3" ht="12.45" x14ac:dyDescent="0.3">
      <c r="A1947" s="7"/>
      <c r="B1947" s="7"/>
      <c r="C1947" s="7"/>
    </row>
    <row r="1948" spans="1:3" ht="12.45" x14ac:dyDescent="0.3">
      <c r="A1948" s="7"/>
      <c r="B1948" s="7"/>
      <c r="C1948" s="7"/>
    </row>
    <row r="1949" spans="1:3" ht="12.45" x14ac:dyDescent="0.3">
      <c r="A1949" s="7"/>
      <c r="B1949" s="7"/>
      <c r="C1949" s="7"/>
    </row>
    <row r="1950" spans="1:3" ht="12.45" x14ac:dyDescent="0.3">
      <c r="A1950" s="7"/>
      <c r="B1950" s="7"/>
      <c r="C1950" s="7"/>
    </row>
    <row r="1951" spans="1:3" ht="12.45" x14ac:dyDescent="0.3">
      <c r="A1951" s="7"/>
      <c r="B1951" s="7"/>
      <c r="C1951" s="7"/>
    </row>
    <row r="1952" spans="1:3" ht="12.45" x14ac:dyDescent="0.3">
      <c r="A1952" s="7"/>
      <c r="B1952" s="7"/>
      <c r="C1952" s="7"/>
    </row>
    <row r="1953" spans="1:3" ht="12.45" x14ac:dyDescent="0.3">
      <c r="A1953" s="7"/>
      <c r="B1953" s="7"/>
      <c r="C1953" s="7"/>
    </row>
    <row r="1954" spans="1:3" ht="12.45" x14ac:dyDescent="0.3">
      <c r="A1954" s="7"/>
      <c r="B1954" s="7"/>
      <c r="C1954" s="7"/>
    </row>
    <row r="1955" spans="1:3" ht="12.45" x14ac:dyDescent="0.3">
      <c r="A1955" s="7"/>
      <c r="B1955" s="7"/>
      <c r="C1955" s="7"/>
    </row>
    <row r="1956" spans="1:3" ht="12.45" x14ac:dyDescent="0.3">
      <c r="A1956" s="7"/>
      <c r="B1956" s="7"/>
      <c r="C1956" s="7"/>
    </row>
    <row r="1957" spans="1:3" ht="12.45" x14ac:dyDescent="0.3">
      <c r="A1957" s="7"/>
      <c r="B1957" s="7"/>
      <c r="C1957" s="7"/>
    </row>
    <row r="1958" spans="1:3" ht="12.45" x14ac:dyDescent="0.3">
      <c r="A1958" s="7"/>
      <c r="B1958" s="7"/>
      <c r="C1958" s="7"/>
    </row>
    <row r="1959" spans="1:3" ht="12.45" x14ac:dyDescent="0.3">
      <c r="A1959" s="7"/>
      <c r="B1959" s="7"/>
      <c r="C1959" s="7"/>
    </row>
    <row r="1960" spans="1:3" ht="12.45" x14ac:dyDescent="0.3">
      <c r="A1960" s="7"/>
      <c r="B1960" s="7"/>
      <c r="C1960" s="7"/>
    </row>
    <row r="1961" spans="1:3" ht="12.45" x14ac:dyDescent="0.3">
      <c r="A1961" s="7"/>
      <c r="B1961" s="7"/>
      <c r="C1961" s="7"/>
    </row>
    <row r="1962" spans="1:3" ht="12.45" x14ac:dyDescent="0.3">
      <c r="A1962" s="7"/>
      <c r="B1962" s="7"/>
      <c r="C1962" s="7"/>
    </row>
    <row r="1963" spans="1:3" ht="12.45" x14ac:dyDescent="0.3">
      <c r="A1963" s="7"/>
      <c r="B1963" s="7"/>
      <c r="C1963" s="7"/>
    </row>
    <row r="1964" spans="1:3" ht="12.45" x14ac:dyDescent="0.3">
      <c r="A1964" s="7"/>
      <c r="B1964" s="7"/>
      <c r="C1964" s="7"/>
    </row>
    <row r="1965" spans="1:3" ht="12.45" x14ac:dyDescent="0.3">
      <c r="A1965" s="7"/>
      <c r="B1965" s="7"/>
      <c r="C1965" s="7"/>
    </row>
    <row r="1966" spans="1:3" ht="12.45" x14ac:dyDescent="0.3">
      <c r="A1966" s="7"/>
      <c r="B1966" s="7"/>
      <c r="C1966" s="7"/>
    </row>
    <row r="1967" spans="1:3" ht="12.45" x14ac:dyDescent="0.3">
      <c r="A1967" s="7"/>
      <c r="B1967" s="7"/>
      <c r="C1967" s="7"/>
    </row>
    <row r="1968" spans="1:3" ht="12.45" x14ac:dyDescent="0.3">
      <c r="A1968" s="7"/>
      <c r="B1968" s="7"/>
      <c r="C1968" s="7"/>
    </row>
    <row r="1969" spans="1:3" ht="12.45" x14ac:dyDescent="0.3">
      <c r="A1969" s="7"/>
      <c r="B1969" s="7"/>
      <c r="C1969" s="7"/>
    </row>
    <row r="1970" spans="1:3" ht="12.45" x14ac:dyDescent="0.3">
      <c r="A1970" s="7"/>
      <c r="B1970" s="7"/>
      <c r="C1970" s="7"/>
    </row>
    <row r="1971" spans="1:3" ht="12.45" x14ac:dyDescent="0.3">
      <c r="A1971" s="7"/>
      <c r="B1971" s="7"/>
      <c r="C1971" s="7"/>
    </row>
    <row r="1972" spans="1:3" ht="12.45" x14ac:dyDescent="0.3">
      <c r="A1972" s="7"/>
      <c r="B1972" s="7"/>
      <c r="C1972" s="7"/>
    </row>
    <row r="1973" spans="1:3" ht="12.45" x14ac:dyDescent="0.3">
      <c r="A1973" s="7"/>
      <c r="B1973" s="7"/>
      <c r="C1973" s="7"/>
    </row>
    <row r="1974" spans="1:3" ht="12.45" x14ac:dyDescent="0.3">
      <c r="A1974" s="7"/>
      <c r="B1974" s="7"/>
      <c r="C1974" s="7"/>
    </row>
    <row r="1975" spans="1:3" ht="12.45" x14ac:dyDescent="0.3">
      <c r="A1975" s="7"/>
      <c r="B1975" s="7"/>
      <c r="C1975" s="7"/>
    </row>
    <row r="1976" spans="1:3" ht="12.45" x14ac:dyDescent="0.3">
      <c r="A1976" s="7"/>
      <c r="B1976" s="7"/>
      <c r="C1976" s="7"/>
    </row>
    <row r="1977" spans="1:3" ht="12.45" x14ac:dyDescent="0.3">
      <c r="A1977" s="7"/>
      <c r="B1977" s="7"/>
      <c r="C1977" s="7"/>
    </row>
    <row r="1978" spans="1:3" ht="12.45" x14ac:dyDescent="0.3">
      <c r="A1978" s="7"/>
      <c r="B1978" s="7"/>
      <c r="C1978" s="7"/>
    </row>
    <row r="1979" spans="1:3" ht="12.45" x14ac:dyDescent="0.3">
      <c r="A1979" s="7"/>
      <c r="B1979" s="7"/>
      <c r="C1979" s="7"/>
    </row>
    <row r="1980" spans="1:3" ht="12.45" x14ac:dyDescent="0.3">
      <c r="A1980" s="7"/>
      <c r="B1980" s="7"/>
      <c r="C1980" s="7"/>
    </row>
    <row r="1981" spans="1:3" ht="12.45" x14ac:dyDescent="0.3">
      <c r="A1981" s="7"/>
      <c r="B1981" s="7"/>
      <c r="C1981" s="7"/>
    </row>
    <row r="1982" spans="1:3" ht="12.45" x14ac:dyDescent="0.3">
      <c r="A1982" s="7"/>
      <c r="B1982" s="7"/>
      <c r="C1982" s="7"/>
    </row>
    <row r="1983" spans="1:3" ht="12.45" x14ac:dyDescent="0.3">
      <c r="A1983" s="7"/>
      <c r="B1983" s="7"/>
      <c r="C1983" s="7"/>
    </row>
    <row r="1984" spans="1:3" ht="12.45" x14ac:dyDescent="0.3">
      <c r="A1984" s="7"/>
      <c r="B1984" s="7"/>
      <c r="C1984" s="7"/>
    </row>
    <row r="1985" spans="1:3" ht="12.45" x14ac:dyDescent="0.3">
      <c r="A1985" s="7"/>
      <c r="B1985" s="7"/>
      <c r="C1985" s="7"/>
    </row>
    <row r="1986" spans="1:3" ht="12.45" x14ac:dyDescent="0.3">
      <c r="A1986" s="7"/>
      <c r="B1986" s="7"/>
      <c r="C1986" s="7"/>
    </row>
    <row r="1987" spans="1:3" ht="12.45" x14ac:dyDescent="0.3">
      <c r="A1987" s="7"/>
      <c r="B1987" s="7"/>
      <c r="C1987" s="7"/>
    </row>
    <row r="1988" spans="1:3" ht="12.45" x14ac:dyDescent="0.3">
      <c r="A1988" s="7"/>
      <c r="B1988" s="7"/>
      <c r="C1988" s="7"/>
    </row>
    <row r="1989" spans="1:3" ht="12.45" x14ac:dyDescent="0.3">
      <c r="A1989" s="7"/>
      <c r="B1989" s="7"/>
      <c r="C1989" s="7"/>
    </row>
    <row r="1990" spans="1:3" ht="12.45" x14ac:dyDescent="0.3">
      <c r="A1990" s="7"/>
      <c r="B1990" s="7"/>
      <c r="C1990" s="7"/>
    </row>
    <row r="1991" spans="1:3" ht="12.45" x14ac:dyDescent="0.3">
      <c r="A1991" s="7"/>
      <c r="B1991" s="7"/>
      <c r="C1991" s="7"/>
    </row>
    <row r="1992" spans="1:3" ht="12.45" x14ac:dyDescent="0.3">
      <c r="A1992" s="7"/>
      <c r="B1992" s="7"/>
      <c r="C1992" s="7"/>
    </row>
    <row r="1993" spans="1:3" ht="12.45" x14ac:dyDescent="0.3">
      <c r="A1993" s="7"/>
      <c r="B1993" s="7"/>
      <c r="C1993" s="7"/>
    </row>
    <row r="1994" spans="1:3" ht="12.45" x14ac:dyDescent="0.3">
      <c r="A1994" s="7"/>
      <c r="B1994" s="7"/>
      <c r="C1994" s="7"/>
    </row>
    <row r="1995" spans="1:3" ht="12.45" x14ac:dyDescent="0.3">
      <c r="A1995" s="7"/>
      <c r="B1995" s="7"/>
      <c r="C1995" s="7"/>
    </row>
    <row r="1996" spans="1:3" ht="12.45" x14ac:dyDescent="0.3">
      <c r="A1996" s="7"/>
      <c r="B1996" s="7"/>
      <c r="C1996" s="7"/>
    </row>
    <row r="1997" spans="1:3" ht="12.45" x14ac:dyDescent="0.3">
      <c r="A1997" s="7"/>
      <c r="B1997" s="7"/>
      <c r="C1997" s="7"/>
    </row>
    <row r="1998" spans="1:3" ht="12.45" x14ac:dyDescent="0.3">
      <c r="A1998" s="7"/>
      <c r="B1998" s="7"/>
      <c r="C1998" s="7"/>
    </row>
    <row r="1999" spans="1:3" ht="12.45" x14ac:dyDescent="0.3">
      <c r="A1999" s="7"/>
      <c r="B1999" s="7"/>
      <c r="C1999" s="7"/>
    </row>
    <row r="2000" spans="1:3" ht="12.45" x14ac:dyDescent="0.3">
      <c r="A2000" s="7"/>
      <c r="B2000" s="7"/>
      <c r="C2000" s="7"/>
    </row>
    <row r="2001" spans="1:3" ht="12.45" x14ac:dyDescent="0.3">
      <c r="A2001" s="7"/>
      <c r="B2001" s="7"/>
      <c r="C2001" s="7"/>
    </row>
    <row r="2002" spans="1:3" ht="12.45" x14ac:dyDescent="0.3">
      <c r="A2002" s="7"/>
      <c r="B2002" s="7"/>
      <c r="C2002" s="7"/>
    </row>
    <row r="2003" spans="1:3" ht="12.45" x14ac:dyDescent="0.3">
      <c r="A2003" s="7"/>
      <c r="B2003" s="7"/>
      <c r="C2003" s="7"/>
    </row>
    <row r="2004" spans="1:3" ht="12.45" x14ac:dyDescent="0.3">
      <c r="A2004" s="7"/>
      <c r="B2004" s="7"/>
      <c r="C2004" s="7"/>
    </row>
    <row r="2005" spans="1:3" ht="12.45" x14ac:dyDescent="0.3">
      <c r="A2005" s="7"/>
      <c r="B2005" s="7"/>
      <c r="C2005" s="7"/>
    </row>
    <row r="2006" spans="1:3" ht="12.45" x14ac:dyDescent="0.3">
      <c r="A2006" s="7"/>
      <c r="B2006" s="7"/>
      <c r="C2006" s="7"/>
    </row>
    <row r="2007" spans="1:3" ht="12.45" x14ac:dyDescent="0.3">
      <c r="A2007" s="7"/>
      <c r="B2007" s="7"/>
      <c r="C2007" s="7"/>
    </row>
    <row r="2008" spans="1:3" ht="12.45" x14ac:dyDescent="0.3">
      <c r="A2008" s="7"/>
      <c r="B2008" s="7"/>
      <c r="C2008" s="7"/>
    </row>
    <row r="2009" spans="1:3" ht="12.45" x14ac:dyDescent="0.3">
      <c r="A2009" s="7"/>
      <c r="B2009" s="7"/>
      <c r="C2009" s="7"/>
    </row>
    <row r="2010" spans="1:3" ht="12.45" x14ac:dyDescent="0.3">
      <c r="A2010" s="7"/>
      <c r="B2010" s="7"/>
      <c r="C2010" s="7"/>
    </row>
    <row r="2011" spans="1:3" ht="12.45" x14ac:dyDescent="0.3">
      <c r="A2011" s="7"/>
      <c r="B2011" s="7"/>
      <c r="C2011" s="7"/>
    </row>
    <row r="2012" spans="1:3" ht="12.45" x14ac:dyDescent="0.3">
      <c r="A2012" s="7"/>
      <c r="B2012" s="7"/>
      <c r="C2012" s="7"/>
    </row>
    <row r="2013" spans="1:3" ht="12.45" x14ac:dyDescent="0.3">
      <c r="A2013" s="7"/>
      <c r="B2013" s="7"/>
      <c r="C2013" s="7"/>
    </row>
    <row r="2014" spans="1:3" ht="12.45" x14ac:dyDescent="0.3">
      <c r="A2014" s="7"/>
      <c r="B2014" s="7"/>
      <c r="C2014" s="7"/>
    </row>
    <row r="2015" spans="1:3" ht="12.45" x14ac:dyDescent="0.3">
      <c r="A2015" s="7"/>
      <c r="B2015" s="7"/>
      <c r="C2015" s="7"/>
    </row>
    <row r="2016" spans="1:3" ht="12.45" x14ac:dyDescent="0.3">
      <c r="A2016" s="7"/>
      <c r="B2016" s="7"/>
      <c r="C2016" s="7"/>
    </row>
    <row r="2017" spans="1:3" ht="12.45" x14ac:dyDescent="0.3">
      <c r="A2017" s="7"/>
      <c r="B2017" s="7"/>
      <c r="C2017" s="7"/>
    </row>
    <row r="2018" spans="1:3" ht="12.45" x14ac:dyDescent="0.3">
      <c r="A2018" s="7"/>
      <c r="B2018" s="7"/>
      <c r="C2018" s="7"/>
    </row>
    <row r="2019" spans="1:3" ht="12.45" x14ac:dyDescent="0.3">
      <c r="A2019" s="7"/>
      <c r="B2019" s="7"/>
      <c r="C2019" s="7"/>
    </row>
    <row r="2020" spans="1:3" ht="12.45" x14ac:dyDescent="0.3">
      <c r="A2020" s="7"/>
      <c r="B2020" s="7"/>
      <c r="C2020" s="7"/>
    </row>
    <row r="2021" spans="1:3" ht="12.45" x14ac:dyDescent="0.3">
      <c r="A2021" s="7"/>
      <c r="B2021" s="7"/>
      <c r="C2021" s="7"/>
    </row>
    <row r="2022" spans="1:3" ht="12.45" x14ac:dyDescent="0.3">
      <c r="A2022" s="7"/>
      <c r="B2022" s="7"/>
      <c r="C2022" s="7"/>
    </row>
    <row r="2023" spans="1:3" ht="12.45" x14ac:dyDescent="0.3">
      <c r="A2023" s="7"/>
      <c r="B2023" s="7"/>
      <c r="C2023" s="7"/>
    </row>
    <row r="2024" spans="1:3" ht="12.45" x14ac:dyDescent="0.3">
      <c r="A2024" s="7"/>
      <c r="B2024" s="7"/>
      <c r="C2024" s="7"/>
    </row>
    <row r="2025" spans="1:3" ht="12.45" x14ac:dyDescent="0.3">
      <c r="A2025" s="7"/>
      <c r="B2025" s="7"/>
      <c r="C2025" s="7"/>
    </row>
    <row r="2026" spans="1:3" ht="12.45" x14ac:dyDescent="0.3">
      <c r="A2026" s="7"/>
      <c r="B2026" s="7"/>
      <c r="C2026" s="7"/>
    </row>
    <row r="2027" spans="1:3" ht="12.45" x14ac:dyDescent="0.3">
      <c r="A2027" s="7"/>
      <c r="B2027" s="7"/>
      <c r="C2027" s="7"/>
    </row>
    <row r="2028" spans="1:3" ht="12.45" x14ac:dyDescent="0.3">
      <c r="A2028" s="7"/>
      <c r="B2028" s="7"/>
      <c r="C2028" s="7"/>
    </row>
    <row r="2029" spans="1:3" ht="12.45" x14ac:dyDescent="0.3">
      <c r="A2029" s="7"/>
      <c r="B2029" s="7"/>
      <c r="C2029" s="7"/>
    </row>
    <row r="2030" spans="1:3" ht="12.45" x14ac:dyDescent="0.3">
      <c r="A2030" s="7"/>
      <c r="B2030" s="7"/>
      <c r="C2030" s="7"/>
    </row>
    <row r="2031" spans="1:3" ht="12.45" x14ac:dyDescent="0.3">
      <c r="A2031" s="7"/>
      <c r="B2031" s="7"/>
      <c r="C2031" s="7"/>
    </row>
    <row r="2032" spans="1:3" ht="12.45" x14ac:dyDescent="0.3">
      <c r="A2032" s="7"/>
      <c r="B2032" s="7"/>
      <c r="C2032" s="7"/>
    </row>
    <row r="2033" spans="1:3" ht="12.45" x14ac:dyDescent="0.3">
      <c r="A2033" s="7"/>
      <c r="B2033" s="7"/>
      <c r="C2033" s="7"/>
    </row>
    <row r="2034" spans="1:3" ht="12.45" x14ac:dyDescent="0.3">
      <c r="A2034" s="7"/>
      <c r="B2034" s="7"/>
      <c r="C2034" s="7"/>
    </row>
    <row r="2035" spans="1:3" ht="12.45" x14ac:dyDescent="0.3">
      <c r="A2035" s="7"/>
      <c r="B2035" s="7"/>
      <c r="C2035" s="7"/>
    </row>
    <row r="2036" spans="1:3" ht="12.45" x14ac:dyDescent="0.3">
      <c r="A2036" s="7"/>
      <c r="B2036" s="7"/>
      <c r="C2036" s="7"/>
    </row>
    <row r="2037" spans="1:3" ht="12.45" x14ac:dyDescent="0.3">
      <c r="A2037" s="7"/>
      <c r="B2037" s="7"/>
      <c r="C2037" s="7"/>
    </row>
    <row r="2038" spans="1:3" ht="12.45" x14ac:dyDescent="0.3">
      <c r="A2038" s="7"/>
      <c r="B2038" s="7"/>
      <c r="C2038" s="7"/>
    </row>
    <row r="2039" spans="1:3" ht="12.45" x14ac:dyDescent="0.3">
      <c r="A2039" s="7"/>
      <c r="B2039" s="7"/>
      <c r="C2039" s="7"/>
    </row>
    <row r="2040" spans="1:3" ht="12.45" x14ac:dyDescent="0.3">
      <c r="A2040" s="7"/>
      <c r="B2040" s="7"/>
      <c r="C2040" s="7"/>
    </row>
    <row r="2041" spans="1:3" ht="12.45" x14ac:dyDescent="0.3">
      <c r="A2041" s="7"/>
      <c r="B2041" s="7"/>
      <c r="C2041" s="7"/>
    </row>
    <row r="2042" spans="1:3" ht="12.45" x14ac:dyDescent="0.3">
      <c r="A2042" s="7"/>
      <c r="B2042" s="7"/>
      <c r="C2042" s="7"/>
    </row>
    <row r="2043" spans="1:3" ht="12.45" x14ac:dyDescent="0.3">
      <c r="A2043" s="7"/>
      <c r="B2043" s="7"/>
      <c r="C2043" s="7"/>
    </row>
    <row r="2044" spans="1:3" ht="12.45" x14ac:dyDescent="0.3">
      <c r="A2044" s="7"/>
      <c r="B2044" s="7"/>
      <c r="C2044" s="7"/>
    </row>
    <row r="2045" spans="1:3" ht="12.45" x14ac:dyDescent="0.3">
      <c r="A2045" s="7"/>
      <c r="B2045" s="7"/>
      <c r="C2045" s="7"/>
    </row>
    <row r="2046" spans="1:3" ht="12.45" x14ac:dyDescent="0.3">
      <c r="A2046" s="7"/>
      <c r="B2046" s="7"/>
      <c r="C2046" s="7"/>
    </row>
    <row r="2047" spans="1:3" ht="12.45" x14ac:dyDescent="0.3">
      <c r="A2047" s="7"/>
      <c r="B2047" s="7"/>
      <c r="C2047" s="7"/>
    </row>
    <row r="2048" spans="1:3" ht="12.45" x14ac:dyDescent="0.3">
      <c r="A2048" s="7"/>
      <c r="B2048" s="7"/>
      <c r="C2048" s="7"/>
    </row>
    <row r="2049" spans="1:3" ht="12.45" x14ac:dyDescent="0.3">
      <c r="A2049" s="7"/>
      <c r="B2049" s="7"/>
      <c r="C2049" s="7"/>
    </row>
    <row r="2050" spans="1:3" ht="12.45" x14ac:dyDescent="0.3">
      <c r="A2050" s="7"/>
      <c r="B2050" s="7"/>
      <c r="C2050" s="7"/>
    </row>
    <row r="2051" spans="1:3" ht="12.45" x14ac:dyDescent="0.3">
      <c r="A2051" s="7"/>
      <c r="B2051" s="7"/>
      <c r="C2051" s="7"/>
    </row>
    <row r="2052" spans="1:3" ht="12.45" x14ac:dyDescent="0.3">
      <c r="A2052" s="7"/>
      <c r="B2052" s="7"/>
      <c r="C2052" s="7"/>
    </row>
    <row r="2053" spans="1:3" ht="12.45" x14ac:dyDescent="0.3">
      <c r="A2053" s="7"/>
      <c r="B2053" s="7"/>
      <c r="C2053" s="7"/>
    </row>
    <row r="2054" spans="1:3" ht="12.45" x14ac:dyDescent="0.3">
      <c r="A2054" s="7"/>
      <c r="B2054" s="7"/>
      <c r="C2054" s="7"/>
    </row>
    <row r="2055" spans="1:3" ht="12.45" x14ac:dyDescent="0.3">
      <c r="A2055" s="7"/>
      <c r="B2055" s="7"/>
      <c r="C2055" s="7"/>
    </row>
    <row r="2056" spans="1:3" ht="12.45" x14ac:dyDescent="0.3">
      <c r="A2056" s="7"/>
      <c r="B2056" s="7"/>
      <c r="C2056" s="7"/>
    </row>
    <row r="2057" spans="1:3" ht="12.45" x14ac:dyDescent="0.3">
      <c r="A2057" s="7"/>
      <c r="B2057" s="7"/>
      <c r="C2057" s="7"/>
    </row>
    <row r="2058" spans="1:3" ht="12.45" x14ac:dyDescent="0.3">
      <c r="A2058" s="7"/>
      <c r="B2058" s="7"/>
      <c r="C2058" s="7"/>
    </row>
    <row r="2059" spans="1:3" ht="12.45" x14ac:dyDescent="0.3">
      <c r="A2059" s="7"/>
      <c r="B2059" s="7"/>
      <c r="C2059" s="7"/>
    </row>
    <row r="2060" spans="1:3" ht="12.45" x14ac:dyDescent="0.3">
      <c r="A2060" s="7"/>
      <c r="B2060" s="7"/>
      <c r="C2060" s="7"/>
    </row>
    <row r="2061" spans="1:3" ht="12.45" x14ac:dyDescent="0.3">
      <c r="A2061" s="7"/>
      <c r="B2061" s="7"/>
      <c r="C2061" s="7"/>
    </row>
    <row r="2062" spans="1:3" ht="12.45" x14ac:dyDescent="0.3">
      <c r="A2062" s="7"/>
      <c r="B2062" s="7"/>
      <c r="C2062" s="7"/>
    </row>
    <row r="2063" spans="1:3" ht="12.45" x14ac:dyDescent="0.3">
      <c r="A2063" s="7"/>
      <c r="B2063" s="7"/>
      <c r="C2063" s="7"/>
    </row>
    <row r="2064" spans="1:3" ht="12.45" x14ac:dyDescent="0.3">
      <c r="A2064" s="7"/>
      <c r="B2064" s="7"/>
      <c r="C2064" s="7"/>
    </row>
    <row r="2065" spans="1:3" ht="12.45" x14ac:dyDescent="0.3">
      <c r="A2065" s="7"/>
      <c r="B2065" s="7"/>
      <c r="C2065" s="7"/>
    </row>
    <row r="2066" spans="1:3" ht="12.45" x14ac:dyDescent="0.3">
      <c r="A2066" s="7"/>
      <c r="B2066" s="7"/>
      <c r="C2066" s="7"/>
    </row>
    <row r="2067" spans="1:3" ht="12.45" x14ac:dyDescent="0.3">
      <c r="A2067" s="7"/>
      <c r="B2067" s="7"/>
      <c r="C2067" s="7"/>
    </row>
    <row r="2068" spans="1:3" ht="12.45" x14ac:dyDescent="0.3">
      <c r="A2068" s="7"/>
      <c r="B2068" s="7"/>
      <c r="C2068" s="7"/>
    </row>
    <row r="2069" spans="1:3" ht="12.45" x14ac:dyDescent="0.3">
      <c r="A2069" s="7"/>
      <c r="B2069" s="7"/>
      <c r="C2069" s="7"/>
    </row>
    <row r="2070" spans="1:3" ht="12.45" x14ac:dyDescent="0.3">
      <c r="A2070" s="7"/>
      <c r="B2070" s="7"/>
      <c r="C2070" s="7"/>
    </row>
    <row r="2071" spans="1:3" ht="12.45" x14ac:dyDescent="0.3">
      <c r="A2071" s="7"/>
      <c r="B2071" s="7"/>
      <c r="C2071" s="7"/>
    </row>
    <row r="2072" spans="1:3" ht="12.45" x14ac:dyDescent="0.3">
      <c r="A2072" s="7"/>
      <c r="B2072" s="7"/>
      <c r="C2072" s="7"/>
    </row>
    <row r="2073" spans="1:3" ht="12.45" x14ac:dyDescent="0.3">
      <c r="A2073" s="7"/>
      <c r="B2073" s="7"/>
      <c r="C2073" s="7"/>
    </row>
    <row r="2074" spans="1:3" ht="12.45" x14ac:dyDescent="0.3">
      <c r="A2074" s="7"/>
      <c r="B2074" s="7"/>
      <c r="C2074" s="7"/>
    </row>
    <row r="2075" spans="1:3" ht="12.45" x14ac:dyDescent="0.3">
      <c r="A2075" s="7"/>
      <c r="B2075" s="7"/>
      <c r="C2075" s="7"/>
    </row>
    <row r="2076" spans="1:3" ht="12.45" x14ac:dyDescent="0.3">
      <c r="A2076" s="7"/>
      <c r="B2076" s="7"/>
      <c r="C2076" s="7"/>
    </row>
    <row r="2077" spans="1:3" ht="12.45" x14ac:dyDescent="0.3">
      <c r="A2077" s="7"/>
      <c r="B2077" s="7"/>
      <c r="C2077" s="7"/>
    </row>
    <row r="2078" spans="1:3" ht="12.45" x14ac:dyDescent="0.3">
      <c r="A2078" s="7"/>
      <c r="B2078" s="7"/>
      <c r="C2078" s="7"/>
    </row>
    <row r="2079" spans="1:3" ht="12.45" x14ac:dyDescent="0.3">
      <c r="A2079" s="7"/>
      <c r="B2079" s="7"/>
      <c r="C2079" s="7"/>
    </row>
    <row r="2080" spans="1:3" ht="12.45" x14ac:dyDescent="0.3">
      <c r="A2080" s="7"/>
      <c r="B2080" s="7"/>
      <c r="C2080" s="7"/>
    </row>
    <row r="2081" spans="1:3" ht="12.45" x14ac:dyDescent="0.3">
      <c r="A2081" s="7"/>
      <c r="B2081" s="7"/>
      <c r="C2081" s="7"/>
    </row>
    <row r="2082" spans="1:3" ht="12.45" x14ac:dyDescent="0.3">
      <c r="A2082" s="7"/>
      <c r="B2082" s="7"/>
      <c r="C2082" s="7"/>
    </row>
    <row r="2083" spans="1:3" ht="12.45" x14ac:dyDescent="0.3">
      <c r="A2083" s="7"/>
      <c r="B2083" s="7"/>
      <c r="C2083" s="7"/>
    </row>
    <row r="2084" spans="1:3" ht="12.45" x14ac:dyDescent="0.3">
      <c r="A2084" s="7"/>
      <c r="B2084" s="7"/>
      <c r="C2084" s="7"/>
    </row>
    <row r="2085" spans="1:3" ht="12.45" x14ac:dyDescent="0.3">
      <c r="A2085" s="7"/>
      <c r="B2085" s="7"/>
      <c r="C2085" s="7"/>
    </row>
    <row r="2086" spans="1:3" ht="12.45" x14ac:dyDescent="0.3">
      <c r="A2086" s="7"/>
      <c r="B2086" s="7"/>
      <c r="C2086" s="7"/>
    </row>
    <row r="2087" spans="1:3" ht="12.45" x14ac:dyDescent="0.3">
      <c r="A2087" s="7"/>
      <c r="B2087" s="7"/>
      <c r="C2087" s="7"/>
    </row>
    <row r="2088" spans="1:3" ht="12.45" x14ac:dyDescent="0.3">
      <c r="A2088" s="7"/>
      <c r="B2088" s="7"/>
      <c r="C2088" s="7"/>
    </row>
    <row r="2089" spans="1:3" ht="12.45" x14ac:dyDescent="0.3">
      <c r="A2089" s="7"/>
      <c r="B2089" s="7"/>
      <c r="C2089" s="7"/>
    </row>
    <row r="2090" spans="1:3" ht="12.45" x14ac:dyDescent="0.3">
      <c r="A2090" s="7"/>
      <c r="B2090" s="7"/>
      <c r="C2090" s="7"/>
    </row>
    <row r="2091" spans="1:3" ht="12.45" x14ac:dyDescent="0.3">
      <c r="A2091" s="7"/>
      <c r="B2091" s="7"/>
      <c r="C2091" s="7"/>
    </row>
    <row r="2092" spans="1:3" ht="12.45" x14ac:dyDescent="0.3">
      <c r="A2092" s="7"/>
      <c r="B2092" s="7"/>
      <c r="C2092" s="7"/>
    </row>
    <row r="2093" spans="1:3" ht="12.45" x14ac:dyDescent="0.3">
      <c r="A2093" s="7"/>
      <c r="B2093" s="7"/>
      <c r="C2093" s="7"/>
    </row>
    <row r="2094" spans="1:3" ht="12.45" x14ac:dyDescent="0.3">
      <c r="A2094" s="7"/>
      <c r="B2094" s="7"/>
      <c r="C2094" s="7"/>
    </row>
    <row r="2095" spans="1:3" ht="12.45" x14ac:dyDescent="0.3">
      <c r="A2095" s="7"/>
      <c r="B2095" s="7"/>
      <c r="C2095" s="7"/>
    </row>
    <row r="2096" spans="1:3" ht="12.45" x14ac:dyDescent="0.3">
      <c r="A2096" s="7"/>
      <c r="B2096" s="7"/>
      <c r="C2096" s="7"/>
    </row>
    <row r="2097" spans="1:3" ht="12.45" x14ac:dyDescent="0.3">
      <c r="A2097" s="7"/>
      <c r="B2097" s="7"/>
      <c r="C2097" s="7"/>
    </row>
    <row r="2098" spans="1:3" ht="12.45" x14ac:dyDescent="0.3">
      <c r="A2098" s="7"/>
      <c r="B2098" s="7"/>
      <c r="C2098" s="7"/>
    </row>
    <row r="2099" spans="1:3" ht="12.45" x14ac:dyDescent="0.3">
      <c r="A2099" s="7"/>
      <c r="B2099" s="7"/>
      <c r="C2099" s="7"/>
    </row>
    <row r="2100" spans="1:3" ht="12.45" x14ac:dyDescent="0.3">
      <c r="A2100" s="7"/>
      <c r="B2100" s="7"/>
      <c r="C2100" s="7"/>
    </row>
    <row r="2101" spans="1:3" ht="12.45" x14ac:dyDescent="0.3">
      <c r="A2101" s="7"/>
      <c r="B2101" s="7"/>
      <c r="C2101" s="7"/>
    </row>
    <row r="2102" spans="1:3" ht="12.45" x14ac:dyDescent="0.3">
      <c r="A2102" s="7"/>
      <c r="B2102" s="7"/>
      <c r="C2102" s="7"/>
    </row>
    <row r="2103" spans="1:3" ht="12.45" x14ac:dyDescent="0.3">
      <c r="A2103" s="7"/>
      <c r="B2103" s="7"/>
      <c r="C2103" s="7"/>
    </row>
    <row r="2104" spans="1:3" ht="12.45" x14ac:dyDescent="0.3">
      <c r="A2104" s="7"/>
      <c r="B2104" s="7"/>
      <c r="C2104" s="7"/>
    </row>
    <row r="2105" spans="1:3" ht="12.45" x14ac:dyDescent="0.3">
      <c r="A2105" s="7"/>
      <c r="B2105" s="7"/>
      <c r="C2105" s="7"/>
    </row>
    <row r="2106" spans="1:3" ht="12.45" x14ac:dyDescent="0.3">
      <c r="A2106" s="7"/>
      <c r="B2106" s="7"/>
      <c r="C2106" s="7"/>
    </row>
    <row r="2107" spans="1:3" ht="12.45" x14ac:dyDescent="0.3">
      <c r="A2107" s="7"/>
      <c r="B2107" s="7"/>
      <c r="C2107" s="7"/>
    </row>
    <row r="2108" spans="1:3" ht="12.45" x14ac:dyDescent="0.3">
      <c r="A2108" s="7"/>
      <c r="B2108" s="7"/>
      <c r="C2108" s="7"/>
    </row>
    <row r="2109" spans="1:3" ht="12.45" x14ac:dyDescent="0.3">
      <c r="A2109" s="7"/>
      <c r="B2109" s="7"/>
      <c r="C2109" s="7"/>
    </row>
    <row r="2110" spans="1:3" ht="12.45" x14ac:dyDescent="0.3">
      <c r="A2110" s="7"/>
      <c r="B2110" s="7"/>
      <c r="C2110" s="7"/>
    </row>
    <row r="2111" spans="1:3" ht="12.45" x14ac:dyDescent="0.3">
      <c r="A2111" s="7"/>
      <c r="B2111" s="7"/>
      <c r="C2111" s="7"/>
    </row>
    <row r="2112" spans="1:3" ht="12.45" x14ac:dyDescent="0.3">
      <c r="A2112" s="7"/>
      <c r="B2112" s="7"/>
      <c r="C2112" s="7"/>
    </row>
    <row r="2113" spans="1:3" ht="12.45" x14ac:dyDescent="0.3">
      <c r="A2113" s="7"/>
      <c r="B2113" s="7"/>
      <c r="C2113" s="7"/>
    </row>
    <row r="2114" spans="1:3" ht="12.45" x14ac:dyDescent="0.3">
      <c r="A2114" s="7"/>
      <c r="B2114" s="7"/>
      <c r="C2114" s="7"/>
    </row>
    <row r="2115" spans="1:3" ht="12.45" x14ac:dyDescent="0.3">
      <c r="A2115" s="7"/>
      <c r="B2115" s="7"/>
      <c r="C2115" s="7"/>
    </row>
    <row r="2116" spans="1:3" ht="12.45" x14ac:dyDescent="0.3">
      <c r="A2116" s="7"/>
      <c r="B2116" s="7"/>
      <c r="C2116" s="7"/>
    </row>
    <row r="2117" spans="1:3" ht="12.45" x14ac:dyDescent="0.3">
      <c r="A2117" s="7"/>
      <c r="B2117" s="7"/>
      <c r="C2117" s="7"/>
    </row>
    <row r="2118" spans="1:3" ht="12.45" x14ac:dyDescent="0.3">
      <c r="A2118" s="7"/>
      <c r="B2118" s="7"/>
      <c r="C2118" s="7"/>
    </row>
    <row r="2119" spans="1:3" ht="12.45" x14ac:dyDescent="0.3">
      <c r="A2119" s="7"/>
      <c r="B2119" s="7"/>
      <c r="C2119" s="7"/>
    </row>
    <row r="2120" spans="1:3" ht="12.45" x14ac:dyDescent="0.3">
      <c r="A2120" s="7"/>
      <c r="B2120" s="7"/>
      <c r="C2120" s="7"/>
    </row>
    <row r="2121" spans="1:3" ht="12.45" x14ac:dyDescent="0.3">
      <c r="A2121" s="7"/>
      <c r="B2121" s="7"/>
      <c r="C2121" s="7"/>
    </row>
    <row r="2122" spans="1:3" ht="12.45" x14ac:dyDescent="0.3">
      <c r="A2122" s="7"/>
      <c r="B2122" s="7"/>
      <c r="C2122" s="7"/>
    </row>
    <row r="2123" spans="1:3" ht="12.45" x14ac:dyDescent="0.3">
      <c r="A2123" s="7"/>
      <c r="B2123" s="7"/>
      <c r="C2123" s="7"/>
    </row>
    <row r="2124" spans="1:3" ht="12.45" x14ac:dyDescent="0.3">
      <c r="A2124" s="7"/>
      <c r="B2124" s="7"/>
      <c r="C2124" s="7"/>
    </row>
    <row r="2125" spans="1:3" ht="12.45" x14ac:dyDescent="0.3">
      <c r="A2125" s="7"/>
      <c r="B2125" s="7"/>
      <c r="C2125" s="7"/>
    </row>
    <row r="2126" spans="1:3" ht="12.45" x14ac:dyDescent="0.3">
      <c r="A2126" s="7"/>
      <c r="B2126" s="7"/>
      <c r="C2126" s="7"/>
    </row>
    <row r="2127" spans="1:3" ht="12.45" x14ac:dyDescent="0.3">
      <c r="A2127" s="7"/>
      <c r="B2127" s="7"/>
      <c r="C2127" s="7"/>
    </row>
    <row r="2128" spans="1:3" ht="12.45" x14ac:dyDescent="0.3">
      <c r="A2128" s="7"/>
      <c r="B2128" s="7"/>
      <c r="C2128" s="7"/>
    </row>
    <row r="2129" spans="1:3" ht="12.45" x14ac:dyDescent="0.3">
      <c r="A2129" s="7"/>
      <c r="B2129" s="7"/>
      <c r="C2129" s="7"/>
    </row>
    <row r="2130" spans="1:3" ht="12.45" x14ac:dyDescent="0.3">
      <c r="A2130" s="7"/>
      <c r="B2130" s="7"/>
      <c r="C2130" s="7"/>
    </row>
    <row r="2131" spans="1:3" ht="12.45" x14ac:dyDescent="0.3">
      <c r="A2131" s="7"/>
      <c r="B2131" s="7"/>
      <c r="C2131" s="7"/>
    </row>
    <row r="2132" spans="1:3" ht="12.45" x14ac:dyDescent="0.3">
      <c r="A2132" s="7"/>
      <c r="B2132" s="7"/>
      <c r="C2132" s="7"/>
    </row>
    <row r="2133" spans="1:3" ht="12.45" x14ac:dyDescent="0.3">
      <c r="A2133" s="7"/>
      <c r="B2133" s="7"/>
      <c r="C2133" s="7"/>
    </row>
    <row r="2134" spans="1:3" ht="12.45" x14ac:dyDescent="0.3">
      <c r="A2134" s="7"/>
      <c r="B2134" s="7"/>
      <c r="C2134" s="7"/>
    </row>
    <row r="2135" spans="1:3" ht="12.45" x14ac:dyDescent="0.3">
      <c r="A2135" s="7"/>
      <c r="B2135" s="7"/>
      <c r="C2135" s="7"/>
    </row>
    <row r="2136" spans="1:3" ht="12.45" x14ac:dyDescent="0.3">
      <c r="A2136" s="7"/>
      <c r="B2136" s="7"/>
      <c r="C2136" s="7"/>
    </row>
    <row r="2137" spans="1:3" ht="12.45" x14ac:dyDescent="0.3">
      <c r="A2137" s="7"/>
      <c r="B2137" s="7"/>
      <c r="C2137" s="7"/>
    </row>
    <row r="2138" spans="1:3" ht="12.45" x14ac:dyDescent="0.3">
      <c r="A2138" s="7"/>
      <c r="B2138" s="7"/>
      <c r="C2138" s="7"/>
    </row>
    <row r="2139" spans="1:3" ht="12.45" x14ac:dyDescent="0.3">
      <c r="A2139" s="7"/>
      <c r="B2139" s="7"/>
      <c r="C2139" s="7"/>
    </row>
    <row r="2140" spans="1:3" ht="12.45" x14ac:dyDescent="0.3">
      <c r="A2140" s="7"/>
      <c r="B2140" s="7"/>
      <c r="C2140" s="7"/>
    </row>
    <row r="2141" spans="1:3" ht="12.45" x14ac:dyDescent="0.3">
      <c r="A2141" s="7"/>
      <c r="B2141" s="7"/>
      <c r="C2141" s="7"/>
    </row>
    <row r="2142" spans="1:3" ht="12.45" x14ac:dyDescent="0.3">
      <c r="A2142" s="7"/>
      <c r="B2142" s="7"/>
      <c r="C2142" s="7"/>
    </row>
    <row r="2143" spans="1:3" ht="12.45" x14ac:dyDescent="0.3">
      <c r="A2143" s="7"/>
      <c r="B2143" s="7"/>
      <c r="C2143" s="7"/>
    </row>
    <row r="2144" spans="1:3" ht="12.45" x14ac:dyDescent="0.3">
      <c r="A2144" s="7"/>
      <c r="B2144" s="7"/>
      <c r="C2144" s="7"/>
    </row>
    <row r="2145" spans="1:3" ht="12.45" x14ac:dyDescent="0.3">
      <c r="A2145" s="7"/>
      <c r="B2145" s="7"/>
      <c r="C2145" s="7"/>
    </row>
    <row r="2146" spans="1:3" ht="12.45" x14ac:dyDescent="0.3">
      <c r="A2146" s="7"/>
      <c r="B2146" s="7"/>
      <c r="C2146" s="7"/>
    </row>
    <row r="2147" spans="1:3" ht="12.45" x14ac:dyDescent="0.3">
      <c r="A2147" s="7"/>
      <c r="B2147" s="7"/>
      <c r="C2147" s="7"/>
    </row>
    <row r="2148" spans="1:3" ht="12.45" x14ac:dyDescent="0.3">
      <c r="A2148" s="7"/>
      <c r="B2148" s="7"/>
      <c r="C2148" s="7"/>
    </row>
    <row r="2149" spans="1:3" ht="12.45" x14ac:dyDescent="0.3">
      <c r="A2149" s="7"/>
      <c r="B2149" s="7"/>
      <c r="C2149" s="7"/>
    </row>
    <row r="2150" spans="1:3" ht="12.45" x14ac:dyDescent="0.3">
      <c r="A2150" s="7"/>
      <c r="B2150" s="7"/>
      <c r="C2150" s="7"/>
    </row>
    <row r="2151" spans="1:3" ht="12.45" x14ac:dyDescent="0.3">
      <c r="A2151" s="7"/>
      <c r="B2151" s="7"/>
      <c r="C2151" s="7"/>
    </row>
    <row r="2152" spans="1:3" ht="12.45" x14ac:dyDescent="0.3">
      <c r="A2152" s="7"/>
      <c r="B2152" s="7"/>
      <c r="C2152" s="7"/>
    </row>
    <row r="2153" spans="1:3" ht="12.45" x14ac:dyDescent="0.3">
      <c r="A2153" s="7"/>
      <c r="B2153" s="7"/>
      <c r="C2153" s="7"/>
    </row>
    <row r="2154" spans="1:3" ht="12.45" x14ac:dyDescent="0.3">
      <c r="A2154" s="7"/>
      <c r="B2154" s="7"/>
      <c r="C2154" s="7"/>
    </row>
    <row r="2155" spans="1:3" ht="12.45" x14ac:dyDescent="0.3">
      <c r="A2155" s="7"/>
      <c r="B2155" s="7"/>
      <c r="C2155" s="7"/>
    </row>
    <row r="2156" spans="1:3" ht="12.45" x14ac:dyDescent="0.3">
      <c r="A2156" s="7"/>
      <c r="B2156" s="7"/>
      <c r="C2156" s="7"/>
    </row>
    <row r="2157" spans="1:3" ht="12.45" x14ac:dyDescent="0.3">
      <c r="A2157" s="7"/>
      <c r="B2157" s="7"/>
      <c r="C2157" s="7"/>
    </row>
    <row r="2158" spans="1:3" ht="12.45" x14ac:dyDescent="0.3">
      <c r="A2158" s="7"/>
      <c r="B2158" s="7"/>
      <c r="C2158" s="7"/>
    </row>
    <row r="2159" spans="1:3" ht="12.45" x14ac:dyDescent="0.3">
      <c r="A2159" s="7"/>
      <c r="B2159" s="7"/>
      <c r="C2159" s="7"/>
    </row>
    <row r="2160" spans="1:3" ht="12.45" x14ac:dyDescent="0.3">
      <c r="A2160" s="7"/>
      <c r="B2160" s="7"/>
      <c r="C2160" s="7"/>
    </row>
    <row r="2161" spans="1:3" ht="12.45" x14ac:dyDescent="0.3">
      <c r="A2161" s="7"/>
      <c r="B2161" s="7"/>
      <c r="C2161" s="7"/>
    </row>
    <row r="2162" spans="1:3" ht="12.45" x14ac:dyDescent="0.3">
      <c r="A2162" s="7"/>
      <c r="B2162" s="7"/>
      <c r="C2162" s="7"/>
    </row>
    <row r="2163" spans="1:3" ht="12.45" x14ac:dyDescent="0.3">
      <c r="A2163" s="7"/>
      <c r="B2163" s="7"/>
      <c r="C2163" s="7"/>
    </row>
    <row r="2164" spans="1:3" ht="12.45" x14ac:dyDescent="0.3">
      <c r="A2164" s="7"/>
      <c r="B2164" s="7"/>
      <c r="C2164" s="7"/>
    </row>
    <row r="2165" spans="1:3" ht="12.45" x14ac:dyDescent="0.3">
      <c r="A2165" s="7"/>
      <c r="B2165" s="7"/>
      <c r="C2165" s="7"/>
    </row>
    <row r="2166" spans="1:3" ht="12.45" x14ac:dyDescent="0.3">
      <c r="A2166" s="7"/>
      <c r="B2166" s="7"/>
      <c r="C2166" s="7"/>
    </row>
    <row r="2167" spans="1:3" ht="12.45" x14ac:dyDescent="0.3">
      <c r="A2167" s="7"/>
      <c r="B2167" s="7"/>
      <c r="C2167" s="7"/>
    </row>
    <row r="2168" spans="1:3" ht="12.45" x14ac:dyDescent="0.3">
      <c r="A2168" s="7"/>
      <c r="B2168" s="7"/>
      <c r="C2168" s="7"/>
    </row>
    <row r="2169" spans="1:3" ht="12.45" x14ac:dyDescent="0.3">
      <c r="A2169" s="7"/>
      <c r="B2169" s="7"/>
      <c r="C2169" s="7"/>
    </row>
    <row r="2170" spans="1:3" ht="12.45" x14ac:dyDescent="0.3">
      <c r="A2170" s="7"/>
      <c r="B2170" s="7"/>
      <c r="C2170" s="7"/>
    </row>
    <row r="2171" spans="1:3" ht="12.45" x14ac:dyDescent="0.3">
      <c r="A2171" s="7"/>
      <c r="B2171" s="7"/>
      <c r="C2171" s="7"/>
    </row>
    <row r="2172" spans="1:3" ht="12.45" x14ac:dyDescent="0.3">
      <c r="A2172" s="7"/>
      <c r="B2172" s="7"/>
      <c r="C2172" s="7"/>
    </row>
    <row r="2173" spans="1:3" ht="12.45" x14ac:dyDescent="0.3">
      <c r="A2173" s="7"/>
      <c r="B2173" s="7"/>
      <c r="C2173" s="7"/>
    </row>
    <row r="2174" spans="1:3" ht="12.45" x14ac:dyDescent="0.3">
      <c r="A2174" s="7"/>
      <c r="B2174" s="7"/>
      <c r="C2174" s="7"/>
    </row>
    <row r="2175" spans="1:3" ht="12.45" x14ac:dyDescent="0.3">
      <c r="A2175" s="7"/>
      <c r="B2175" s="7"/>
      <c r="C2175" s="7"/>
    </row>
    <row r="2176" spans="1:3" ht="12.45" x14ac:dyDescent="0.3">
      <c r="A2176" s="7"/>
      <c r="B2176" s="7"/>
      <c r="C2176" s="7"/>
    </row>
    <row r="2177" spans="1:3" ht="12.45" x14ac:dyDescent="0.3">
      <c r="A2177" s="7"/>
      <c r="B2177" s="7"/>
      <c r="C2177" s="7"/>
    </row>
    <row r="2178" spans="1:3" ht="12.45" x14ac:dyDescent="0.3">
      <c r="A2178" s="7"/>
      <c r="B2178" s="7"/>
      <c r="C2178" s="7"/>
    </row>
    <row r="2179" spans="1:3" ht="12.45" x14ac:dyDescent="0.3">
      <c r="A2179" s="7"/>
      <c r="B2179" s="7"/>
      <c r="C2179" s="7"/>
    </row>
    <row r="2180" spans="1:3" ht="12.45" x14ac:dyDescent="0.3">
      <c r="A2180" s="7"/>
      <c r="B2180" s="7"/>
      <c r="C2180" s="7"/>
    </row>
    <row r="2181" spans="1:3" ht="12.45" x14ac:dyDescent="0.3">
      <c r="A2181" s="7"/>
      <c r="B2181" s="7"/>
      <c r="C2181" s="7"/>
    </row>
    <row r="2182" spans="1:3" ht="12.45" x14ac:dyDescent="0.3">
      <c r="A2182" s="7"/>
      <c r="B2182" s="7"/>
      <c r="C2182" s="7"/>
    </row>
    <row r="2183" spans="1:3" ht="12.45" x14ac:dyDescent="0.3">
      <c r="A2183" s="7"/>
      <c r="B2183" s="7"/>
      <c r="C2183" s="7"/>
    </row>
    <row r="2184" spans="1:3" ht="12.45" x14ac:dyDescent="0.3">
      <c r="A2184" s="7"/>
      <c r="B2184" s="7"/>
      <c r="C2184" s="7"/>
    </row>
    <row r="2185" spans="1:3" ht="12.45" x14ac:dyDescent="0.3">
      <c r="A2185" s="7"/>
      <c r="B2185" s="7"/>
      <c r="C2185" s="7"/>
    </row>
    <row r="2186" spans="1:3" ht="12.45" x14ac:dyDescent="0.3">
      <c r="A2186" s="7"/>
      <c r="B2186" s="7"/>
      <c r="C2186" s="7"/>
    </row>
    <row r="2187" spans="1:3" ht="12.45" x14ac:dyDescent="0.3">
      <c r="A2187" s="7"/>
      <c r="B2187" s="7"/>
      <c r="C2187" s="7"/>
    </row>
    <row r="2188" spans="1:3" ht="12.45" x14ac:dyDescent="0.3">
      <c r="A2188" s="7"/>
      <c r="B2188" s="7"/>
      <c r="C2188" s="7"/>
    </row>
    <row r="2189" spans="1:3" ht="12.45" x14ac:dyDescent="0.3">
      <c r="A2189" s="7"/>
      <c r="B2189" s="7"/>
      <c r="C2189" s="7"/>
    </row>
    <row r="2190" spans="1:3" ht="12.45" x14ac:dyDescent="0.3">
      <c r="A2190" s="7"/>
      <c r="B2190" s="7"/>
      <c r="C2190" s="7"/>
    </row>
    <row r="2191" spans="1:3" ht="12.45" x14ac:dyDescent="0.3">
      <c r="A2191" s="7"/>
      <c r="B2191" s="7"/>
      <c r="C2191" s="7"/>
    </row>
    <row r="2192" spans="1:3" ht="12.45" x14ac:dyDescent="0.3">
      <c r="A2192" s="7"/>
      <c r="B2192" s="7"/>
      <c r="C2192" s="7"/>
    </row>
    <row r="2193" spans="1:3" ht="12.45" x14ac:dyDescent="0.3">
      <c r="A2193" s="7"/>
      <c r="B2193" s="7"/>
      <c r="C2193" s="7"/>
    </row>
    <row r="2194" spans="1:3" ht="12.45" x14ac:dyDescent="0.3">
      <c r="A2194" s="7"/>
      <c r="B2194" s="7"/>
      <c r="C2194" s="7"/>
    </row>
    <row r="2195" spans="1:3" ht="12.45" x14ac:dyDescent="0.3">
      <c r="A2195" s="7"/>
      <c r="B2195" s="7"/>
      <c r="C2195" s="7"/>
    </row>
    <row r="2196" spans="1:3" ht="12.45" x14ac:dyDescent="0.3">
      <c r="A2196" s="7"/>
      <c r="B2196" s="7"/>
      <c r="C2196" s="7"/>
    </row>
    <row r="2197" spans="1:3" ht="12.45" x14ac:dyDescent="0.3">
      <c r="A2197" s="7"/>
      <c r="B2197" s="7"/>
      <c r="C2197" s="7"/>
    </row>
    <row r="2198" spans="1:3" ht="12.45" x14ac:dyDescent="0.3">
      <c r="A2198" s="7"/>
      <c r="B2198" s="7"/>
      <c r="C2198" s="7"/>
    </row>
    <row r="2199" spans="1:3" ht="12.45" x14ac:dyDescent="0.3">
      <c r="A2199" s="7"/>
      <c r="B2199" s="7"/>
      <c r="C2199" s="7"/>
    </row>
    <row r="2200" spans="1:3" ht="12.45" x14ac:dyDescent="0.3">
      <c r="A2200" s="7"/>
      <c r="B2200" s="7"/>
      <c r="C2200" s="7"/>
    </row>
    <row r="2201" spans="1:3" ht="12.45" x14ac:dyDescent="0.3">
      <c r="A2201" s="7"/>
      <c r="B2201" s="7"/>
      <c r="C2201" s="7"/>
    </row>
    <row r="2202" spans="1:3" ht="12.45" x14ac:dyDescent="0.3">
      <c r="A2202" s="7"/>
      <c r="B2202" s="7"/>
      <c r="C2202" s="7"/>
    </row>
    <row r="2203" spans="1:3" ht="12.45" x14ac:dyDescent="0.3">
      <c r="A2203" s="7"/>
      <c r="B2203" s="7"/>
      <c r="C2203" s="7"/>
    </row>
    <row r="2204" spans="1:3" ht="12.45" x14ac:dyDescent="0.3">
      <c r="A2204" s="7"/>
      <c r="B2204" s="7"/>
      <c r="C2204" s="7"/>
    </row>
    <row r="2205" spans="1:3" ht="12.45" x14ac:dyDescent="0.3">
      <c r="A2205" s="7"/>
      <c r="B2205" s="7"/>
      <c r="C2205" s="7"/>
    </row>
    <row r="2206" spans="1:3" ht="12.45" x14ac:dyDescent="0.3">
      <c r="A2206" s="7"/>
      <c r="B2206" s="7"/>
      <c r="C2206" s="7"/>
    </row>
    <row r="2207" spans="1:3" ht="12.45" x14ac:dyDescent="0.3">
      <c r="A2207" s="7"/>
      <c r="B2207" s="7"/>
      <c r="C2207" s="7"/>
    </row>
    <row r="2208" spans="1:3" ht="12.45" x14ac:dyDescent="0.3">
      <c r="A2208" s="7"/>
      <c r="B2208" s="7"/>
      <c r="C2208" s="7"/>
    </row>
    <row r="2209" spans="1:3" ht="12.45" x14ac:dyDescent="0.3">
      <c r="A2209" s="7"/>
      <c r="B2209" s="7"/>
      <c r="C2209" s="7"/>
    </row>
    <row r="2210" spans="1:3" ht="12.45" x14ac:dyDescent="0.3">
      <c r="A2210" s="7"/>
      <c r="B2210" s="7"/>
      <c r="C2210" s="7"/>
    </row>
    <row r="2211" spans="1:3" ht="12.45" x14ac:dyDescent="0.3">
      <c r="A2211" s="7"/>
      <c r="B2211" s="7"/>
      <c r="C2211" s="7"/>
    </row>
    <row r="2212" spans="1:3" ht="12.45" x14ac:dyDescent="0.3">
      <c r="A2212" s="7"/>
      <c r="B2212" s="7"/>
      <c r="C2212" s="7"/>
    </row>
    <row r="2213" spans="1:3" ht="12.45" x14ac:dyDescent="0.3">
      <c r="A2213" s="7"/>
      <c r="B2213" s="7"/>
      <c r="C2213" s="7"/>
    </row>
    <row r="2214" spans="1:3" ht="12.45" x14ac:dyDescent="0.3">
      <c r="A2214" s="7"/>
      <c r="B2214" s="7"/>
      <c r="C2214" s="7"/>
    </row>
    <row r="2215" spans="1:3" ht="12.45" x14ac:dyDescent="0.3">
      <c r="A2215" s="7"/>
      <c r="B2215" s="7"/>
      <c r="C2215" s="7"/>
    </row>
    <row r="2216" spans="1:3" ht="12.45" x14ac:dyDescent="0.3">
      <c r="A2216" s="7"/>
      <c r="B2216" s="7"/>
      <c r="C2216" s="7"/>
    </row>
    <row r="2217" spans="1:3" ht="12.45" x14ac:dyDescent="0.3">
      <c r="A2217" s="7"/>
      <c r="B2217" s="7"/>
      <c r="C2217" s="7"/>
    </row>
    <row r="2218" spans="1:3" ht="12.45" x14ac:dyDescent="0.3">
      <c r="A2218" s="7"/>
      <c r="B2218" s="7"/>
      <c r="C2218" s="7"/>
    </row>
    <row r="2219" spans="1:3" ht="12.45" x14ac:dyDescent="0.3">
      <c r="A2219" s="7"/>
      <c r="B2219" s="7"/>
      <c r="C2219" s="7"/>
    </row>
    <row r="2220" spans="1:3" ht="12.45" x14ac:dyDescent="0.3">
      <c r="A2220" s="7"/>
      <c r="B2220" s="7"/>
      <c r="C2220" s="7"/>
    </row>
    <row r="2221" spans="1:3" ht="12.45" x14ac:dyDescent="0.3">
      <c r="A2221" s="7"/>
      <c r="B2221" s="7"/>
      <c r="C2221" s="7"/>
    </row>
    <row r="2222" spans="1:3" ht="12.45" x14ac:dyDescent="0.3">
      <c r="A2222" s="7"/>
      <c r="B2222" s="7"/>
      <c r="C2222" s="7"/>
    </row>
    <row r="2223" spans="1:3" ht="12.45" x14ac:dyDescent="0.3">
      <c r="A2223" s="7"/>
      <c r="B2223" s="7"/>
      <c r="C2223" s="7"/>
    </row>
    <row r="2224" spans="1:3" ht="12.45" x14ac:dyDescent="0.3">
      <c r="A2224" s="7"/>
      <c r="B2224" s="7"/>
      <c r="C2224" s="7"/>
    </row>
    <row r="2225" spans="1:3" ht="12.45" x14ac:dyDescent="0.3">
      <c r="A2225" s="7"/>
      <c r="B2225" s="7"/>
      <c r="C2225" s="7"/>
    </row>
    <row r="2226" spans="1:3" ht="12.45" x14ac:dyDescent="0.3">
      <c r="A2226" s="7"/>
      <c r="B2226" s="7"/>
      <c r="C2226" s="7"/>
    </row>
    <row r="2227" spans="1:3" ht="12.45" x14ac:dyDescent="0.3">
      <c r="A2227" s="7"/>
      <c r="B2227" s="7"/>
      <c r="C2227" s="7"/>
    </row>
    <row r="2228" spans="1:3" ht="12.45" x14ac:dyDescent="0.3">
      <c r="A2228" s="7"/>
      <c r="B2228" s="7"/>
      <c r="C2228" s="7"/>
    </row>
    <row r="2229" spans="1:3" ht="12.45" x14ac:dyDescent="0.3">
      <c r="A2229" s="7"/>
      <c r="B2229" s="7"/>
      <c r="C2229" s="7"/>
    </row>
    <row r="2230" spans="1:3" ht="12.45" x14ac:dyDescent="0.3">
      <c r="A2230" s="7"/>
      <c r="B2230" s="7"/>
      <c r="C2230" s="7"/>
    </row>
    <row r="2231" spans="1:3" ht="12.45" x14ac:dyDescent="0.3">
      <c r="A2231" s="7"/>
      <c r="B2231" s="7"/>
      <c r="C2231" s="7"/>
    </row>
    <row r="2232" spans="1:3" ht="12.45" x14ac:dyDescent="0.3">
      <c r="A2232" s="7"/>
      <c r="B2232" s="7"/>
      <c r="C2232" s="7"/>
    </row>
    <row r="2233" spans="1:3" ht="12.45" x14ac:dyDescent="0.3">
      <c r="A2233" s="7"/>
      <c r="B2233" s="7"/>
      <c r="C2233" s="7"/>
    </row>
    <row r="2234" spans="1:3" ht="12.45" x14ac:dyDescent="0.3">
      <c r="A2234" s="7"/>
      <c r="B2234" s="7"/>
      <c r="C2234" s="7"/>
    </row>
    <row r="2235" spans="1:3" ht="12.45" x14ac:dyDescent="0.3">
      <c r="A2235" s="7"/>
      <c r="B2235" s="7"/>
      <c r="C2235" s="7"/>
    </row>
    <row r="2236" spans="1:3" ht="12.45" x14ac:dyDescent="0.3">
      <c r="A2236" s="7"/>
      <c r="B2236" s="7"/>
      <c r="C2236" s="7"/>
    </row>
    <row r="2237" spans="1:3" ht="12.45" x14ac:dyDescent="0.3">
      <c r="A2237" s="7"/>
      <c r="B2237" s="7"/>
      <c r="C2237" s="7"/>
    </row>
    <row r="2238" spans="1:3" ht="12.45" x14ac:dyDescent="0.3">
      <c r="A2238" s="7"/>
      <c r="B2238" s="7"/>
      <c r="C2238" s="7"/>
    </row>
    <row r="2239" spans="1:3" ht="12.45" x14ac:dyDescent="0.3">
      <c r="A2239" s="7"/>
      <c r="B2239" s="7"/>
      <c r="C2239" s="7"/>
    </row>
    <row r="2240" spans="1:3" ht="12.45" x14ac:dyDescent="0.3">
      <c r="A2240" s="7"/>
      <c r="B2240" s="7"/>
      <c r="C2240" s="7"/>
    </row>
    <row r="2241" spans="1:3" ht="12.45" x14ac:dyDescent="0.3">
      <c r="A2241" s="7"/>
      <c r="B2241" s="7"/>
      <c r="C2241" s="7"/>
    </row>
    <row r="2242" spans="1:3" ht="12.45" x14ac:dyDescent="0.3">
      <c r="A2242" s="7"/>
      <c r="B2242" s="7"/>
      <c r="C2242" s="7"/>
    </row>
    <row r="2243" spans="1:3" ht="12.45" x14ac:dyDescent="0.3">
      <c r="A2243" s="7"/>
      <c r="B2243" s="7"/>
      <c r="C2243" s="7"/>
    </row>
    <row r="2244" spans="1:3" ht="12.45" x14ac:dyDescent="0.3">
      <c r="A2244" s="7"/>
      <c r="B2244" s="7"/>
      <c r="C2244" s="7"/>
    </row>
    <row r="2245" spans="1:3" ht="12.45" x14ac:dyDescent="0.3">
      <c r="A2245" s="7"/>
      <c r="B2245" s="7"/>
      <c r="C2245" s="7"/>
    </row>
    <row r="2246" spans="1:3" ht="12.45" x14ac:dyDescent="0.3">
      <c r="A2246" s="7"/>
      <c r="B2246" s="7"/>
      <c r="C2246" s="7"/>
    </row>
    <row r="2247" spans="1:3" ht="12.45" x14ac:dyDescent="0.3">
      <c r="A2247" s="7"/>
      <c r="B2247" s="7"/>
      <c r="C2247" s="7"/>
    </row>
    <row r="2248" spans="1:3" ht="12.45" x14ac:dyDescent="0.3">
      <c r="A2248" s="7"/>
      <c r="B2248" s="7"/>
      <c r="C2248" s="7"/>
    </row>
    <row r="2249" spans="1:3" ht="12.45" x14ac:dyDescent="0.3">
      <c r="A2249" s="7"/>
      <c r="B2249" s="7"/>
      <c r="C2249" s="7"/>
    </row>
    <row r="2250" spans="1:3" ht="12.45" x14ac:dyDescent="0.3">
      <c r="A2250" s="7"/>
      <c r="B2250" s="7"/>
      <c r="C2250" s="7"/>
    </row>
    <row r="2251" spans="1:3" ht="12.45" x14ac:dyDescent="0.3">
      <c r="A2251" s="7"/>
      <c r="B2251" s="7"/>
      <c r="C2251" s="7"/>
    </row>
    <row r="2252" spans="1:3" ht="12.45" x14ac:dyDescent="0.3">
      <c r="A2252" s="7"/>
      <c r="B2252" s="7"/>
      <c r="C2252" s="7"/>
    </row>
    <row r="2253" spans="1:3" ht="12.45" x14ac:dyDescent="0.3">
      <c r="A2253" s="7"/>
      <c r="B2253" s="7"/>
      <c r="C2253" s="7"/>
    </row>
    <row r="2254" spans="1:3" ht="12.45" x14ac:dyDescent="0.3">
      <c r="A2254" s="7"/>
      <c r="B2254" s="7"/>
      <c r="C2254" s="7"/>
    </row>
    <row r="2255" spans="1:3" ht="12.45" x14ac:dyDescent="0.3">
      <c r="A2255" s="7"/>
      <c r="B2255" s="7"/>
      <c r="C2255" s="7"/>
    </row>
    <row r="2256" spans="1:3" ht="12.45" x14ac:dyDescent="0.3">
      <c r="A2256" s="7"/>
      <c r="B2256" s="7"/>
      <c r="C2256" s="7"/>
    </row>
    <row r="2257" spans="1:3" ht="12.45" x14ac:dyDescent="0.3">
      <c r="A2257" s="7"/>
      <c r="B2257" s="7"/>
      <c r="C2257" s="7"/>
    </row>
    <row r="2258" spans="1:3" ht="12.45" x14ac:dyDescent="0.3">
      <c r="A2258" s="7"/>
      <c r="B2258" s="7"/>
      <c r="C2258" s="7"/>
    </row>
    <row r="2259" spans="1:3" ht="12.45" x14ac:dyDescent="0.3">
      <c r="A2259" s="7"/>
      <c r="B2259" s="7"/>
      <c r="C2259" s="7"/>
    </row>
    <row r="2260" spans="1:3" ht="12.45" x14ac:dyDescent="0.3">
      <c r="A2260" s="7"/>
      <c r="B2260" s="7"/>
      <c r="C2260" s="7"/>
    </row>
    <row r="2261" spans="1:3" ht="12.45" x14ac:dyDescent="0.3">
      <c r="A2261" s="7"/>
      <c r="B2261" s="7"/>
      <c r="C2261" s="7"/>
    </row>
    <row r="2262" spans="1:3" ht="12.45" x14ac:dyDescent="0.3">
      <c r="A2262" s="7"/>
      <c r="B2262" s="7"/>
      <c r="C2262" s="7"/>
    </row>
    <row r="2263" spans="1:3" ht="12.45" x14ac:dyDescent="0.3">
      <c r="A2263" s="7"/>
      <c r="B2263" s="7"/>
      <c r="C2263" s="7"/>
    </row>
    <row r="2264" spans="1:3" ht="12.45" x14ac:dyDescent="0.3">
      <c r="A2264" s="7"/>
      <c r="B2264" s="7"/>
      <c r="C2264" s="7"/>
    </row>
    <row r="2265" spans="1:3" ht="12.45" x14ac:dyDescent="0.3">
      <c r="A2265" s="7"/>
      <c r="B2265" s="7"/>
      <c r="C2265" s="7"/>
    </row>
    <row r="2266" spans="1:3" ht="12.45" x14ac:dyDescent="0.3">
      <c r="A2266" s="7"/>
      <c r="B2266" s="7"/>
      <c r="C2266" s="7"/>
    </row>
    <row r="2267" spans="1:3" ht="12.45" x14ac:dyDescent="0.3">
      <c r="A2267" s="7"/>
      <c r="B2267" s="7"/>
      <c r="C2267" s="7"/>
    </row>
    <row r="2268" spans="1:3" ht="12.45" x14ac:dyDescent="0.3">
      <c r="A2268" s="7"/>
      <c r="B2268" s="7"/>
      <c r="C2268" s="7"/>
    </row>
    <row r="2269" spans="1:3" ht="12.45" x14ac:dyDescent="0.3">
      <c r="A2269" s="7"/>
      <c r="B2269" s="7"/>
      <c r="C2269" s="7"/>
    </row>
    <row r="2270" spans="1:3" ht="12.45" x14ac:dyDescent="0.3">
      <c r="A2270" s="7"/>
      <c r="B2270" s="7"/>
      <c r="C2270" s="7"/>
    </row>
    <row r="2271" spans="1:3" ht="12.45" x14ac:dyDescent="0.3">
      <c r="A2271" s="7"/>
      <c r="B2271" s="7"/>
      <c r="C2271" s="7"/>
    </row>
    <row r="2272" spans="1:3" ht="12.45" x14ac:dyDescent="0.3">
      <c r="A2272" s="7"/>
      <c r="B2272" s="7"/>
      <c r="C2272" s="7"/>
    </row>
    <row r="2273" spans="1:3" ht="12.45" x14ac:dyDescent="0.3">
      <c r="A2273" s="7"/>
      <c r="B2273" s="7"/>
      <c r="C2273" s="7"/>
    </row>
    <row r="2274" spans="1:3" ht="12.45" x14ac:dyDescent="0.3">
      <c r="A2274" s="7"/>
      <c r="B2274" s="7"/>
      <c r="C2274" s="7"/>
    </row>
    <row r="2275" spans="1:3" ht="12.45" x14ac:dyDescent="0.3">
      <c r="A2275" s="7"/>
      <c r="B2275" s="7"/>
      <c r="C2275" s="7"/>
    </row>
    <row r="2276" spans="1:3" ht="12.45" x14ac:dyDescent="0.3">
      <c r="A2276" s="7"/>
      <c r="B2276" s="7"/>
      <c r="C2276" s="7"/>
    </row>
    <row r="2277" spans="1:3" ht="12.45" x14ac:dyDescent="0.3">
      <c r="A2277" s="7"/>
      <c r="B2277" s="7"/>
      <c r="C2277" s="7"/>
    </row>
    <row r="2278" spans="1:3" ht="12.45" x14ac:dyDescent="0.3">
      <c r="A2278" s="7"/>
      <c r="B2278" s="7"/>
      <c r="C2278" s="7"/>
    </row>
    <row r="2279" spans="1:3" ht="12.45" x14ac:dyDescent="0.3">
      <c r="A2279" s="7"/>
      <c r="B2279" s="7"/>
      <c r="C2279" s="7"/>
    </row>
    <row r="2280" spans="1:3" ht="12.45" x14ac:dyDescent="0.3">
      <c r="A2280" s="7"/>
      <c r="B2280" s="7"/>
      <c r="C2280" s="7"/>
    </row>
    <row r="2281" spans="1:3" ht="12.45" x14ac:dyDescent="0.3">
      <c r="A2281" s="7"/>
      <c r="B2281" s="7"/>
      <c r="C2281" s="7"/>
    </row>
    <row r="2282" spans="1:3" ht="12.45" x14ac:dyDescent="0.3">
      <c r="A2282" s="7"/>
      <c r="B2282" s="7"/>
      <c r="C2282" s="7"/>
    </row>
    <row r="2283" spans="1:3" ht="12.45" x14ac:dyDescent="0.3">
      <c r="A2283" s="7"/>
      <c r="B2283" s="7"/>
      <c r="C2283" s="7"/>
    </row>
    <row r="2284" spans="1:3" ht="12.45" x14ac:dyDescent="0.3">
      <c r="A2284" s="7"/>
      <c r="B2284" s="7"/>
      <c r="C2284" s="7"/>
    </row>
    <row r="2285" spans="1:3" ht="12.45" x14ac:dyDescent="0.3">
      <c r="A2285" s="7"/>
      <c r="B2285" s="7"/>
      <c r="C2285" s="7"/>
    </row>
    <row r="2286" spans="1:3" ht="12.45" x14ac:dyDescent="0.3">
      <c r="A2286" s="7"/>
      <c r="B2286" s="7"/>
      <c r="C2286" s="7"/>
    </row>
    <row r="2287" spans="1:3" ht="12.45" x14ac:dyDescent="0.3">
      <c r="A2287" s="7"/>
      <c r="B2287" s="7"/>
      <c r="C2287" s="7"/>
    </row>
    <row r="2288" spans="1:3" ht="12.45" x14ac:dyDescent="0.3">
      <c r="A2288" s="7"/>
      <c r="B2288" s="7"/>
      <c r="C2288" s="7"/>
    </row>
    <row r="2289" spans="1:3" ht="12.45" x14ac:dyDescent="0.3">
      <c r="A2289" s="7"/>
      <c r="B2289" s="7"/>
      <c r="C2289" s="7"/>
    </row>
    <row r="2290" spans="1:3" ht="12.45" x14ac:dyDescent="0.3">
      <c r="A2290" s="7"/>
      <c r="B2290" s="7"/>
      <c r="C2290" s="7"/>
    </row>
    <row r="2291" spans="1:3" ht="12.45" x14ac:dyDescent="0.3">
      <c r="A2291" s="7"/>
      <c r="B2291" s="7"/>
      <c r="C2291" s="7"/>
    </row>
    <row r="2292" spans="1:3" ht="12.45" x14ac:dyDescent="0.3">
      <c r="A2292" s="7"/>
      <c r="B2292" s="7"/>
      <c r="C2292" s="7"/>
    </row>
    <row r="2293" spans="1:3" ht="12.45" x14ac:dyDescent="0.3">
      <c r="A2293" s="7"/>
      <c r="B2293" s="7"/>
      <c r="C2293" s="7"/>
    </row>
    <row r="2294" spans="1:3" ht="12.45" x14ac:dyDescent="0.3">
      <c r="A2294" s="7"/>
      <c r="B2294" s="7"/>
      <c r="C2294" s="7"/>
    </row>
    <row r="2295" spans="1:3" ht="12.45" x14ac:dyDescent="0.3">
      <c r="A2295" s="7"/>
      <c r="B2295" s="7"/>
      <c r="C2295" s="7"/>
    </row>
    <row r="2296" spans="1:3" ht="12.45" x14ac:dyDescent="0.3">
      <c r="A2296" s="7"/>
      <c r="B2296" s="7"/>
      <c r="C2296" s="7"/>
    </row>
    <row r="2297" spans="1:3" ht="12.45" x14ac:dyDescent="0.3">
      <c r="A2297" s="7"/>
      <c r="B2297" s="7"/>
      <c r="C2297" s="7"/>
    </row>
    <row r="2298" spans="1:3" ht="12.45" x14ac:dyDescent="0.3">
      <c r="A2298" s="7"/>
      <c r="B2298" s="7"/>
      <c r="C2298" s="7"/>
    </row>
    <row r="2299" spans="1:3" ht="12.45" x14ac:dyDescent="0.3">
      <c r="A2299" s="7"/>
      <c r="B2299" s="7"/>
      <c r="C2299" s="7"/>
    </row>
    <row r="2300" spans="1:3" ht="12.45" x14ac:dyDescent="0.3">
      <c r="A2300" s="7"/>
      <c r="B2300" s="7"/>
      <c r="C2300" s="7"/>
    </row>
    <row r="2301" spans="1:3" ht="12.45" x14ac:dyDescent="0.3">
      <c r="A2301" s="7"/>
      <c r="B2301" s="7"/>
      <c r="C2301" s="7"/>
    </row>
    <row r="2302" spans="1:3" ht="12.45" x14ac:dyDescent="0.3">
      <c r="A2302" s="7"/>
      <c r="B2302" s="7"/>
      <c r="C2302" s="7"/>
    </row>
    <row r="2303" spans="1:3" ht="12.45" x14ac:dyDescent="0.3">
      <c r="A2303" s="7"/>
      <c r="B2303" s="7"/>
      <c r="C2303" s="7"/>
    </row>
    <row r="2304" spans="1:3" ht="12.45" x14ac:dyDescent="0.3">
      <c r="A2304" s="7"/>
      <c r="B2304" s="7"/>
      <c r="C2304" s="7"/>
    </row>
    <row r="2305" spans="1:3" ht="12.45" x14ac:dyDescent="0.3">
      <c r="A2305" s="7"/>
      <c r="B2305" s="7"/>
      <c r="C2305" s="7"/>
    </row>
    <row r="2306" spans="1:3" ht="12.45" x14ac:dyDescent="0.3">
      <c r="A2306" s="7"/>
      <c r="B2306" s="7"/>
      <c r="C2306" s="7"/>
    </row>
    <row r="2307" spans="1:3" ht="12.45" x14ac:dyDescent="0.3">
      <c r="A2307" s="7"/>
      <c r="B2307" s="7"/>
      <c r="C2307" s="7"/>
    </row>
    <row r="2308" spans="1:3" ht="12.45" x14ac:dyDescent="0.3">
      <c r="A2308" s="7"/>
      <c r="B2308" s="7"/>
      <c r="C2308" s="7"/>
    </row>
    <row r="2309" spans="1:3" ht="12.45" x14ac:dyDescent="0.3">
      <c r="A2309" s="7"/>
      <c r="B2309" s="7"/>
      <c r="C2309" s="7"/>
    </row>
    <row r="2310" spans="1:3" ht="12.45" x14ac:dyDescent="0.3">
      <c r="A2310" s="7"/>
      <c r="B2310" s="7"/>
      <c r="C2310" s="7"/>
    </row>
    <row r="2311" spans="1:3" ht="12.45" x14ac:dyDescent="0.3">
      <c r="A2311" s="7"/>
      <c r="B2311" s="7"/>
      <c r="C2311" s="7"/>
    </row>
    <row r="2312" spans="1:3" ht="12.45" x14ac:dyDescent="0.3">
      <c r="A2312" s="7"/>
      <c r="B2312" s="7"/>
      <c r="C2312" s="7"/>
    </row>
    <row r="2313" spans="1:3" ht="12.45" x14ac:dyDescent="0.3">
      <c r="A2313" s="7"/>
      <c r="B2313" s="7"/>
      <c r="C2313" s="7"/>
    </row>
    <row r="2314" spans="1:3" ht="12.45" x14ac:dyDescent="0.3">
      <c r="A2314" s="7"/>
      <c r="B2314" s="7"/>
      <c r="C2314" s="7"/>
    </row>
    <row r="2315" spans="1:3" ht="12.45" x14ac:dyDescent="0.3">
      <c r="A2315" s="7"/>
      <c r="B2315" s="7"/>
      <c r="C2315" s="7"/>
    </row>
    <row r="2316" spans="1:3" ht="12.45" x14ac:dyDescent="0.3">
      <c r="A2316" s="7"/>
      <c r="B2316" s="7"/>
      <c r="C2316" s="7"/>
    </row>
    <row r="2317" spans="1:3" ht="12.45" x14ac:dyDescent="0.3">
      <c r="A2317" s="7"/>
      <c r="B2317" s="7"/>
      <c r="C2317" s="7"/>
    </row>
    <row r="2318" spans="1:3" ht="12.45" x14ac:dyDescent="0.3">
      <c r="A2318" s="7"/>
      <c r="B2318" s="7"/>
      <c r="C2318" s="7"/>
    </row>
    <row r="2319" spans="1:3" ht="12.45" x14ac:dyDescent="0.3">
      <c r="A2319" s="7"/>
      <c r="B2319" s="7"/>
      <c r="C2319" s="7"/>
    </row>
    <row r="2320" spans="1:3" ht="12.45" x14ac:dyDescent="0.3">
      <c r="A2320" s="7"/>
      <c r="B2320" s="7"/>
      <c r="C2320" s="7"/>
    </row>
    <row r="2321" spans="1:3" ht="12.45" x14ac:dyDescent="0.3">
      <c r="A2321" s="7"/>
      <c r="B2321" s="7"/>
      <c r="C2321" s="7"/>
    </row>
    <row r="2322" spans="1:3" ht="12.45" x14ac:dyDescent="0.3">
      <c r="A2322" s="7"/>
      <c r="B2322" s="7"/>
      <c r="C2322" s="7"/>
    </row>
    <row r="2323" spans="1:3" ht="12.45" x14ac:dyDescent="0.3">
      <c r="A2323" s="7"/>
      <c r="B2323" s="7"/>
      <c r="C2323" s="7"/>
    </row>
    <row r="2324" spans="1:3" ht="12.45" x14ac:dyDescent="0.3">
      <c r="A2324" s="7"/>
      <c r="B2324" s="7"/>
      <c r="C2324" s="7"/>
    </row>
    <row r="2325" spans="1:3" ht="12.45" x14ac:dyDescent="0.3">
      <c r="A2325" s="7"/>
      <c r="B2325" s="7"/>
      <c r="C2325" s="7"/>
    </row>
    <row r="2326" spans="1:3" ht="12.45" x14ac:dyDescent="0.3">
      <c r="A2326" s="7"/>
      <c r="B2326" s="7"/>
      <c r="C2326" s="7"/>
    </row>
    <row r="2327" spans="1:3" ht="12.45" x14ac:dyDescent="0.3">
      <c r="A2327" s="7"/>
      <c r="B2327" s="7"/>
      <c r="C2327" s="7"/>
    </row>
    <row r="2328" spans="1:3" ht="12.45" x14ac:dyDescent="0.3">
      <c r="A2328" s="7"/>
      <c r="B2328" s="7"/>
      <c r="C2328" s="7"/>
    </row>
    <row r="2329" spans="1:3" ht="12.45" x14ac:dyDescent="0.3">
      <c r="A2329" s="7"/>
      <c r="B2329" s="7"/>
      <c r="C2329" s="7"/>
    </row>
    <row r="2330" spans="1:3" ht="12.45" x14ac:dyDescent="0.3">
      <c r="A2330" s="7"/>
      <c r="B2330" s="7"/>
      <c r="C2330" s="7"/>
    </row>
    <row r="2331" spans="1:3" ht="12.45" x14ac:dyDescent="0.3">
      <c r="A2331" s="7"/>
      <c r="B2331" s="7"/>
      <c r="C2331" s="7"/>
    </row>
    <row r="2332" spans="1:3" ht="12.45" x14ac:dyDescent="0.3">
      <c r="A2332" s="7"/>
      <c r="B2332" s="7"/>
      <c r="C2332" s="7"/>
    </row>
    <row r="2333" spans="1:3" ht="12.45" x14ac:dyDescent="0.3">
      <c r="A2333" s="7"/>
      <c r="B2333" s="7"/>
      <c r="C2333" s="7"/>
    </row>
    <row r="2334" spans="1:3" ht="12.45" x14ac:dyDescent="0.3">
      <c r="A2334" s="7"/>
      <c r="B2334" s="7"/>
      <c r="C2334" s="7"/>
    </row>
    <row r="2335" spans="1:3" ht="12.45" x14ac:dyDescent="0.3">
      <c r="A2335" s="7"/>
      <c r="B2335" s="7"/>
      <c r="C2335" s="7"/>
    </row>
    <row r="2336" spans="1:3" ht="12.45" x14ac:dyDescent="0.3">
      <c r="A2336" s="7"/>
      <c r="B2336" s="7"/>
      <c r="C2336" s="7"/>
    </row>
    <row r="2337" spans="1:3" ht="12.45" x14ac:dyDescent="0.3">
      <c r="A2337" s="7"/>
      <c r="B2337" s="7"/>
      <c r="C2337" s="7"/>
    </row>
    <row r="2338" spans="1:3" ht="12.45" x14ac:dyDescent="0.3">
      <c r="A2338" s="7"/>
      <c r="B2338" s="7"/>
      <c r="C2338" s="7"/>
    </row>
    <row r="2339" spans="1:3" ht="12.45" x14ac:dyDescent="0.3">
      <c r="A2339" s="7"/>
      <c r="B2339" s="7"/>
      <c r="C2339" s="7"/>
    </row>
    <row r="2340" spans="1:3" ht="12.45" x14ac:dyDescent="0.3">
      <c r="A2340" s="7"/>
      <c r="B2340" s="7"/>
      <c r="C2340" s="7"/>
    </row>
    <row r="2341" spans="1:3" ht="12.45" x14ac:dyDescent="0.3">
      <c r="A2341" s="7"/>
      <c r="B2341" s="7"/>
      <c r="C2341" s="7"/>
    </row>
    <row r="2342" spans="1:3" ht="12.45" x14ac:dyDescent="0.3">
      <c r="A2342" s="7"/>
      <c r="B2342" s="7"/>
      <c r="C2342" s="7"/>
    </row>
    <row r="2343" spans="1:3" ht="12.45" x14ac:dyDescent="0.3">
      <c r="A2343" s="7"/>
      <c r="B2343" s="7"/>
      <c r="C2343" s="7"/>
    </row>
    <row r="2344" spans="1:3" ht="12.45" x14ac:dyDescent="0.3">
      <c r="A2344" s="7"/>
      <c r="B2344" s="7"/>
      <c r="C2344" s="7"/>
    </row>
    <row r="2345" spans="1:3" ht="12.45" x14ac:dyDescent="0.3">
      <c r="A2345" s="7"/>
      <c r="B2345" s="7"/>
      <c r="C2345" s="7"/>
    </row>
    <row r="2346" spans="1:3" ht="12.45" x14ac:dyDescent="0.3">
      <c r="A2346" s="7"/>
      <c r="B2346" s="7"/>
      <c r="C2346" s="7"/>
    </row>
    <row r="2347" spans="1:3" ht="12.45" x14ac:dyDescent="0.3">
      <c r="A2347" s="7"/>
      <c r="B2347" s="7"/>
      <c r="C2347" s="7"/>
    </row>
    <row r="2348" spans="1:3" ht="12.45" x14ac:dyDescent="0.3">
      <c r="A2348" s="7"/>
      <c r="B2348" s="7"/>
      <c r="C2348" s="7"/>
    </row>
    <row r="2349" spans="1:3" ht="12.45" x14ac:dyDescent="0.3">
      <c r="A2349" s="7"/>
      <c r="B2349" s="7"/>
      <c r="C2349" s="7"/>
    </row>
    <row r="2350" spans="1:3" ht="12.45" x14ac:dyDescent="0.3">
      <c r="A2350" s="7"/>
      <c r="B2350" s="7"/>
      <c r="C2350" s="7"/>
    </row>
    <row r="2351" spans="1:3" ht="12.45" x14ac:dyDescent="0.3">
      <c r="A2351" s="7"/>
      <c r="B2351" s="7"/>
      <c r="C2351" s="7"/>
    </row>
    <row r="2352" spans="1:3" ht="12.45" x14ac:dyDescent="0.3">
      <c r="A2352" s="7"/>
      <c r="B2352" s="7"/>
      <c r="C2352" s="7"/>
    </row>
    <row r="2353" spans="1:3" ht="12.45" x14ac:dyDescent="0.3">
      <c r="A2353" s="7"/>
      <c r="B2353" s="7"/>
      <c r="C2353" s="7"/>
    </row>
    <row r="2354" spans="1:3" ht="12.45" x14ac:dyDescent="0.3">
      <c r="A2354" s="7"/>
      <c r="B2354" s="7"/>
      <c r="C2354" s="7"/>
    </row>
    <row r="2355" spans="1:3" ht="12.45" x14ac:dyDescent="0.3">
      <c r="A2355" s="7"/>
      <c r="B2355" s="7"/>
      <c r="C2355" s="7"/>
    </row>
    <row r="2356" spans="1:3" ht="12.45" x14ac:dyDescent="0.3">
      <c r="A2356" s="7"/>
      <c r="B2356" s="7"/>
      <c r="C2356" s="7"/>
    </row>
    <row r="2357" spans="1:3" ht="12.45" x14ac:dyDescent="0.3">
      <c r="A2357" s="7"/>
      <c r="B2357" s="7"/>
      <c r="C2357" s="7"/>
    </row>
    <row r="2358" spans="1:3" ht="12.45" x14ac:dyDescent="0.3">
      <c r="A2358" s="7"/>
      <c r="B2358" s="7"/>
      <c r="C2358" s="7"/>
    </row>
    <row r="2359" spans="1:3" ht="12.45" x14ac:dyDescent="0.3">
      <c r="A2359" s="7"/>
      <c r="B2359" s="7"/>
      <c r="C2359" s="7"/>
    </row>
    <row r="2360" spans="1:3" ht="12.45" x14ac:dyDescent="0.3">
      <c r="A2360" s="7"/>
      <c r="B2360" s="7"/>
      <c r="C2360" s="7"/>
    </row>
    <row r="2361" spans="1:3" ht="12.45" x14ac:dyDescent="0.3">
      <c r="A2361" s="7"/>
      <c r="B2361" s="7"/>
      <c r="C2361" s="7"/>
    </row>
    <row r="2362" spans="1:3" ht="12.45" x14ac:dyDescent="0.3">
      <c r="A2362" s="7"/>
      <c r="B2362" s="7"/>
      <c r="C2362" s="7"/>
    </row>
    <row r="2363" spans="1:3" ht="12.45" x14ac:dyDescent="0.3">
      <c r="A2363" s="7"/>
      <c r="B2363" s="7"/>
      <c r="C2363" s="7"/>
    </row>
    <row r="2364" spans="1:3" ht="12.45" x14ac:dyDescent="0.3">
      <c r="A2364" s="7"/>
      <c r="B2364" s="7"/>
      <c r="C2364" s="7"/>
    </row>
    <row r="2365" spans="1:3" ht="12.45" x14ac:dyDescent="0.3">
      <c r="A2365" s="7"/>
      <c r="B2365" s="7"/>
      <c r="C2365" s="7"/>
    </row>
    <row r="2366" spans="1:3" ht="12.45" x14ac:dyDescent="0.3">
      <c r="A2366" s="7"/>
      <c r="B2366" s="7"/>
      <c r="C2366" s="7"/>
    </row>
    <row r="2367" spans="1:3" ht="12.45" x14ac:dyDescent="0.3">
      <c r="A2367" s="7"/>
      <c r="B2367" s="7"/>
      <c r="C2367" s="7"/>
    </row>
    <row r="2368" spans="1:3" ht="12.45" x14ac:dyDescent="0.3">
      <c r="A2368" s="7"/>
      <c r="B2368" s="7"/>
      <c r="C2368" s="7"/>
    </row>
    <row r="2369" spans="1:3" ht="12.45" x14ac:dyDescent="0.3">
      <c r="A2369" s="7"/>
      <c r="B2369" s="7"/>
      <c r="C2369" s="7"/>
    </row>
    <row r="2370" spans="1:3" ht="12.45" x14ac:dyDescent="0.3">
      <c r="A2370" s="7"/>
      <c r="B2370" s="7"/>
      <c r="C2370" s="7"/>
    </row>
    <row r="2371" spans="1:3" ht="12.45" x14ac:dyDescent="0.3">
      <c r="A2371" s="7"/>
      <c r="B2371" s="7"/>
      <c r="C2371" s="7"/>
    </row>
    <row r="2372" spans="1:3" ht="12.45" x14ac:dyDescent="0.3">
      <c r="A2372" s="7"/>
      <c r="B2372" s="7"/>
      <c r="C2372" s="7"/>
    </row>
    <row r="2373" spans="1:3" ht="12.45" x14ac:dyDescent="0.3">
      <c r="A2373" s="7"/>
      <c r="B2373" s="7"/>
      <c r="C2373" s="7"/>
    </row>
    <row r="2374" spans="1:3" ht="12.45" x14ac:dyDescent="0.3">
      <c r="A2374" s="7"/>
      <c r="B2374" s="7"/>
      <c r="C2374" s="7"/>
    </row>
    <row r="2375" spans="1:3" ht="12.45" x14ac:dyDescent="0.3">
      <c r="A2375" s="7"/>
      <c r="B2375" s="7"/>
      <c r="C2375" s="7"/>
    </row>
    <row r="2376" spans="1:3" ht="12.45" x14ac:dyDescent="0.3">
      <c r="A2376" s="7"/>
      <c r="B2376" s="7"/>
      <c r="C2376" s="7"/>
    </row>
    <row r="2377" spans="1:3" ht="12.45" x14ac:dyDescent="0.3">
      <c r="A2377" s="7"/>
      <c r="B2377" s="7"/>
      <c r="C2377" s="7"/>
    </row>
    <row r="2378" spans="1:3" ht="12.45" x14ac:dyDescent="0.3">
      <c r="A2378" s="7"/>
      <c r="B2378" s="7"/>
      <c r="C2378" s="7"/>
    </row>
    <row r="2379" spans="1:3" ht="12.45" x14ac:dyDescent="0.3">
      <c r="A2379" s="7"/>
      <c r="B2379" s="7"/>
      <c r="C2379" s="7"/>
    </row>
    <row r="2380" spans="1:3" ht="12.45" x14ac:dyDescent="0.3">
      <c r="A2380" s="7"/>
      <c r="B2380" s="7"/>
      <c r="C2380" s="7"/>
    </row>
    <row r="2381" spans="1:3" ht="12.45" x14ac:dyDescent="0.3">
      <c r="A2381" s="7"/>
      <c r="B2381" s="7"/>
      <c r="C2381" s="7"/>
    </row>
    <row r="2382" spans="1:3" ht="12.45" x14ac:dyDescent="0.3">
      <c r="A2382" s="7"/>
      <c r="B2382" s="7"/>
      <c r="C2382" s="7"/>
    </row>
    <row r="2383" spans="1:3" ht="12.45" x14ac:dyDescent="0.3">
      <c r="A2383" s="7"/>
      <c r="B2383" s="7"/>
      <c r="C2383" s="7"/>
    </row>
    <row r="2384" spans="1:3" ht="12.45" x14ac:dyDescent="0.3">
      <c r="A2384" s="7"/>
      <c r="B2384" s="7"/>
      <c r="C2384" s="7"/>
    </row>
    <row r="2385" spans="1:3" ht="12.45" x14ac:dyDescent="0.3">
      <c r="A2385" s="7"/>
      <c r="B2385" s="7"/>
      <c r="C2385" s="7"/>
    </row>
    <row r="2386" spans="1:3" ht="12.45" x14ac:dyDescent="0.3">
      <c r="A2386" s="7"/>
      <c r="B2386" s="7"/>
      <c r="C2386" s="7"/>
    </row>
    <row r="2387" spans="1:3" ht="12.45" x14ac:dyDescent="0.3">
      <c r="A2387" s="7"/>
      <c r="B2387" s="7"/>
      <c r="C2387" s="7"/>
    </row>
    <row r="2388" spans="1:3" ht="12.45" x14ac:dyDescent="0.3">
      <c r="A2388" s="7"/>
      <c r="B2388" s="7"/>
      <c r="C2388" s="7"/>
    </row>
    <row r="2389" spans="1:3" ht="12.45" x14ac:dyDescent="0.3">
      <c r="A2389" s="7"/>
      <c r="B2389" s="7"/>
      <c r="C2389" s="7"/>
    </row>
    <row r="2390" spans="1:3" ht="12.45" x14ac:dyDescent="0.3">
      <c r="A2390" s="7"/>
      <c r="B2390" s="7"/>
      <c r="C2390" s="7"/>
    </row>
    <row r="2391" spans="1:3" ht="12.45" x14ac:dyDescent="0.3">
      <c r="A2391" s="7"/>
      <c r="B2391" s="7"/>
      <c r="C2391" s="7"/>
    </row>
    <row r="2392" spans="1:3" ht="12.45" x14ac:dyDescent="0.3">
      <c r="A2392" s="7"/>
      <c r="B2392" s="7"/>
      <c r="C2392" s="7"/>
    </row>
    <row r="2393" spans="1:3" ht="12.45" x14ac:dyDescent="0.3">
      <c r="A2393" s="7"/>
      <c r="B2393" s="7"/>
      <c r="C2393" s="7"/>
    </row>
    <row r="2394" spans="1:3" ht="12.45" x14ac:dyDescent="0.3">
      <c r="A2394" s="7"/>
      <c r="B2394" s="7"/>
      <c r="C2394" s="7"/>
    </row>
    <row r="2395" spans="1:3" ht="12.45" x14ac:dyDescent="0.3">
      <c r="A2395" s="7"/>
      <c r="B2395" s="7"/>
      <c r="C2395" s="7"/>
    </row>
    <row r="2396" spans="1:3" ht="12.45" x14ac:dyDescent="0.3">
      <c r="A2396" s="7"/>
      <c r="B2396" s="7"/>
      <c r="C2396" s="7"/>
    </row>
    <row r="2397" spans="1:3" ht="12.45" x14ac:dyDescent="0.3">
      <c r="A2397" s="7"/>
      <c r="B2397" s="7"/>
      <c r="C2397" s="7"/>
    </row>
    <row r="2398" spans="1:3" ht="12.45" x14ac:dyDescent="0.3">
      <c r="A2398" s="7"/>
      <c r="B2398" s="7"/>
      <c r="C2398" s="7"/>
    </row>
    <row r="2399" spans="1:3" ht="12.45" x14ac:dyDescent="0.3">
      <c r="A2399" s="7"/>
      <c r="B2399" s="7"/>
      <c r="C2399" s="7"/>
    </row>
    <row r="2400" spans="1:3" ht="12.45" x14ac:dyDescent="0.3">
      <c r="A2400" s="7"/>
      <c r="B2400" s="7"/>
      <c r="C2400" s="7"/>
    </row>
    <row r="2401" spans="1:3" ht="12.45" x14ac:dyDescent="0.3">
      <c r="A2401" s="7"/>
      <c r="B2401" s="7"/>
      <c r="C2401" s="7"/>
    </row>
    <row r="2402" spans="1:3" ht="12.45" x14ac:dyDescent="0.3">
      <c r="A2402" s="7"/>
      <c r="B2402" s="7"/>
      <c r="C2402" s="7"/>
    </row>
    <row r="2403" spans="1:3" ht="12.45" x14ac:dyDescent="0.3">
      <c r="A2403" s="7"/>
      <c r="B2403" s="7"/>
      <c r="C2403" s="7"/>
    </row>
    <row r="2404" spans="1:3" ht="12.45" x14ac:dyDescent="0.3">
      <c r="A2404" s="7"/>
      <c r="B2404" s="7"/>
      <c r="C2404" s="7"/>
    </row>
    <row r="2405" spans="1:3" ht="12.45" x14ac:dyDescent="0.3">
      <c r="A2405" s="7"/>
      <c r="B2405" s="7"/>
      <c r="C2405" s="7"/>
    </row>
    <row r="2406" spans="1:3" ht="12.45" x14ac:dyDescent="0.3">
      <c r="A2406" s="7"/>
      <c r="B2406" s="7"/>
      <c r="C2406" s="7"/>
    </row>
    <row r="2407" spans="1:3" ht="12.45" x14ac:dyDescent="0.3">
      <c r="A2407" s="7"/>
      <c r="B2407" s="7"/>
      <c r="C2407" s="7"/>
    </row>
    <row r="2408" spans="1:3" ht="12.45" x14ac:dyDescent="0.3">
      <c r="A2408" s="7"/>
      <c r="B2408" s="7"/>
      <c r="C2408" s="7"/>
    </row>
    <row r="2409" spans="1:3" ht="12.45" x14ac:dyDescent="0.3">
      <c r="A2409" s="7"/>
      <c r="B2409" s="7"/>
      <c r="C2409" s="7"/>
    </row>
    <row r="2410" spans="1:3" ht="12.45" x14ac:dyDescent="0.3">
      <c r="A2410" s="7"/>
      <c r="B2410" s="7"/>
      <c r="C2410" s="7"/>
    </row>
    <row r="2411" spans="1:3" ht="12.45" x14ac:dyDescent="0.3">
      <c r="A2411" s="7"/>
      <c r="B2411" s="7"/>
      <c r="C2411" s="7"/>
    </row>
    <row r="2412" spans="1:3" ht="12.45" x14ac:dyDescent="0.3">
      <c r="A2412" s="7"/>
      <c r="B2412" s="7"/>
      <c r="C2412" s="7"/>
    </row>
    <row r="2413" spans="1:3" ht="12.45" x14ac:dyDescent="0.3">
      <c r="A2413" s="7"/>
      <c r="B2413" s="7"/>
      <c r="C2413" s="7"/>
    </row>
    <row r="2414" spans="1:3" ht="12.45" x14ac:dyDescent="0.3">
      <c r="A2414" s="7"/>
      <c r="B2414" s="7"/>
      <c r="C2414" s="7"/>
    </row>
    <row r="2415" spans="1:3" ht="12.45" x14ac:dyDescent="0.3">
      <c r="A2415" s="7"/>
      <c r="B2415" s="7"/>
      <c r="C2415" s="7"/>
    </row>
    <row r="2416" spans="1:3" ht="12.45" x14ac:dyDescent="0.3">
      <c r="A2416" s="7"/>
      <c r="B2416" s="7"/>
      <c r="C2416" s="7"/>
    </row>
    <row r="2417" spans="1:3" ht="12.45" x14ac:dyDescent="0.3">
      <c r="A2417" s="7"/>
      <c r="B2417" s="7"/>
      <c r="C2417" s="7"/>
    </row>
    <row r="2418" spans="1:3" ht="12.45" x14ac:dyDescent="0.3">
      <c r="A2418" s="7"/>
      <c r="B2418" s="7"/>
      <c r="C2418" s="7"/>
    </row>
    <row r="2419" spans="1:3" ht="12.45" x14ac:dyDescent="0.3">
      <c r="A2419" s="7"/>
      <c r="B2419" s="7"/>
      <c r="C2419" s="7"/>
    </row>
    <row r="2420" spans="1:3" ht="12.45" x14ac:dyDescent="0.3">
      <c r="A2420" s="7"/>
      <c r="B2420" s="7"/>
      <c r="C2420" s="7"/>
    </row>
    <row r="2421" spans="1:3" ht="12.45" x14ac:dyDescent="0.3">
      <c r="A2421" s="7"/>
      <c r="B2421" s="7"/>
      <c r="C2421" s="7"/>
    </row>
    <row r="2422" spans="1:3" ht="12.45" x14ac:dyDescent="0.3">
      <c r="A2422" s="7"/>
      <c r="B2422" s="7"/>
      <c r="C2422" s="7"/>
    </row>
    <row r="2423" spans="1:3" ht="12.45" x14ac:dyDescent="0.3">
      <c r="A2423" s="7"/>
      <c r="B2423" s="7"/>
      <c r="C2423" s="7"/>
    </row>
    <row r="2424" spans="1:3" ht="12.45" x14ac:dyDescent="0.3">
      <c r="A2424" s="7"/>
      <c r="B2424" s="7"/>
      <c r="C2424" s="7"/>
    </row>
    <row r="2425" spans="1:3" ht="12.45" x14ac:dyDescent="0.3">
      <c r="A2425" s="7"/>
      <c r="B2425" s="7"/>
      <c r="C2425" s="7"/>
    </row>
    <row r="2426" spans="1:3" ht="12.45" x14ac:dyDescent="0.3">
      <c r="A2426" s="7"/>
      <c r="B2426" s="7"/>
      <c r="C2426" s="7"/>
    </row>
    <row r="2427" spans="1:3" ht="12.45" x14ac:dyDescent="0.3">
      <c r="A2427" s="7"/>
      <c r="B2427" s="7"/>
      <c r="C2427" s="7"/>
    </row>
    <row r="2428" spans="1:3" ht="12.45" x14ac:dyDescent="0.3">
      <c r="A2428" s="7"/>
      <c r="B2428" s="7"/>
      <c r="C2428" s="7"/>
    </row>
    <row r="2429" spans="1:3" ht="12.45" x14ac:dyDescent="0.3">
      <c r="A2429" s="7"/>
      <c r="B2429" s="7"/>
      <c r="C2429" s="7"/>
    </row>
    <row r="2430" spans="1:3" ht="12.45" x14ac:dyDescent="0.3">
      <c r="A2430" s="7"/>
      <c r="B2430" s="7"/>
      <c r="C2430" s="7"/>
    </row>
    <row r="2431" spans="1:3" ht="12.45" x14ac:dyDescent="0.3">
      <c r="A2431" s="7"/>
      <c r="B2431" s="7"/>
      <c r="C2431" s="7"/>
    </row>
    <row r="2432" spans="1:3" ht="12.45" x14ac:dyDescent="0.3">
      <c r="A2432" s="7"/>
      <c r="B2432" s="7"/>
      <c r="C2432" s="7"/>
    </row>
    <row r="2433" spans="1:3" ht="12.45" x14ac:dyDescent="0.3">
      <c r="A2433" s="7"/>
      <c r="B2433" s="7"/>
      <c r="C2433" s="7"/>
    </row>
    <row r="2434" spans="1:3" ht="12.45" x14ac:dyDescent="0.3">
      <c r="A2434" s="7"/>
      <c r="B2434" s="7"/>
      <c r="C2434" s="7"/>
    </row>
    <row r="2435" spans="1:3" ht="12.45" x14ac:dyDescent="0.3">
      <c r="A2435" s="7"/>
      <c r="B2435" s="7"/>
      <c r="C2435" s="7"/>
    </row>
    <row r="2436" spans="1:3" ht="12.45" x14ac:dyDescent="0.3">
      <c r="A2436" s="7"/>
      <c r="B2436" s="7"/>
      <c r="C2436" s="7"/>
    </row>
    <row r="2437" spans="1:3" ht="12.45" x14ac:dyDescent="0.3">
      <c r="A2437" s="7"/>
      <c r="B2437" s="7"/>
      <c r="C2437" s="7"/>
    </row>
    <row r="2438" spans="1:3" ht="12.45" x14ac:dyDescent="0.3">
      <c r="A2438" s="7"/>
      <c r="B2438" s="7"/>
      <c r="C2438" s="7"/>
    </row>
    <row r="2439" spans="1:3" ht="12.45" x14ac:dyDescent="0.3">
      <c r="A2439" s="7"/>
      <c r="B2439" s="7"/>
      <c r="C2439" s="7"/>
    </row>
    <row r="2440" spans="1:3" ht="12.45" x14ac:dyDescent="0.3">
      <c r="A2440" s="7"/>
      <c r="B2440" s="7"/>
      <c r="C2440" s="7"/>
    </row>
    <row r="2441" spans="1:3" ht="12.45" x14ac:dyDescent="0.3">
      <c r="A2441" s="7"/>
      <c r="B2441" s="7"/>
      <c r="C2441" s="7"/>
    </row>
    <row r="2442" spans="1:3" ht="12.45" x14ac:dyDescent="0.3">
      <c r="A2442" s="7"/>
      <c r="B2442" s="7"/>
      <c r="C2442" s="7"/>
    </row>
    <row r="2443" spans="1:3" ht="12.45" x14ac:dyDescent="0.3">
      <c r="A2443" s="7"/>
      <c r="B2443" s="7"/>
      <c r="C2443" s="7"/>
    </row>
    <row r="2444" spans="1:3" ht="12.45" x14ac:dyDescent="0.3">
      <c r="A2444" s="7"/>
      <c r="B2444" s="7"/>
      <c r="C2444" s="7"/>
    </row>
    <row r="2445" spans="1:3" ht="12.45" x14ac:dyDescent="0.3">
      <c r="A2445" s="7"/>
      <c r="B2445" s="7"/>
      <c r="C2445" s="7"/>
    </row>
    <row r="2446" spans="1:3" ht="12.45" x14ac:dyDescent="0.3">
      <c r="A2446" s="7"/>
      <c r="B2446" s="7"/>
      <c r="C2446" s="7"/>
    </row>
    <row r="2447" spans="1:3" ht="12.45" x14ac:dyDescent="0.3">
      <c r="A2447" s="7"/>
      <c r="B2447" s="7"/>
      <c r="C2447" s="7"/>
    </row>
    <row r="2448" spans="1:3" ht="12.45" x14ac:dyDescent="0.3">
      <c r="A2448" s="7"/>
      <c r="B2448" s="7"/>
      <c r="C2448" s="7"/>
    </row>
    <row r="2449" spans="1:3" ht="12.45" x14ac:dyDescent="0.3">
      <c r="A2449" s="7"/>
      <c r="B2449" s="7"/>
      <c r="C2449" s="7"/>
    </row>
    <row r="2450" spans="1:3" ht="12.45" x14ac:dyDescent="0.3">
      <c r="A2450" s="7"/>
      <c r="B2450" s="7"/>
      <c r="C2450" s="7"/>
    </row>
    <row r="2451" spans="1:3" ht="12.45" x14ac:dyDescent="0.3">
      <c r="A2451" s="7"/>
      <c r="B2451" s="7"/>
      <c r="C2451" s="7"/>
    </row>
    <row r="2452" spans="1:3" ht="12.45" x14ac:dyDescent="0.3">
      <c r="A2452" s="7"/>
      <c r="B2452" s="7"/>
      <c r="C2452" s="7"/>
    </row>
    <row r="2453" spans="1:3" ht="12.45" x14ac:dyDescent="0.3">
      <c r="A2453" s="7"/>
      <c r="B2453" s="7"/>
      <c r="C2453" s="7"/>
    </row>
    <row r="2454" spans="1:3" ht="12.45" x14ac:dyDescent="0.3">
      <c r="A2454" s="7"/>
      <c r="B2454" s="7"/>
      <c r="C2454" s="7"/>
    </row>
    <row r="2455" spans="1:3" ht="12.45" x14ac:dyDescent="0.3">
      <c r="A2455" s="7"/>
      <c r="B2455" s="7"/>
      <c r="C2455" s="7"/>
    </row>
    <row r="2456" spans="1:3" ht="12.45" x14ac:dyDescent="0.3">
      <c r="A2456" s="7"/>
      <c r="B2456" s="7"/>
      <c r="C2456" s="7"/>
    </row>
    <row r="2457" spans="1:3" ht="12.45" x14ac:dyDescent="0.3">
      <c r="A2457" s="7"/>
      <c r="B2457" s="7"/>
      <c r="C2457" s="7"/>
    </row>
    <row r="2458" spans="1:3" ht="12.45" x14ac:dyDescent="0.3">
      <c r="A2458" s="7"/>
      <c r="B2458" s="7"/>
      <c r="C2458" s="7"/>
    </row>
    <row r="2459" spans="1:3" ht="12.45" x14ac:dyDescent="0.3">
      <c r="A2459" s="7"/>
      <c r="B2459" s="7"/>
      <c r="C2459" s="7"/>
    </row>
    <row r="2460" spans="1:3" ht="12.45" x14ac:dyDescent="0.3">
      <c r="A2460" s="7"/>
      <c r="B2460" s="7"/>
      <c r="C2460" s="7"/>
    </row>
    <row r="2461" spans="1:3" ht="12.45" x14ac:dyDescent="0.3">
      <c r="A2461" s="7"/>
      <c r="B2461" s="7"/>
      <c r="C2461" s="7"/>
    </row>
    <row r="2462" spans="1:3" ht="12.45" x14ac:dyDescent="0.3">
      <c r="A2462" s="7"/>
      <c r="B2462" s="7"/>
      <c r="C2462" s="7"/>
    </row>
    <row r="2463" spans="1:3" ht="12.45" x14ac:dyDescent="0.3">
      <c r="A2463" s="7"/>
      <c r="B2463" s="7"/>
      <c r="C2463" s="7"/>
    </row>
    <row r="2464" spans="1:3" ht="12.45" x14ac:dyDescent="0.3">
      <c r="A2464" s="7"/>
      <c r="B2464" s="7"/>
      <c r="C2464" s="7"/>
    </row>
    <row r="2465" spans="1:3" ht="12.45" x14ac:dyDescent="0.3">
      <c r="A2465" s="7"/>
      <c r="B2465" s="7"/>
      <c r="C2465" s="7"/>
    </row>
    <row r="2466" spans="1:3" ht="12.45" x14ac:dyDescent="0.3">
      <c r="A2466" s="7"/>
      <c r="B2466" s="7"/>
      <c r="C2466" s="7"/>
    </row>
    <row r="2467" spans="1:3" ht="12.45" x14ac:dyDescent="0.3">
      <c r="A2467" s="7"/>
      <c r="B2467" s="7"/>
      <c r="C2467" s="7"/>
    </row>
    <row r="2468" spans="1:3" ht="12.45" x14ac:dyDescent="0.3">
      <c r="A2468" s="7"/>
      <c r="B2468" s="7"/>
      <c r="C2468" s="7"/>
    </row>
    <row r="2469" spans="1:3" ht="12.45" x14ac:dyDescent="0.3">
      <c r="A2469" s="7"/>
      <c r="B2469" s="7"/>
      <c r="C2469" s="7"/>
    </row>
    <row r="2470" spans="1:3" ht="12.45" x14ac:dyDescent="0.3">
      <c r="A2470" s="7"/>
      <c r="B2470" s="7"/>
      <c r="C2470" s="7"/>
    </row>
    <row r="2471" spans="1:3" ht="12.45" x14ac:dyDescent="0.3">
      <c r="A2471" s="7"/>
      <c r="B2471" s="7"/>
      <c r="C2471" s="7"/>
    </row>
    <row r="2472" spans="1:3" ht="12.45" x14ac:dyDescent="0.3">
      <c r="A2472" s="7"/>
      <c r="B2472" s="7"/>
      <c r="C2472" s="7"/>
    </row>
    <row r="2473" spans="1:3" ht="12.45" x14ac:dyDescent="0.3">
      <c r="A2473" s="7"/>
      <c r="B2473" s="7"/>
      <c r="C2473" s="7"/>
    </row>
    <row r="2474" spans="1:3" ht="12.45" x14ac:dyDescent="0.3">
      <c r="A2474" s="7"/>
      <c r="B2474" s="7"/>
      <c r="C2474" s="7"/>
    </row>
    <row r="2475" spans="1:3" ht="12.45" x14ac:dyDescent="0.3">
      <c r="A2475" s="7"/>
      <c r="B2475" s="7"/>
      <c r="C2475" s="7"/>
    </row>
    <row r="2476" spans="1:3" ht="12.45" x14ac:dyDescent="0.3">
      <c r="A2476" s="7"/>
      <c r="B2476" s="7"/>
      <c r="C2476" s="7"/>
    </row>
    <row r="2477" spans="1:3" ht="12.45" x14ac:dyDescent="0.3">
      <c r="A2477" s="7"/>
      <c r="B2477" s="7"/>
      <c r="C2477" s="7"/>
    </row>
    <row r="2478" spans="1:3" ht="12.45" x14ac:dyDescent="0.3">
      <c r="A2478" s="7"/>
      <c r="B2478" s="7"/>
      <c r="C2478" s="7"/>
    </row>
    <row r="2479" spans="1:3" ht="12.45" x14ac:dyDescent="0.3">
      <c r="A2479" s="7"/>
      <c r="B2479" s="7"/>
      <c r="C2479" s="7"/>
    </row>
    <row r="2480" spans="1:3" ht="12.45" x14ac:dyDescent="0.3">
      <c r="A2480" s="7"/>
      <c r="B2480" s="7"/>
      <c r="C2480" s="7"/>
    </row>
    <row r="2481" spans="1:3" ht="12.45" x14ac:dyDescent="0.3">
      <c r="A2481" s="7"/>
      <c r="B2481" s="7"/>
      <c r="C2481" s="7"/>
    </row>
    <row r="2482" spans="1:3" ht="12.45" x14ac:dyDescent="0.3">
      <c r="A2482" s="7"/>
      <c r="B2482" s="7"/>
      <c r="C2482" s="7"/>
    </row>
    <row r="2483" spans="1:3" ht="12.45" x14ac:dyDescent="0.3">
      <c r="A2483" s="7"/>
      <c r="B2483" s="7"/>
      <c r="C2483" s="7"/>
    </row>
    <row r="2484" spans="1:3" ht="12.45" x14ac:dyDescent="0.3">
      <c r="A2484" s="7"/>
      <c r="B2484" s="7"/>
      <c r="C2484" s="7"/>
    </row>
    <row r="2485" spans="1:3" ht="12.45" x14ac:dyDescent="0.3">
      <c r="A2485" s="7"/>
      <c r="B2485" s="7"/>
      <c r="C2485" s="7"/>
    </row>
    <row r="2486" spans="1:3" ht="12.45" x14ac:dyDescent="0.3">
      <c r="A2486" s="7"/>
      <c r="B2486" s="7"/>
      <c r="C2486" s="7"/>
    </row>
    <row r="2487" spans="1:3" ht="12.45" x14ac:dyDescent="0.3">
      <c r="A2487" s="7"/>
      <c r="B2487" s="7"/>
      <c r="C2487" s="7"/>
    </row>
    <row r="2488" spans="1:3" ht="12.45" x14ac:dyDescent="0.3">
      <c r="A2488" s="7"/>
      <c r="B2488" s="7"/>
      <c r="C2488" s="7"/>
    </row>
    <row r="2489" spans="1:3" ht="12.45" x14ac:dyDescent="0.3">
      <c r="A2489" s="7"/>
      <c r="B2489" s="7"/>
      <c r="C2489" s="7"/>
    </row>
    <row r="2490" spans="1:3" ht="12.45" x14ac:dyDescent="0.3">
      <c r="A2490" s="7"/>
      <c r="B2490" s="7"/>
      <c r="C2490" s="7"/>
    </row>
    <row r="2491" spans="1:3" ht="12.45" x14ac:dyDescent="0.3">
      <c r="A2491" s="7"/>
      <c r="B2491" s="7"/>
      <c r="C2491" s="7"/>
    </row>
    <row r="2492" spans="1:3" ht="12.45" x14ac:dyDescent="0.3">
      <c r="A2492" s="7"/>
      <c r="B2492" s="7"/>
      <c r="C2492" s="7"/>
    </row>
    <row r="2493" spans="1:3" ht="12.45" x14ac:dyDescent="0.3">
      <c r="A2493" s="7"/>
      <c r="B2493" s="7"/>
      <c r="C2493" s="7"/>
    </row>
    <row r="2494" spans="1:3" ht="12.45" x14ac:dyDescent="0.3">
      <c r="A2494" s="7"/>
      <c r="B2494" s="7"/>
      <c r="C2494" s="7"/>
    </row>
    <row r="2495" spans="1:3" ht="12.45" x14ac:dyDescent="0.3">
      <c r="A2495" s="7"/>
      <c r="B2495" s="7"/>
      <c r="C2495" s="7"/>
    </row>
    <row r="2496" spans="1:3" ht="12.45" x14ac:dyDescent="0.3">
      <c r="A2496" s="7"/>
      <c r="B2496" s="7"/>
      <c r="C2496" s="7"/>
    </row>
    <row r="2497" spans="1:3" ht="12.45" x14ac:dyDescent="0.3">
      <c r="A2497" s="7"/>
      <c r="B2497" s="7"/>
      <c r="C2497" s="7"/>
    </row>
    <row r="2498" spans="1:3" ht="12.45" x14ac:dyDescent="0.3">
      <c r="A2498" s="7"/>
      <c r="B2498" s="7"/>
      <c r="C2498" s="7"/>
    </row>
    <row r="2499" spans="1:3" ht="12.45" x14ac:dyDescent="0.3">
      <c r="A2499" s="7"/>
      <c r="B2499" s="7"/>
      <c r="C2499" s="7"/>
    </row>
    <row r="2500" spans="1:3" ht="12.45" x14ac:dyDescent="0.3">
      <c r="A2500" s="7"/>
      <c r="B2500" s="7"/>
      <c r="C2500" s="7"/>
    </row>
    <row r="2501" spans="1:3" ht="12.45" x14ac:dyDescent="0.3">
      <c r="A2501" s="7"/>
      <c r="B2501" s="7"/>
      <c r="C2501" s="7"/>
    </row>
    <row r="2502" spans="1:3" ht="12.45" x14ac:dyDescent="0.3">
      <c r="A2502" s="7"/>
      <c r="B2502" s="7"/>
      <c r="C2502" s="7"/>
    </row>
    <row r="2503" spans="1:3" ht="12.45" x14ac:dyDescent="0.3">
      <c r="A2503" s="7"/>
      <c r="B2503" s="7"/>
      <c r="C2503" s="7"/>
    </row>
    <row r="2504" spans="1:3" ht="12.45" x14ac:dyDescent="0.3">
      <c r="A2504" s="7"/>
      <c r="B2504" s="7"/>
      <c r="C2504" s="7"/>
    </row>
    <row r="2505" spans="1:3" ht="12.45" x14ac:dyDescent="0.3">
      <c r="A2505" s="7"/>
      <c r="B2505" s="7"/>
      <c r="C2505" s="7"/>
    </row>
    <row r="2506" spans="1:3" ht="12.45" x14ac:dyDescent="0.3">
      <c r="A2506" s="7"/>
      <c r="B2506" s="7"/>
      <c r="C2506" s="7"/>
    </row>
    <row r="2507" spans="1:3" ht="12.45" x14ac:dyDescent="0.3">
      <c r="A2507" s="7"/>
      <c r="B2507" s="7"/>
      <c r="C2507" s="7"/>
    </row>
    <row r="2508" spans="1:3" ht="12.45" x14ac:dyDescent="0.3">
      <c r="A2508" s="7"/>
      <c r="B2508" s="7"/>
      <c r="C2508" s="7"/>
    </row>
    <row r="2509" spans="1:3" ht="12.45" x14ac:dyDescent="0.3">
      <c r="A2509" s="7"/>
      <c r="B2509" s="7"/>
      <c r="C2509" s="7"/>
    </row>
    <row r="2510" spans="1:3" ht="12.45" x14ac:dyDescent="0.3">
      <c r="A2510" s="7"/>
      <c r="B2510" s="7"/>
      <c r="C2510" s="7"/>
    </row>
    <row r="2511" spans="1:3" ht="12.45" x14ac:dyDescent="0.3">
      <c r="A2511" s="7"/>
      <c r="B2511" s="7"/>
      <c r="C2511" s="7"/>
    </row>
    <row r="2512" spans="1:3" ht="12.45" x14ac:dyDescent="0.3">
      <c r="A2512" s="7"/>
      <c r="B2512" s="7"/>
      <c r="C2512" s="7"/>
    </row>
    <row r="2513" spans="1:3" ht="12.45" x14ac:dyDescent="0.3">
      <c r="A2513" s="7"/>
      <c r="B2513" s="7"/>
      <c r="C2513" s="7"/>
    </row>
    <row r="2514" spans="1:3" ht="12.45" x14ac:dyDescent="0.3">
      <c r="A2514" s="7"/>
      <c r="B2514" s="7"/>
      <c r="C2514" s="7"/>
    </row>
    <row r="2515" spans="1:3" ht="12.45" x14ac:dyDescent="0.3">
      <c r="A2515" s="7"/>
      <c r="B2515" s="7"/>
      <c r="C2515" s="7"/>
    </row>
    <row r="2516" spans="1:3" ht="12.45" x14ac:dyDescent="0.3">
      <c r="A2516" s="7"/>
      <c r="B2516" s="7"/>
      <c r="C2516" s="7"/>
    </row>
    <row r="2517" spans="1:3" ht="12.45" x14ac:dyDescent="0.3">
      <c r="A2517" s="7"/>
      <c r="B2517" s="7"/>
      <c r="C2517" s="7"/>
    </row>
    <row r="2518" spans="1:3" ht="12.45" x14ac:dyDescent="0.3">
      <c r="A2518" s="7"/>
      <c r="B2518" s="7"/>
      <c r="C2518" s="7"/>
    </row>
    <row r="2519" spans="1:3" ht="12.45" x14ac:dyDescent="0.3">
      <c r="A2519" s="7"/>
      <c r="B2519" s="7"/>
      <c r="C2519" s="7"/>
    </row>
    <row r="2520" spans="1:3" ht="12.45" x14ac:dyDescent="0.3">
      <c r="A2520" s="7"/>
      <c r="B2520" s="7"/>
      <c r="C2520" s="7"/>
    </row>
    <row r="2521" spans="1:3" ht="12.45" x14ac:dyDescent="0.3">
      <c r="A2521" s="7"/>
      <c r="B2521" s="7"/>
      <c r="C2521" s="7"/>
    </row>
    <row r="2522" spans="1:3" ht="12.45" x14ac:dyDescent="0.3">
      <c r="A2522" s="7"/>
      <c r="B2522" s="7"/>
      <c r="C2522" s="7"/>
    </row>
    <row r="2523" spans="1:3" ht="12.45" x14ac:dyDescent="0.3">
      <c r="A2523" s="7"/>
      <c r="B2523" s="7"/>
      <c r="C2523" s="7"/>
    </row>
    <row r="2524" spans="1:3" ht="12.45" x14ac:dyDescent="0.3">
      <c r="A2524" s="7"/>
      <c r="B2524" s="7"/>
      <c r="C2524" s="7"/>
    </row>
    <row r="2525" spans="1:3" ht="12.45" x14ac:dyDescent="0.3">
      <c r="A2525" s="7"/>
      <c r="B2525" s="7"/>
      <c r="C2525" s="7"/>
    </row>
    <row r="2526" spans="1:3" ht="12.45" x14ac:dyDescent="0.3">
      <c r="A2526" s="7"/>
      <c r="B2526" s="7"/>
      <c r="C2526" s="7"/>
    </row>
    <row r="2527" spans="1:3" ht="12.45" x14ac:dyDescent="0.3">
      <c r="A2527" s="7"/>
      <c r="B2527" s="7"/>
      <c r="C2527" s="7"/>
    </row>
    <row r="2528" spans="1:3" ht="12.45" x14ac:dyDescent="0.3">
      <c r="A2528" s="7"/>
      <c r="B2528" s="7"/>
      <c r="C2528" s="7"/>
    </row>
    <row r="2529" spans="1:3" ht="12.45" x14ac:dyDescent="0.3">
      <c r="A2529" s="7"/>
      <c r="B2529" s="7"/>
      <c r="C2529" s="7"/>
    </row>
    <row r="2530" spans="1:3" ht="12.45" x14ac:dyDescent="0.3">
      <c r="A2530" s="7"/>
      <c r="B2530" s="7"/>
      <c r="C2530" s="7"/>
    </row>
    <row r="2531" spans="1:3" ht="12.45" x14ac:dyDescent="0.3">
      <c r="A2531" s="7"/>
      <c r="B2531" s="7"/>
      <c r="C2531" s="7"/>
    </row>
    <row r="2532" spans="1:3" ht="12.45" x14ac:dyDescent="0.3">
      <c r="A2532" s="7"/>
      <c r="B2532" s="7"/>
      <c r="C2532" s="7"/>
    </row>
    <row r="2533" spans="1:3" ht="12.45" x14ac:dyDescent="0.3">
      <c r="A2533" s="7"/>
      <c r="B2533" s="7"/>
      <c r="C2533" s="7"/>
    </row>
    <row r="2534" spans="1:3" ht="12.45" x14ac:dyDescent="0.3">
      <c r="A2534" s="7"/>
      <c r="B2534" s="7"/>
      <c r="C2534" s="7"/>
    </row>
    <row r="2535" spans="1:3" ht="12.45" x14ac:dyDescent="0.3">
      <c r="A2535" s="7"/>
      <c r="B2535" s="7"/>
      <c r="C2535" s="7"/>
    </row>
    <row r="2536" spans="1:3" ht="12.45" x14ac:dyDescent="0.3">
      <c r="A2536" s="7"/>
      <c r="B2536" s="7"/>
      <c r="C2536" s="7"/>
    </row>
    <row r="2537" spans="1:3" ht="12.45" x14ac:dyDescent="0.3">
      <c r="A2537" s="7"/>
      <c r="B2537" s="7"/>
      <c r="C2537" s="7"/>
    </row>
    <row r="2538" spans="1:3" ht="12.45" x14ac:dyDescent="0.3">
      <c r="A2538" s="7"/>
      <c r="B2538" s="7"/>
      <c r="C2538" s="7"/>
    </row>
    <row r="2539" spans="1:3" ht="12.45" x14ac:dyDescent="0.3">
      <c r="A2539" s="7"/>
      <c r="B2539" s="7"/>
      <c r="C2539" s="7"/>
    </row>
    <row r="2540" spans="1:3" ht="12.45" x14ac:dyDescent="0.3">
      <c r="A2540" s="7"/>
      <c r="B2540" s="7"/>
      <c r="C2540" s="7"/>
    </row>
    <row r="2541" spans="1:3" ht="12.45" x14ac:dyDescent="0.3">
      <c r="A2541" s="7"/>
      <c r="B2541" s="7"/>
      <c r="C2541" s="7"/>
    </row>
    <row r="2542" spans="1:3" ht="12.45" x14ac:dyDescent="0.3">
      <c r="A2542" s="7"/>
      <c r="B2542" s="7"/>
      <c r="C2542" s="7"/>
    </row>
    <row r="2543" spans="1:3" ht="12.45" x14ac:dyDescent="0.3">
      <c r="A2543" s="7"/>
      <c r="B2543" s="7"/>
      <c r="C2543" s="7"/>
    </row>
    <row r="2544" spans="1:3" ht="12.45" x14ac:dyDescent="0.3">
      <c r="A2544" s="7"/>
      <c r="B2544" s="7"/>
      <c r="C2544" s="7"/>
    </row>
    <row r="2545" spans="1:3" ht="12.45" x14ac:dyDescent="0.3">
      <c r="A2545" s="7"/>
      <c r="B2545" s="7"/>
      <c r="C2545" s="7"/>
    </row>
    <row r="2546" spans="1:3" ht="12.45" x14ac:dyDescent="0.3">
      <c r="A2546" s="7"/>
      <c r="B2546" s="7"/>
      <c r="C2546" s="7"/>
    </row>
    <row r="2547" spans="1:3" ht="12.45" x14ac:dyDescent="0.3">
      <c r="A2547" s="7"/>
      <c r="B2547" s="7"/>
      <c r="C2547" s="7"/>
    </row>
    <row r="2548" spans="1:3" ht="12.45" x14ac:dyDescent="0.3">
      <c r="A2548" s="7"/>
      <c r="B2548" s="7"/>
      <c r="C2548" s="7"/>
    </row>
    <row r="2549" spans="1:3" ht="12.45" x14ac:dyDescent="0.3">
      <c r="A2549" s="7"/>
      <c r="B2549" s="7"/>
      <c r="C2549" s="7"/>
    </row>
    <row r="2550" spans="1:3" ht="12.45" x14ac:dyDescent="0.3">
      <c r="A2550" s="7"/>
      <c r="B2550" s="7"/>
      <c r="C2550" s="7"/>
    </row>
    <row r="2551" spans="1:3" ht="12.45" x14ac:dyDescent="0.3">
      <c r="A2551" s="7"/>
      <c r="B2551" s="7"/>
      <c r="C2551" s="7"/>
    </row>
    <row r="2552" spans="1:3" ht="12.45" x14ac:dyDescent="0.3">
      <c r="A2552" s="7"/>
      <c r="B2552" s="7"/>
      <c r="C2552" s="7"/>
    </row>
    <row r="2553" spans="1:3" ht="12.45" x14ac:dyDescent="0.3">
      <c r="A2553" s="7"/>
      <c r="B2553" s="7"/>
      <c r="C2553" s="7"/>
    </row>
    <row r="2554" spans="1:3" ht="12.45" x14ac:dyDescent="0.3">
      <c r="A2554" s="7"/>
      <c r="B2554" s="7"/>
      <c r="C2554" s="7"/>
    </row>
    <row r="2555" spans="1:3" ht="12.45" x14ac:dyDescent="0.3">
      <c r="A2555" s="7"/>
      <c r="B2555" s="7"/>
      <c r="C2555" s="7"/>
    </row>
    <row r="2556" spans="1:3" ht="12.45" x14ac:dyDescent="0.3">
      <c r="A2556" s="7"/>
      <c r="B2556" s="7"/>
      <c r="C2556" s="7"/>
    </row>
    <row r="2557" spans="1:3" ht="12.45" x14ac:dyDescent="0.3">
      <c r="A2557" s="7"/>
      <c r="B2557" s="7"/>
      <c r="C2557" s="7"/>
    </row>
    <row r="2558" spans="1:3" ht="12.45" x14ac:dyDescent="0.3">
      <c r="A2558" s="7"/>
      <c r="B2558" s="7"/>
      <c r="C2558" s="7"/>
    </row>
    <row r="2559" spans="1:3" ht="12.45" x14ac:dyDescent="0.3">
      <c r="A2559" s="7"/>
      <c r="B2559" s="7"/>
      <c r="C2559" s="7"/>
    </row>
    <row r="2560" spans="1:3" ht="12.45" x14ac:dyDescent="0.3">
      <c r="A2560" s="7"/>
      <c r="B2560" s="7"/>
      <c r="C2560" s="7"/>
    </row>
    <row r="2561" spans="1:3" ht="12.45" x14ac:dyDescent="0.3">
      <c r="A2561" s="7"/>
      <c r="B2561" s="7"/>
      <c r="C2561" s="7"/>
    </row>
    <row r="2562" spans="1:3" ht="12.45" x14ac:dyDescent="0.3">
      <c r="A2562" s="7"/>
      <c r="B2562" s="7"/>
      <c r="C2562" s="7"/>
    </row>
    <row r="2563" spans="1:3" ht="12.45" x14ac:dyDescent="0.3">
      <c r="A2563" s="7"/>
      <c r="B2563" s="7"/>
      <c r="C2563" s="7"/>
    </row>
    <row r="2564" spans="1:3" ht="12.45" x14ac:dyDescent="0.3">
      <c r="A2564" s="7"/>
      <c r="B2564" s="7"/>
      <c r="C2564" s="7"/>
    </row>
    <row r="2565" spans="1:3" ht="12.45" x14ac:dyDescent="0.3">
      <c r="A2565" s="7"/>
      <c r="B2565" s="7"/>
      <c r="C2565" s="7"/>
    </row>
    <row r="2566" spans="1:3" ht="12.45" x14ac:dyDescent="0.3">
      <c r="A2566" s="7"/>
      <c r="B2566" s="7"/>
      <c r="C2566" s="7"/>
    </row>
    <row r="2567" spans="1:3" ht="12.45" x14ac:dyDescent="0.3">
      <c r="A2567" s="7"/>
      <c r="B2567" s="7"/>
      <c r="C2567" s="7"/>
    </row>
    <row r="2568" spans="1:3" ht="12.45" x14ac:dyDescent="0.3">
      <c r="A2568" s="7"/>
      <c r="B2568" s="7"/>
      <c r="C2568" s="7"/>
    </row>
    <row r="2569" spans="1:3" ht="12.45" x14ac:dyDescent="0.3">
      <c r="A2569" s="7"/>
      <c r="B2569" s="7"/>
      <c r="C2569" s="7"/>
    </row>
    <row r="2570" spans="1:3" ht="12.45" x14ac:dyDescent="0.3">
      <c r="A2570" s="7"/>
      <c r="B2570" s="7"/>
      <c r="C2570" s="7"/>
    </row>
    <row r="2571" spans="1:3" ht="12.45" x14ac:dyDescent="0.3">
      <c r="A2571" s="7"/>
      <c r="B2571" s="7"/>
      <c r="C2571" s="7"/>
    </row>
    <row r="2572" spans="1:3" ht="12.45" x14ac:dyDescent="0.3">
      <c r="A2572" s="7"/>
      <c r="B2572" s="7"/>
      <c r="C2572" s="7"/>
    </row>
    <row r="2573" spans="1:3" ht="12.45" x14ac:dyDescent="0.3">
      <c r="A2573" s="7"/>
      <c r="B2573" s="7"/>
      <c r="C2573" s="7"/>
    </row>
    <row r="2574" spans="1:3" ht="12.45" x14ac:dyDescent="0.3">
      <c r="A2574" s="7"/>
      <c r="B2574" s="7"/>
      <c r="C2574" s="7"/>
    </row>
    <row r="2575" spans="1:3" ht="12.45" x14ac:dyDescent="0.3">
      <c r="A2575" s="7"/>
      <c r="B2575" s="7"/>
      <c r="C2575" s="7"/>
    </row>
    <row r="2576" spans="1:3" ht="12.45" x14ac:dyDescent="0.3">
      <c r="A2576" s="7"/>
      <c r="B2576" s="7"/>
      <c r="C2576" s="7"/>
    </row>
    <row r="2577" spans="1:3" ht="12.45" x14ac:dyDescent="0.3">
      <c r="A2577" s="7"/>
      <c r="B2577" s="7"/>
      <c r="C2577" s="7"/>
    </row>
    <row r="2578" spans="1:3" ht="12.45" x14ac:dyDescent="0.3">
      <c r="A2578" s="7"/>
      <c r="B2578" s="7"/>
      <c r="C2578" s="7"/>
    </row>
    <row r="2579" spans="1:3" ht="12.45" x14ac:dyDescent="0.3">
      <c r="A2579" s="7"/>
      <c r="B2579" s="7"/>
      <c r="C2579" s="7"/>
    </row>
    <row r="2580" spans="1:3" ht="12.45" x14ac:dyDescent="0.3">
      <c r="A2580" s="7"/>
      <c r="B2580" s="7"/>
      <c r="C2580" s="7"/>
    </row>
    <row r="2581" spans="1:3" ht="12.45" x14ac:dyDescent="0.3">
      <c r="A2581" s="7"/>
      <c r="B2581" s="7"/>
      <c r="C2581" s="7"/>
    </row>
    <row r="2582" spans="1:3" ht="12.45" x14ac:dyDescent="0.3">
      <c r="A2582" s="7"/>
      <c r="B2582" s="7"/>
      <c r="C2582" s="7"/>
    </row>
    <row r="2583" spans="1:3" ht="12.45" x14ac:dyDescent="0.3">
      <c r="A2583" s="7"/>
      <c r="B2583" s="7"/>
      <c r="C2583" s="7"/>
    </row>
    <row r="2584" spans="1:3" ht="12.45" x14ac:dyDescent="0.3">
      <c r="A2584" s="7"/>
      <c r="B2584" s="7"/>
      <c r="C2584" s="7"/>
    </row>
    <row r="2585" spans="1:3" ht="12.45" x14ac:dyDescent="0.3">
      <c r="A2585" s="7"/>
      <c r="B2585" s="7"/>
      <c r="C2585" s="7"/>
    </row>
    <row r="2586" spans="1:3" ht="12.45" x14ac:dyDescent="0.3">
      <c r="A2586" s="7"/>
      <c r="B2586" s="7"/>
      <c r="C2586" s="7"/>
    </row>
    <row r="2587" spans="1:3" ht="12.45" x14ac:dyDescent="0.3">
      <c r="A2587" s="7"/>
      <c r="B2587" s="7"/>
      <c r="C2587" s="7"/>
    </row>
    <row r="2588" spans="1:3" ht="12.45" x14ac:dyDescent="0.3">
      <c r="A2588" s="7"/>
      <c r="B2588" s="7"/>
      <c r="C2588" s="7"/>
    </row>
    <row r="2589" spans="1:3" ht="12.45" x14ac:dyDescent="0.3">
      <c r="A2589" s="7"/>
      <c r="B2589" s="7"/>
      <c r="C2589" s="7"/>
    </row>
    <row r="2590" spans="1:3" ht="12.45" x14ac:dyDescent="0.3">
      <c r="A2590" s="7"/>
      <c r="B2590" s="7"/>
      <c r="C2590" s="7"/>
    </row>
    <row r="2591" spans="1:3" ht="12.45" x14ac:dyDescent="0.3">
      <c r="A2591" s="7"/>
      <c r="B2591" s="7"/>
      <c r="C2591" s="7"/>
    </row>
    <row r="2592" spans="1:3" ht="12.45" x14ac:dyDescent="0.3">
      <c r="A2592" s="7"/>
      <c r="B2592" s="7"/>
      <c r="C2592" s="7"/>
    </row>
    <row r="2593" spans="1:3" ht="12.45" x14ac:dyDescent="0.3">
      <c r="A2593" s="7"/>
      <c r="B2593" s="7"/>
      <c r="C2593" s="7"/>
    </row>
    <row r="2594" spans="1:3" ht="12.45" x14ac:dyDescent="0.3">
      <c r="A2594" s="7"/>
      <c r="B2594" s="7"/>
      <c r="C2594" s="7"/>
    </row>
    <row r="2595" spans="1:3" ht="12.45" x14ac:dyDescent="0.3">
      <c r="A2595" s="7"/>
      <c r="B2595" s="7"/>
      <c r="C2595" s="7"/>
    </row>
    <row r="2596" spans="1:3" ht="12.45" x14ac:dyDescent="0.3">
      <c r="A2596" s="7"/>
      <c r="B2596" s="7"/>
      <c r="C2596" s="7"/>
    </row>
    <row r="2597" spans="1:3" ht="12.45" x14ac:dyDescent="0.3">
      <c r="A2597" s="7"/>
      <c r="B2597" s="7"/>
      <c r="C2597" s="7"/>
    </row>
    <row r="2598" spans="1:3" ht="12.45" x14ac:dyDescent="0.3">
      <c r="A2598" s="7"/>
      <c r="B2598" s="7"/>
      <c r="C2598" s="7"/>
    </row>
    <row r="2599" spans="1:3" ht="12.45" x14ac:dyDescent="0.3">
      <c r="A2599" s="7"/>
      <c r="B2599" s="7"/>
      <c r="C2599" s="7"/>
    </row>
    <row r="2600" spans="1:3" ht="12.45" x14ac:dyDescent="0.3">
      <c r="A2600" s="7"/>
      <c r="B2600" s="7"/>
      <c r="C2600" s="7"/>
    </row>
    <row r="2601" spans="1:3" ht="12.45" x14ac:dyDescent="0.3">
      <c r="A2601" s="7"/>
      <c r="B2601" s="7"/>
      <c r="C2601" s="7"/>
    </row>
    <row r="2602" spans="1:3" ht="12.45" x14ac:dyDescent="0.3">
      <c r="A2602" s="7"/>
      <c r="B2602" s="7"/>
      <c r="C2602" s="7"/>
    </row>
    <row r="2603" spans="1:3" ht="12.45" x14ac:dyDescent="0.3">
      <c r="A2603" s="7"/>
      <c r="B2603" s="7"/>
      <c r="C2603" s="7"/>
    </row>
    <row r="2604" spans="1:3" ht="12.45" x14ac:dyDescent="0.3">
      <c r="A2604" s="7"/>
      <c r="B2604" s="7"/>
      <c r="C2604" s="7"/>
    </row>
    <row r="2605" spans="1:3" ht="12.45" x14ac:dyDescent="0.3">
      <c r="A2605" s="7"/>
      <c r="B2605" s="7"/>
      <c r="C2605" s="7"/>
    </row>
    <row r="2606" spans="1:3" ht="12.45" x14ac:dyDescent="0.3">
      <c r="A2606" s="7"/>
      <c r="B2606" s="7"/>
      <c r="C2606" s="7"/>
    </row>
    <row r="2607" spans="1:3" ht="12.45" x14ac:dyDescent="0.3">
      <c r="A2607" s="7"/>
      <c r="B2607" s="7"/>
      <c r="C2607" s="7"/>
    </row>
    <row r="2608" spans="1:3" ht="12.45" x14ac:dyDescent="0.3">
      <c r="A2608" s="7"/>
      <c r="B2608" s="7"/>
      <c r="C2608" s="7"/>
    </row>
    <row r="2609" spans="1:3" ht="12.45" x14ac:dyDescent="0.3">
      <c r="A2609" s="7"/>
      <c r="B2609" s="7"/>
      <c r="C2609" s="7"/>
    </row>
    <row r="2610" spans="1:3" ht="12.45" x14ac:dyDescent="0.3">
      <c r="A2610" s="7"/>
      <c r="B2610" s="7"/>
      <c r="C2610" s="7"/>
    </row>
    <row r="2611" spans="1:3" ht="12.45" x14ac:dyDescent="0.3">
      <c r="A2611" s="7"/>
      <c r="B2611" s="7"/>
      <c r="C2611" s="7"/>
    </row>
    <row r="2612" spans="1:3" ht="12.45" x14ac:dyDescent="0.3">
      <c r="A2612" s="7"/>
      <c r="B2612" s="7"/>
      <c r="C2612" s="7"/>
    </row>
    <row r="2613" spans="1:3" ht="12.45" x14ac:dyDescent="0.3">
      <c r="A2613" s="7"/>
      <c r="B2613" s="7"/>
      <c r="C2613" s="7"/>
    </row>
    <row r="2614" spans="1:3" ht="12.45" x14ac:dyDescent="0.3">
      <c r="A2614" s="7"/>
      <c r="B2614" s="7"/>
      <c r="C2614" s="7"/>
    </row>
    <row r="2615" spans="1:3" ht="12.45" x14ac:dyDescent="0.3">
      <c r="A2615" s="7"/>
      <c r="B2615" s="7"/>
      <c r="C2615" s="7"/>
    </row>
    <row r="2616" spans="1:3" ht="12.45" x14ac:dyDescent="0.3">
      <c r="A2616" s="7"/>
      <c r="B2616" s="7"/>
      <c r="C2616" s="7"/>
    </row>
    <row r="2617" spans="1:3" ht="12.45" x14ac:dyDescent="0.3">
      <c r="A2617" s="7"/>
      <c r="B2617" s="7"/>
      <c r="C2617" s="7"/>
    </row>
    <row r="2618" spans="1:3" ht="12.45" x14ac:dyDescent="0.3">
      <c r="A2618" s="7"/>
      <c r="B2618" s="7"/>
      <c r="C2618" s="7"/>
    </row>
    <row r="2619" spans="1:3" ht="12.45" x14ac:dyDescent="0.3">
      <c r="A2619" s="7"/>
      <c r="B2619" s="7"/>
      <c r="C2619" s="7"/>
    </row>
    <row r="2620" spans="1:3" ht="12.45" x14ac:dyDescent="0.3">
      <c r="A2620" s="7"/>
      <c r="B2620" s="7"/>
      <c r="C2620" s="7"/>
    </row>
    <row r="2621" spans="1:3" ht="12.45" x14ac:dyDescent="0.3">
      <c r="A2621" s="7"/>
      <c r="B2621" s="7"/>
      <c r="C2621" s="7"/>
    </row>
    <row r="2622" spans="1:3" ht="12.45" x14ac:dyDescent="0.3">
      <c r="A2622" s="7"/>
      <c r="B2622" s="7"/>
      <c r="C2622" s="7"/>
    </row>
    <row r="2623" spans="1:3" ht="12.45" x14ac:dyDescent="0.3">
      <c r="A2623" s="7"/>
      <c r="B2623" s="7"/>
      <c r="C2623" s="7"/>
    </row>
    <row r="2624" spans="1:3" ht="12.45" x14ac:dyDescent="0.3">
      <c r="A2624" s="7"/>
      <c r="B2624" s="7"/>
      <c r="C2624" s="7"/>
    </row>
    <row r="2625" spans="1:3" ht="12.45" x14ac:dyDescent="0.3">
      <c r="A2625" s="7"/>
      <c r="B2625" s="7"/>
      <c r="C2625" s="7"/>
    </row>
    <row r="2626" spans="1:3" ht="12.45" x14ac:dyDescent="0.3">
      <c r="A2626" s="7"/>
      <c r="B2626" s="7"/>
      <c r="C2626" s="7"/>
    </row>
    <row r="2627" spans="1:3" ht="12.45" x14ac:dyDescent="0.3">
      <c r="A2627" s="7"/>
      <c r="B2627" s="7"/>
      <c r="C2627" s="7"/>
    </row>
    <row r="2628" spans="1:3" ht="12.45" x14ac:dyDescent="0.3">
      <c r="A2628" s="7"/>
      <c r="B2628" s="7"/>
      <c r="C2628" s="7"/>
    </row>
    <row r="2629" spans="1:3" ht="12.45" x14ac:dyDescent="0.3">
      <c r="A2629" s="7"/>
      <c r="B2629" s="7"/>
      <c r="C2629" s="7"/>
    </row>
    <row r="2630" spans="1:3" ht="12.45" x14ac:dyDescent="0.3">
      <c r="A2630" s="7"/>
      <c r="B2630" s="7"/>
      <c r="C2630" s="7"/>
    </row>
    <row r="2631" spans="1:3" ht="12.45" x14ac:dyDescent="0.3">
      <c r="A2631" s="7"/>
      <c r="B2631" s="7"/>
      <c r="C2631" s="7"/>
    </row>
    <row r="2632" spans="1:3" ht="12.45" x14ac:dyDescent="0.3">
      <c r="A2632" s="7"/>
      <c r="B2632" s="7"/>
      <c r="C2632" s="7"/>
    </row>
    <row r="2633" spans="1:3" ht="12.45" x14ac:dyDescent="0.3">
      <c r="A2633" s="7"/>
      <c r="B2633" s="7"/>
      <c r="C2633" s="7"/>
    </row>
    <row r="2634" spans="1:3" ht="12.45" x14ac:dyDescent="0.3">
      <c r="A2634" s="7"/>
      <c r="B2634" s="7"/>
      <c r="C2634" s="7"/>
    </row>
    <row r="2635" spans="1:3" ht="12.45" x14ac:dyDescent="0.3">
      <c r="A2635" s="7"/>
      <c r="B2635" s="7"/>
      <c r="C2635" s="7"/>
    </row>
    <row r="2636" spans="1:3" ht="12.45" x14ac:dyDescent="0.3">
      <c r="A2636" s="7"/>
      <c r="B2636" s="7"/>
      <c r="C2636" s="7"/>
    </row>
    <row r="2637" spans="1:3" ht="12.45" x14ac:dyDescent="0.3">
      <c r="A2637" s="7"/>
      <c r="B2637" s="7"/>
      <c r="C2637" s="7"/>
    </row>
    <row r="2638" spans="1:3" ht="12.45" x14ac:dyDescent="0.3">
      <c r="A2638" s="7"/>
      <c r="B2638" s="7"/>
      <c r="C2638" s="7"/>
    </row>
    <row r="2639" spans="1:3" ht="12.45" x14ac:dyDescent="0.3">
      <c r="A2639" s="7"/>
      <c r="B2639" s="7"/>
      <c r="C2639" s="7"/>
    </row>
    <row r="2640" spans="1:3" ht="12.45" x14ac:dyDescent="0.3">
      <c r="A2640" s="7"/>
      <c r="B2640" s="7"/>
      <c r="C2640" s="7"/>
    </row>
    <row r="2641" spans="1:3" ht="12.45" x14ac:dyDescent="0.3">
      <c r="A2641" s="7"/>
      <c r="B2641" s="7"/>
      <c r="C2641" s="7"/>
    </row>
    <row r="2642" spans="1:3" ht="12.45" x14ac:dyDescent="0.3">
      <c r="A2642" s="7"/>
      <c r="B2642" s="7"/>
      <c r="C2642" s="7"/>
    </row>
    <row r="2643" spans="1:3" ht="12.45" x14ac:dyDescent="0.3">
      <c r="A2643" s="7"/>
      <c r="B2643" s="7"/>
      <c r="C2643" s="7"/>
    </row>
    <row r="2644" spans="1:3" ht="12.45" x14ac:dyDescent="0.3">
      <c r="A2644" s="7"/>
      <c r="B2644" s="7"/>
      <c r="C2644" s="7"/>
    </row>
    <row r="2645" spans="1:3" ht="12.45" x14ac:dyDescent="0.3">
      <c r="A2645" s="7"/>
      <c r="B2645" s="7"/>
      <c r="C2645" s="7"/>
    </row>
    <row r="2646" spans="1:3" ht="12.45" x14ac:dyDescent="0.3">
      <c r="A2646" s="7"/>
      <c r="B2646" s="7"/>
      <c r="C2646" s="7"/>
    </row>
    <row r="2647" spans="1:3" ht="12.45" x14ac:dyDescent="0.3">
      <c r="A2647" s="7"/>
      <c r="B2647" s="7"/>
      <c r="C2647" s="7"/>
    </row>
    <row r="2648" spans="1:3" ht="12.45" x14ac:dyDescent="0.3">
      <c r="A2648" s="7"/>
      <c r="B2648" s="7"/>
      <c r="C2648" s="7"/>
    </row>
    <row r="2649" spans="1:3" ht="12.45" x14ac:dyDescent="0.3">
      <c r="A2649" s="7"/>
      <c r="B2649" s="7"/>
      <c r="C2649" s="7"/>
    </row>
    <row r="2650" spans="1:3" ht="12.45" x14ac:dyDescent="0.3">
      <c r="A2650" s="7"/>
      <c r="B2650" s="7"/>
      <c r="C2650" s="7"/>
    </row>
    <row r="2651" spans="1:3" ht="12.45" x14ac:dyDescent="0.3">
      <c r="A2651" s="7"/>
      <c r="B2651" s="7"/>
      <c r="C2651" s="7"/>
    </row>
    <row r="2652" spans="1:3" ht="12.45" x14ac:dyDescent="0.3">
      <c r="A2652" s="7"/>
      <c r="B2652" s="7"/>
      <c r="C2652" s="7"/>
    </row>
    <row r="2653" spans="1:3" ht="12.45" x14ac:dyDescent="0.3">
      <c r="A2653" s="7"/>
      <c r="B2653" s="7"/>
      <c r="C2653" s="7"/>
    </row>
    <row r="2654" spans="1:3" ht="12.45" x14ac:dyDescent="0.3">
      <c r="A2654" s="7"/>
      <c r="B2654" s="7"/>
      <c r="C2654" s="7"/>
    </row>
    <row r="2655" spans="1:3" ht="12.45" x14ac:dyDescent="0.3">
      <c r="A2655" s="7"/>
      <c r="B2655" s="7"/>
      <c r="C2655" s="7"/>
    </row>
    <row r="2656" spans="1:3" ht="12.45" x14ac:dyDescent="0.3">
      <c r="A2656" s="7"/>
      <c r="B2656" s="7"/>
      <c r="C2656" s="7"/>
    </row>
    <row r="2657" spans="1:3" ht="12.45" x14ac:dyDescent="0.3">
      <c r="A2657" s="7"/>
      <c r="B2657" s="7"/>
      <c r="C2657" s="7"/>
    </row>
    <row r="2658" spans="1:3" ht="12.45" x14ac:dyDescent="0.3">
      <c r="A2658" s="7"/>
      <c r="B2658" s="7"/>
      <c r="C2658" s="7"/>
    </row>
    <row r="2659" spans="1:3" ht="12.45" x14ac:dyDescent="0.3">
      <c r="A2659" s="7"/>
      <c r="B2659" s="7"/>
      <c r="C2659" s="7"/>
    </row>
    <row r="2660" spans="1:3" ht="12.45" x14ac:dyDescent="0.3">
      <c r="A2660" s="7"/>
      <c r="B2660" s="7"/>
      <c r="C2660" s="7"/>
    </row>
    <row r="2661" spans="1:3" ht="12.45" x14ac:dyDescent="0.3">
      <c r="A2661" s="7"/>
      <c r="B2661" s="7"/>
      <c r="C2661" s="7"/>
    </row>
    <row r="2662" spans="1:3" ht="12.45" x14ac:dyDescent="0.3">
      <c r="A2662" s="7"/>
      <c r="B2662" s="7"/>
      <c r="C2662" s="7"/>
    </row>
    <row r="2663" spans="1:3" ht="12.45" x14ac:dyDescent="0.3">
      <c r="A2663" s="7"/>
      <c r="B2663" s="7"/>
      <c r="C2663" s="7"/>
    </row>
    <row r="2664" spans="1:3" ht="12.45" x14ac:dyDescent="0.3">
      <c r="A2664" s="7"/>
      <c r="B2664" s="7"/>
      <c r="C2664" s="7"/>
    </row>
    <row r="2665" spans="1:3" ht="12.45" x14ac:dyDescent="0.3">
      <c r="A2665" s="7"/>
      <c r="B2665" s="7"/>
      <c r="C2665" s="7"/>
    </row>
    <row r="2666" spans="1:3" ht="12.45" x14ac:dyDescent="0.3">
      <c r="A2666" s="7"/>
      <c r="B2666" s="7"/>
      <c r="C2666" s="7"/>
    </row>
    <row r="2667" spans="1:3" ht="12.45" x14ac:dyDescent="0.3">
      <c r="A2667" s="7"/>
      <c r="B2667" s="7"/>
      <c r="C2667" s="7"/>
    </row>
    <row r="2668" spans="1:3" ht="12.45" x14ac:dyDescent="0.3">
      <c r="A2668" s="7"/>
      <c r="B2668" s="7"/>
      <c r="C2668" s="7"/>
    </row>
    <row r="2669" spans="1:3" ht="12.45" x14ac:dyDescent="0.3">
      <c r="A2669" s="7"/>
      <c r="B2669" s="7"/>
      <c r="C2669" s="7"/>
    </row>
    <row r="2670" spans="1:3" ht="12.45" x14ac:dyDescent="0.3">
      <c r="A2670" s="7"/>
      <c r="B2670" s="7"/>
      <c r="C2670" s="7"/>
    </row>
    <row r="2671" spans="1:3" ht="12.45" x14ac:dyDescent="0.3">
      <c r="A2671" s="7"/>
      <c r="B2671" s="7"/>
      <c r="C2671" s="7"/>
    </row>
    <row r="2672" spans="1:3" ht="12.45" x14ac:dyDescent="0.3">
      <c r="A2672" s="7"/>
      <c r="B2672" s="7"/>
      <c r="C2672" s="7"/>
    </row>
    <row r="2673" spans="1:3" ht="12.45" x14ac:dyDescent="0.3">
      <c r="A2673" s="7"/>
      <c r="B2673" s="7"/>
      <c r="C2673" s="7"/>
    </row>
    <row r="2674" spans="1:3" ht="12.45" x14ac:dyDescent="0.3">
      <c r="A2674" s="7"/>
      <c r="B2674" s="7"/>
      <c r="C2674" s="7"/>
    </row>
    <row r="2675" spans="1:3" ht="12.45" x14ac:dyDescent="0.3">
      <c r="A2675" s="7"/>
      <c r="B2675" s="7"/>
      <c r="C2675" s="7"/>
    </row>
    <row r="2676" spans="1:3" ht="12.45" x14ac:dyDescent="0.3">
      <c r="A2676" s="7"/>
      <c r="B2676" s="7"/>
      <c r="C2676" s="7"/>
    </row>
    <row r="2677" spans="1:3" ht="12.45" x14ac:dyDescent="0.3">
      <c r="A2677" s="7"/>
      <c r="B2677" s="7"/>
      <c r="C2677" s="7"/>
    </row>
    <row r="2678" spans="1:3" ht="12.45" x14ac:dyDescent="0.3">
      <c r="A2678" s="7"/>
      <c r="B2678" s="7"/>
      <c r="C2678" s="7"/>
    </row>
    <row r="2679" spans="1:3" ht="12.45" x14ac:dyDescent="0.3">
      <c r="A2679" s="7"/>
      <c r="B2679" s="7"/>
      <c r="C2679" s="7"/>
    </row>
    <row r="2680" spans="1:3" ht="12.45" x14ac:dyDescent="0.3">
      <c r="A2680" s="7"/>
      <c r="B2680" s="7"/>
      <c r="C2680" s="7"/>
    </row>
    <row r="2681" spans="1:3" ht="12.45" x14ac:dyDescent="0.3">
      <c r="A2681" s="7"/>
      <c r="B2681" s="7"/>
      <c r="C2681" s="7"/>
    </row>
    <row r="2682" spans="1:3" ht="12.45" x14ac:dyDescent="0.3">
      <c r="A2682" s="7"/>
      <c r="B2682" s="7"/>
      <c r="C2682" s="7"/>
    </row>
    <row r="2683" spans="1:3" ht="12.45" x14ac:dyDescent="0.3">
      <c r="A2683" s="7"/>
      <c r="B2683" s="7"/>
      <c r="C2683" s="7"/>
    </row>
    <row r="2684" spans="1:3" ht="12.45" x14ac:dyDescent="0.3">
      <c r="A2684" s="7"/>
      <c r="B2684" s="7"/>
      <c r="C2684" s="7"/>
    </row>
    <row r="2685" spans="1:3" ht="12.45" x14ac:dyDescent="0.3">
      <c r="A2685" s="7"/>
      <c r="B2685" s="7"/>
      <c r="C2685" s="7"/>
    </row>
    <row r="2686" spans="1:3" ht="12.45" x14ac:dyDescent="0.3">
      <c r="A2686" s="7"/>
      <c r="B2686" s="7"/>
      <c r="C2686" s="7"/>
    </row>
    <row r="2687" spans="1:3" ht="12.45" x14ac:dyDescent="0.3">
      <c r="A2687" s="7"/>
      <c r="B2687" s="7"/>
      <c r="C2687" s="7"/>
    </row>
    <row r="2688" spans="1:3" ht="12.45" x14ac:dyDescent="0.3">
      <c r="A2688" s="7"/>
      <c r="B2688" s="7"/>
      <c r="C2688" s="7"/>
    </row>
    <row r="2689" spans="1:3" ht="12.45" x14ac:dyDescent="0.3">
      <c r="A2689" s="7"/>
      <c r="B2689" s="7"/>
      <c r="C2689" s="7"/>
    </row>
    <row r="2690" spans="1:3" ht="12.45" x14ac:dyDescent="0.3">
      <c r="A2690" s="7"/>
      <c r="B2690" s="7"/>
      <c r="C2690" s="7"/>
    </row>
    <row r="2691" spans="1:3" ht="12.45" x14ac:dyDescent="0.3">
      <c r="A2691" s="7"/>
      <c r="B2691" s="7"/>
      <c r="C2691" s="7"/>
    </row>
    <row r="2692" spans="1:3" ht="12.45" x14ac:dyDescent="0.3">
      <c r="A2692" s="7"/>
      <c r="B2692" s="7"/>
      <c r="C2692" s="7"/>
    </row>
    <row r="2693" spans="1:3" ht="12.45" x14ac:dyDescent="0.3">
      <c r="A2693" s="7"/>
      <c r="B2693" s="7"/>
      <c r="C2693" s="7"/>
    </row>
    <row r="2694" spans="1:3" ht="12.45" x14ac:dyDescent="0.3">
      <c r="A2694" s="7"/>
      <c r="B2694" s="7"/>
      <c r="C2694" s="7"/>
    </row>
    <row r="2695" spans="1:3" ht="12.45" x14ac:dyDescent="0.3">
      <c r="A2695" s="7"/>
      <c r="B2695" s="7"/>
      <c r="C2695" s="7"/>
    </row>
    <row r="2696" spans="1:3" ht="12.45" x14ac:dyDescent="0.3">
      <c r="A2696" s="7"/>
      <c r="B2696" s="7"/>
      <c r="C2696" s="7"/>
    </row>
    <row r="2697" spans="1:3" ht="12.45" x14ac:dyDescent="0.3">
      <c r="A2697" s="7"/>
      <c r="B2697" s="7"/>
      <c r="C2697" s="7"/>
    </row>
    <row r="2698" spans="1:3" ht="12.45" x14ac:dyDescent="0.3">
      <c r="A2698" s="7"/>
      <c r="B2698" s="7"/>
      <c r="C2698" s="7"/>
    </row>
    <row r="2699" spans="1:3" ht="12.45" x14ac:dyDescent="0.3">
      <c r="A2699" s="7"/>
      <c r="B2699" s="7"/>
      <c r="C2699" s="7"/>
    </row>
    <row r="2700" spans="1:3" ht="12.45" x14ac:dyDescent="0.3">
      <c r="A2700" s="7"/>
      <c r="B2700" s="7"/>
      <c r="C2700" s="7"/>
    </row>
    <row r="2701" spans="1:3" ht="12.45" x14ac:dyDescent="0.3">
      <c r="A2701" s="7"/>
      <c r="B2701" s="7"/>
      <c r="C2701" s="7"/>
    </row>
    <row r="2702" spans="1:3" ht="12.45" x14ac:dyDescent="0.3">
      <c r="A2702" s="7"/>
      <c r="B2702" s="7"/>
      <c r="C2702" s="7"/>
    </row>
    <row r="2703" spans="1:3" ht="12.45" x14ac:dyDescent="0.3">
      <c r="A2703" s="7"/>
      <c r="B2703" s="7"/>
      <c r="C2703" s="7"/>
    </row>
    <row r="2704" spans="1:3" ht="12.45" x14ac:dyDescent="0.3">
      <c r="A2704" s="7"/>
      <c r="B2704" s="7"/>
      <c r="C2704" s="7"/>
    </row>
    <row r="2705" spans="1:3" ht="12.45" x14ac:dyDescent="0.3">
      <c r="A2705" s="7"/>
      <c r="B2705" s="7"/>
      <c r="C2705" s="7"/>
    </row>
    <row r="2706" spans="1:3" ht="12.45" x14ac:dyDescent="0.3">
      <c r="A2706" s="7"/>
      <c r="B2706" s="7"/>
      <c r="C2706" s="7"/>
    </row>
    <row r="2707" spans="1:3" ht="12.45" x14ac:dyDescent="0.3">
      <c r="A2707" s="7"/>
      <c r="B2707" s="7"/>
      <c r="C2707" s="7"/>
    </row>
    <row r="2708" spans="1:3" ht="12.45" x14ac:dyDescent="0.3">
      <c r="A2708" s="7"/>
      <c r="B2708" s="7"/>
      <c r="C2708" s="7"/>
    </row>
    <row r="2709" spans="1:3" ht="12.45" x14ac:dyDescent="0.3">
      <c r="A2709" s="7"/>
      <c r="B2709" s="7"/>
      <c r="C2709" s="7"/>
    </row>
    <row r="2710" spans="1:3" ht="12.45" x14ac:dyDescent="0.3">
      <c r="A2710" s="7"/>
      <c r="B2710" s="7"/>
      <c r="C2710" s="7"/>
    </row>
    <row r="2711" spans="1:3" ht="12.45" x14ac:dyDescent="0.3">
      <c r="A2711" s="7"/>
      <c r="B2711" s="7"/>
      <c r="C2711" s="7"/>
    </row>
    <row r="2712" spans="1:3" ht="12.45" x14ac:dyDescent="0.3">
      <c r="A2712" s="7"/>
      <c r="B2712" s="7"/>
      <c r="C2712" s="7"/>
    </row>
    <row r="2713" spans="1:3" ht="12.45" x14ac:dyDescent="0.3">
      <c r="A2713" s="7"/>
      <c r="B2713" s="7"/>
      <c r="C2713" s="7"/>
    </row>
    <row r="2714" spans="1:3" ht="12.45" x14ac:dyDescent="0.3">
      <c r="A2714" s="7"/>
      <c r="B2714" s="7"/>
      <c r="C2714" s="7"/>
    </row>
    <row r="2715" spans="1:3" ht="12.45" x14ac:dyDescent="0.3">
      <c r="A2715" s="7"/>
      <c r="B2715" s="7"/>
      <c r="C2715" s="7"/>
    </row>
    <row r="2716" spans="1:3" ht="12.45" x14ac:dyDescent="0.3">
      <c r="A2716" s="7"/>
      <c r="B2716" s="7"/>
      <c r="C2716" s="7"/>
    </row>
    <row r="2717" spans="1:3" ht="12.45" x14ac:dyDescent="0.3">
      <c r="A2717" s="7"/>
      <c r="B2717" s="7"/>
      <c r="C2717" s="7"/>
    </row>
    <row r="2718" spans="1:3" ht="12.45" x14ac:dyDescent="0.3">
      <c r="A2718" s="7"/>
      <c r="B2718" s="7"/>
      <c r="C2718" s="7"/>
    </row>
    <row r="2719" spans="1:3" ht="12.45" x14ac:dyDescent="0.3">
      <c r="A2719" s="7"/>
      <c r="B2719" s="7"/>
      <c r="C2719" s="7"/>
    </row>
    <row r="2720" spans="1:3" ht="12.45" x14ac:dyDescent="0.3">
      <c r="A2720" s="7"/>
      <c r="B2720" s="7"/>
      <c r="C2720" s="7"/>
    </row>
    <row r="2721" spans="1:3" ht="12.45" x14ac:dyDescent="0.3">
      <c r="A2721" s="7"/>
      <c r="B2721" s="7"/>
      <c r="C2721" s="7"/>
    </row>
    <row r="2722" spans="1:3" ht="12.45" x14ac:dyDescent="0.3">
      <c r="A2722" s="7"/>
      <c r="B2722" s="7"/>
      <c r="C2722" s="7"/>
    </row>
    <row r="2723" spans="1:3" ht="12.45" x14ac:dyDescent="0.3">
      <c r="A2723" s="7"/>
      <c r="B2723" s="7"/>
      <c r="C2723" s="7"/>
    </row>
    <row r="2724" spans="1:3" ht="12.45" x14ac:dyDescent="0.3">
      <c r="A2724" s="7"/>
      <c r="B2724" s="7"/>
      <c r="C2724" s="7"/>
    </row>
    <row r="2725" spans="1:3" ht="12.45" x14ac:dyDescent="0.3">
      <c r="A2725" s="7"/>
      <c r="B2725" s="7"/>
      <c r="C2725" s="7"/>
    </row>
    <row r="2726" spans="1:3" ht="12.45" x14ac:dyDescent="0.3">
      <c r="A2726" s="7"/>
      <c r="B2726" s="7"/>
      <c r="C2726" s="7"/>
    </row>
    <row r="2727" spans="1:3" ht="12.45" x14ac:dyDescent="0.3">
      <c r="A2727" s="7"/>
      <c r="B2727" s="7"/>
      <c r="C2727" s="7"/>
    </row>
    <row r="2728" spans="1:3" ht="12.45" x14ac:dyDescent="0.3">
      <c r="A2728" s="7"/>
      <c r="B2728" s="7"/>
      <c r="C2728" s="7"/>
    </row>
    <row r="2729" spans="1:3" ht="12.45" x14ac:dyDescent="0.3">
      <c r="A2729" s="7"/>
      <c r="B2729" s="7"/>
      <c r="C2729" s="7"/>
    </row>
    <row r="2730" spans="1:3" ht="12.45" x14ac:dyDescent="0.3">
      <c r="A2730" s="7"/>
      <c r="B2730" s="7"/>
      <c r="C2730" s="7"/>
    </row>
    <row r="2731" spans="1:3" ht="12.45" x14ac:dyDescent="0.3">
      <c r="A2731" s="7"/>
      <c r="B2731" s="7"/>
      <c r="C2731" s="7"/>
    </row>
    <row r="2732" spans="1:3" ht="12.45" x14ac:dyDescent="0.3">
      <c r="A2732" s="7"/>
      <c r="B2732" s="7"/>
      <c r="C2732" s="7"/>
    </row>
    <row r="2733" spans="1:3" ht="12.45" x14ac:dyDescent="0.3">
      <c r="A2733" s="7"/>
      <c r="B2733" s="7"/>
      <c r="C2733" s="7"/>
    </row>
    <row r="2734" spans="1:3" ht="12.45" x14ac:dyDescent="0.3">
      <c r="A2734" s="7"/>
      <c r="B2734" s="7"/>
      <c r="C2734" s="7"/>
    </row>
    <row r="2735" spans="1:3" ht="12.45" x14ac:dyDescent="0.3">
      <c r="A2735" s="7"/>
      <c r="B2735" s="7"/>
      <c r="C2735" s="7"/>
    </row>
    <row r="2736" spans="1:3" ht="12.45" x14ac:dyDescent="0.3">
      <c r="A2736" s="7"/>
      <c r="B2736" s="7"/>
      <c r="C2736" s="7"/>
    </row>
    <row r="2737" spans="1:3" ht="12.45" x14ac:dyDescent="0.3">
      <c r="A2737" s="7"/>
      <c r="B2737" s="7"/>
      <c r="C2737" s="7"/>
    </row>
    <row r="2738" spans="1:3" ht="12.45" x14ac:dyDescent="0.3">
      <c r="A2738" s="7"/>
      <c r="B2738" s="7"/>
      <c r="C2738" s="7"/>
    </row>
    <row r="2739" spans="1:3" ht="12.45" x14ac:dyDescent="0.3">
      <c r="A2739" s="7"/>
      <c r="B2739" s="7"/>
      <c r="C2739" s="7"/>
    </row>
    <row r="2740" spans="1:3" ht="12.45" x14ac:dyDescent="0.3">
      <c r="A2740" s="7"/>
      <c r="B2740" s="7"/>
      <c r="C2740" s="7"/>
    </row>
    <row r="2741" spans="1:3" ht="12.45" x14ac:dyDescent="0.3">
      <c r="A2741" s="7"/>
      <c r="B2741" s="7"/>
      <c r="C2741" s="7"/>
    </row>
    <row r="2742" spans="1:3" ht="12.45" x14ac:dyDescent="0.3">
      <c r="A2742" s="7"/>
      <c r="B2742" s="7"/>
      <c r="C2742" s="7"/>
    </row>
    <row r="2743" spans="1:3" ht="12.45" x14ac:dyDescent="0.3">
      <c r="A2743" s="7"/>
      <c r="B2743" s="7"/>
      <c r="C2743" s="7"/>
    </row>
    <row r="2744" spans="1:3" ht="12.45" x14ac:dyDescent="0.3">
      <c r="A2744" s="7"/>
      <c r="B2744" s="7"/>
      <c r="C2744" s="7"/>
    </row>
    <row r="2745" spans="1:3" ht="12.45" x14ac:dyDescent="0.3">
      <c r="A2745" s="7"/>
      <c r="B2745" s="7"/>
      <c r="C2745" s="7"/>
    </row>
    <row r="2746" spans="1:3" ht="12.45" x14ac:dyDescent="0.3">
      <c r="A2746" s="7"/>
      <c r="B2746" s="7"/>
      <c r="C2746" s="7"/>
    </row>
    <row r="2747" spans="1:3" ht="12.45" x14ac:dyDescent="0.3">
      <c r="A2747" s="7"/>
      <c r="B2747" s="7"/>
      <c r="C2747" s="7"/>
    </row>
    <row r="2748" spans="1:3" ht="12.45" x14ac:dyDescent="0.3">
      <c r="A2748" s="7"/>
      <c r="B2748" s="7"/>
      <c r="C2748" s="7"/>
    </row>
    <row r="2749" spans="1:3" ht="12.45" x14ac:dyDescent="0.3">
      <c r="A2749" s="7"/>
      <c r="B2749" s="7"/>
      <c r="C2749" s="7"/>
    </row>
    <row r="2750" spans="1:3" ht="12.45" x14ac:dyDescent="0.3">
      <c r="A2750" s="7"/>
      <c r="B2750" s="7"/>
      <c r="C2750" s="7"/>
    </row>
    <row r="2751" spans="1:3" ht="12.45" x14ac:dyDescent="0.3">
      <c r="A2751" s="7"/>
      <c r="B2751" s="7"/>
      <c r="C2751" s="7"/>
    </row>
    <row r="2752" spans="1:3" ht="12.45" x14ac:dyDescent="0.3">
      <c r="A2752" s="7"/>
      <c r="B2752" s="7"/>
      <c r="C2752" s="7"/>
    </row>
    <row r="2753" spans="1:3" ht="12.45" x14ac:dyDescent="0.3">
      <c r="A2753" s="7"/>
      <c r="B2753" s="7"/>
      <c r="C2753" s="7"/>
    </row>
    <row r="2754" spans="1:3" ht="12.45" x14ac:dyDescent="0.3">
      <c r="A2754" s="7"/>
      <c r="B2754" s="7"/>
      <c r="C2754" s="7"/>
    </row>
    <row r="2755" spans="1:3" ht="12.45" x14ac:dyDescent="0.3">
      <c r="A2755" s="7"/>
      <c r="B2755" s="7"/>
      <c r="C2755" s="7"/>
    </row>
    <row r="2756" spans="1:3" ht="12.45" x14ac:dyDescent="0.3">
      <c r="A2756" s="7"/>
      <c r="B2756" s="7"/>
      <c r="C2756" s="7"/>
    </row>
    <row r="2757" spans="1:3" ht="12.45" x14ac:dyDescent="0.3">
      <c r="A2757" s="7"/>
      <c r="B2757" s="7"/>
      <c r="C2757" s="7"/>
    </row>
    <row r="2758" spans="1:3" ht="12.45" x14ac:dyDescent="0.3">
      <c r="A2758" s="7"/>
      <c r="B2758" s="7"/>
      <c r="C2758" s="7"/>
    </row>
    <row r="2759" spans="1:3" ht="12.45" x14ac:dyDescent="0.3">
      <c r="A2759" s="7"/>
      <c r="B2759" s="7"/>
      <c r="C2759" s="7"/>
    </row>
    <row r="2760" spans="1:3" ht="12.45" x14ac:dyDescent="0.3">
      <c r="A2760" s="7"/>
      <c r="B2760" s="7"/>
      <c r="C2760" s="7"/>
    </row>
    <row r="2761" spans="1:3" ht="12.45" x14ac:dyDescent="0.3">
      <c r="A2761" s="7"/>
      <c r="B2761" s="7"/>
      <c r="C2761" s="7"/>
    </row>
    <row r="2762" spans="1:3" ht="12.45" x14ac:dyDescent="0.3">
      <c r="A2762" s="7"/>
      <c r="B2762" s="7"/>
      <c r="C2762" s="7"/>
    </row>
    <row r="2763" spans="1:3" ht="12.45" x14ac:dyDescent="0.3">
      <c r="A2763" s="7"/>
      <c r="B2763" s="7"/>
      <c r="C2763" s="7"/>
    </row>
    <row r="2764" spans="1:3" ht="12.45" x14ac:dyDescent="0.3">
      <c r="A2764" s="7"/>
      <c r="B2764" s="7"/>
      <c r="C2764" s="7"/>
    </row>
    <row r="2765" spans="1:3" ht="12.45" x14ac:dyDescent="0.3">
      <c r="A2765" s="7"/>
      <c r="B2765" s="7"/>
      <c r="C2765" s="7"/>
    </row>
    <row r="2766" spans="1:3" ht="12.45" x14ac:dyDescent="0.3">
      <c r="A2766" s="7"/>
      <c r="B2766" s="7"/>
      <c r="C2766" s="7"/>
    </row>
    <row r="2767" spans="1:3" ht="12.45" x14ac:dyDescent="0.3">
      <c r="A2767" s="7"/>
      <c r="B2767" s="7"/>
      <c r="C2767" s="7"/>
    </row>
    <row r="2768" spans="1:3" ht="12.45" x14ac:dyDescent="0.3">
      <c r="A2768" s="7"/>
      <c r="B2768" s="7"/>
      <c r="C2768" s="7"/>
    </row>
    <row r="2769" spans="1:3" ht="12.45" x14ac:dyDescent="0.3">
      <c r="A2769" s="7"/>
      <c r="B2769" s="7"/>
      <c r="C2769" s="7"/>
    </row>
    <row r="2770" spans="1:3" ht="12.45" x14ac:dyDescent="0.3">
      <c r="A2770" s="7"/>
      <c r="B2770" s="7"/>
      <c r="C2770" s="7"/>
    </row>
    <row r="2771" spans="1:3" ht="12.45" x14ac:dyDescent="0.3">
      <c r="A2771" s="7"/>
      <c r="B2771" s="7"/>
      <c r="C2771" s="7"/>
    </row>
    <row r="2772" spans="1:3" ht="12.45" x14ac:dyDescent="0.3">
      <c r="A2772" s="7"/>
      <c r="B2772" s="7"/>
      <c r="C2772" s="7"/>
    </row>
    <row r="2773" spans="1:3" ht="12.45" x14ac:dyDescent="0.3">
      <c r="A2773" s="7"/>
      <c r="B2773" s="7"/>
      <c r="C2773" s="7"/>
    </row>
    <row r="2774" spans="1:3" ht="12.45" x14ac:dyDescent="0.3">
      <c r="A2774" s="7"/>
      <c r="B2774" s="7"/>
      <c r="C2774" s="7"/>
    </row>
    <row r="2775" spans="1:3" ht="12.45" x14ac:dyDescent="0.3">
      <c r="A2775" s="7"/>
      <c r="B2775" s="7"/>
      <c r="C2775" s="7"/>
    </row>
    <row r="2776" spans="1:3" ht="12.45" x14ac:dyDescent="0.3">
      <c r="A2776" s="7"/>
      <c r="B2776" s="7"/>
      <c r="C2776" s="7"/>
    </row>
    <row r="2777" spans="1:3" ht="12.45" x14ac:dyDescent="0.3">
      <c r="A2777" s="7"/>
      <c r="B2777" s="7"/>
      <c r="C2777" s="7"/>
    </row>
    <row r="2778" spans="1:3" ht="12.45" x14ac:dyDescent="0.3">
      <c r="A2778" s="7"/>
      <c r="B2778" s="7"/>
      <c r="C2778" s="7"/>
    </row>
    <row r="2779" spans="1:3" ht="12.45" x14ac:dyDescent="0.3">
      <c r="A2779" s="7"/>
      <c r="B2779" s="7"/>
      <c r="C2779" s="7"/>
    </row>
    <row r="2780" spans="1:3" ht="12.45" x14ac:dyDescent="0.3">
      <c r="A2780" s="7"/>
      <c r="B2780" s="7"/>
      <c r="C2780" s="7"/>
    </row>
    <row r="2781" spans="1:3" ht="12.45" x14ac:dyDescent="0.3">
      <c r="A2781" s="7"/>
      <c r="B2781" s="7"/>
      <c r="C2781" s="7"/>
    </row>
    <row r="2782" spans="1:3" ht="12.45" x14ac:dyDescent="0.3">
      <c r="A2782" s="7"/>
      <c r="B2782" s="7"/>
      <c r="C2782" s="7"/>
    </row>
    <row r="2783" spans="1:3" ht="12.45" x14ac:dyDescent="0.3">
      <c r="A2783" s="7"/>
      <c r="B2783" s="7"/>
      <c r="C2783" s="7"/>
    </row>
    <row r="2784" spans="1:3" ht="12.45" x14ac:dyDescent="0.3">
      <c r="A2784" s="7"/>
      <c r="B2784" s="7"/>
      <c r="C2784" s="7"/>
    </row>
    <row r="2785" spans="1:3" ht="12.45" x14ac:dyDescent="0.3">
      <c r="A2785" s="7"/>
      <c r="B2785" s="7"/>
      <c r="C2785" s="7"/>
    </row>
    <row r="2786" spans="1:3" ht="12.45" x14ac:dyDescent="0.3">
      <c r="A2786" s="7"/>
      <c r="B2786" s="7"/>
      <c r="C2786" s="7"/>
    </row>
    <row r="2787" spans="1:3" ht="12.45" x14ac:dyDescent="0.3">
      <c r="A2787" s="7"/>
      <c r="B2787" s="7"/>
      <c r="C2787" s="7"/>
    </row>
    <row r="2788" spans="1:3" ht="12.45" x14ac:dyDescent="0.3">
      <c r="A2788" s="7"/>
      <c r="B2788" s="7"/>
      <c r="C2788" s="7"/>
    </row>
    <row r="2789" spans="1:3" ht="12.45" x14ac:dyDescent="0.3">
      <c r="A2789" s="7"/>
      <c r="B2789" s="7"/>
      <c r="C2789" s="7"/>
    </row>
    <row r="2790" spans="1:3" ht="12.45" x14ac:dyDescent="0.3">
      <c r="A2790" s="7"/>
      <c r="B2790" s="7"/>
      <c r="C2790" s="7"/>
    </row>
    <row r="2791" spans="1:3" ht="12.45" x14ac:dyDescent="0.3">
      <c r="A2791" s="7"/>
      <c r="B2791" s="7"/>
      <c r="C2791" s="7"/>
    </row>
    <row r="2792" spans="1:3" ht="12.45" x14ac:dyDescent="0.3">
      <c r="A2792" s="7"/>
      <c r="B2792" s="7"/>
      <c r="C2792" s="7"/>
    </row>
    <row r="2793" spans="1:3" ht="12.45" x14ac:dyDescent="0.3">
      <c r="A2793" s="7"/>
      <c r="B2793" s="7"/>
      <c r="C2793" s="7"/>
    </row>
    <row r="2794" spans="1:3" ht="12.45" x14ac:dyDescent="0.3">
      <c r="A2794" s="7"/>
      <c r="B2794" s="7"/>
      <c r="C2794" s="7"/>
    </row>
    <row r="2795" spans="1:3" ht="12.45" x14ac:dyDescent="0.3">
      <c r="A2795" s="7"/>
      <c r="B2795" s="7"/>
      <c r="C2795" s="7"/>
    </row>
    <row r="2796" spans="1:3" ht="12.45" x14ac:dyDescent="0.3">
      <c r="A2796" s="7"/>
      <c r="B2796" s="7"/>
      <c r="C2796" s="7"/>
    </row>
    <row r="2797" spans="1:3" ht="12.45" x14ac:dyDescent="0.3">
      <c r="A2797" s="7"/>
      <c r="B2797" s="7"/>
      <c r="C2797" s="7"/>
    </row>
    <row r="2798" spans="1:3" ht="12.45" x14ac:dyDescent="0.3">
      <c r="A2798" s="7"/>
      <c r="B2798" s="7"/>
      <c r="C2798" s="7"/>
    </row>
    <row r="2799" spans="1:3" ht="12.45" x14ac:dyDescent="0.3">
      <c r="A2799" s="7"/>
      <c r="B2799" s="7"/>
      <c r="C2799" s="7"/>
    </row>
    <row r="2800" spans="1:3" ht="12.45" x14ac:dyDescent="0.3">
      <c r="A2800" s="7"/>
      <c r="B2800" s="7"/>
      <c r="C2800" s="7"/>
    </row>
    <row r="2801" spans="1:3" ht="12.45" x14ac:dyDescent="0.3">
      <c r="A2801" s="7"/>
      <c r="B2801" s="7"/>
      <c r="C2801" s="7"/>
    </row>
    <row r="2802" spans="1:3" ht="12.45" x14ac:dyDescent="0.3">
      <c r="A2802" s="7"/>
      <c r="B2802" s="7"/>
      <c r="C2802" s="7"/>
    </row>
    <row r="2803" spans="1:3" ht="12.45" x14ac:dyDescent="0.3">
      <c r="A2803" s="7"/>
      <c r="B2803" s="7"/>
      <c r="C2803" s="7"/>
    </row>
    <row r="2804" spans="1:3" ht="12.45" x14ac:dyDescent="0.3">
      <c r="A2804" s="7"/>
      <c r="B2804" s="7"/>
      <c r="C2804" s="7"/>
    </row>
    <row r="2805" spans="1:3" ht="12.45" x14ac:dyDescent="0.3">
      <c r="A2805" s="7"/>
      <c r="B2805" s="7"/>
      <c r="C2805" s="7"/>
    </row>
    <row r="2806" spans="1:3" ht="12.45" x14ac:dyDescent="0.3">
      <c r="A2806" s="7"/>
      <c r="B2806" s="7"/>
      <c r="C2806" s="7"/>
    </row>
    <row r="2807" spans="1:3" ht="12.45" x14ac:dyDescent="0.3">
      <c r="A2807" s="7"/>
      <c r="B2807" s="7"/>
      <c r="C2807" s="7"/>
    </row>
    <row r="2808" spans="1:3" ht="12.45" x14ac:dyDescent="0.3">
      <c r="A2808" s="7"/>
      <c r="B2808" s="7"/>
      <c r="C2808" s="7"/>
    </row>
    <row r="2809" spans="1:3" ht="12.45" x14ac:dyDescent="0.3">
      <c r="A2809" s="7"/>
      <c r="B2809" s="7"/>
      <c r="C2809" s="7"/>
    </row>
    <row r="2810" spans="1:3" ht="12.45" x14ac:dyDescent="0.3">
      <c r="A2810" s="7"/>
      <c r="B2810" s="7"/>
      <c r="C2810" s="7"/>
    </row>
    <row r="2811" spans="1:3" ht="12.45" x14ac:dyDescent="0.3">
      <c r="A2811" s="7"/>
      <c r="B2811" s="7"/>
      <c r="C2811" s="7"/>
    </row>
    <row r="2812" spans="1:3" ht="12.45" x14ac:dyDescent="0.3">
      <c r="A2812" s="7"/>
      <c r="B2812" s="7"/>
      <c r="C2812" s="7"/>
    </row>
    <row r="2813" spans="1:3" ht="12.45" x14ac:dyDescent="0.3">
      <c r="A2813" s="7"/>
      <c r="B2813" s="7"/>
      <c r="C2813" s="7"/>
    </row>
    <row r="2814" spans="1:3" ht="12.45" x14ac:dyDescent="0.3">
      <c r="A2814" s="7"/>
      <c r="B2814" s="7"/>
      <c r="C2814" s="7"/>
    </row>
    <row r="2815" spans="1:3" ht="12.45" x14ac:dyDescent="0.3">
      <c r="A2815" s="7"/>
      <c r="B2815" s="7"/>
      <c r="C2815" s="7"/>
    </row>
    <row r="2816" spans="1:3" ht="12.45" x14ac:dyDescent="0.3">
      <c r="A2816" s="7"/>
      <c r="B2816" s="7"/>
      <c r="C2816" s="7"/>
    </row>
    <row r="2817" spans="1:3" ht="12.45" x14ac:dyDescent="0.3">
      <c r="A2817" s="7"/>
      <c r="B2817" s="7"/>
      <c r="C2817" s="7"/>
    </row>
    <row r="2818" spans="1:3" ht="12.45" x14ac:dyDescent="0.3">
      <c r="A2818" s="7"/>
      <c r="B2818" s="7"/>
      <c r="C2818" s="7"/>
    </row>
    <row r="2819" spans="1:3" ht="12.45" x14ac:dyDescent="0.3">
      <c r="A2819" s="7"/>
      <c r="B2819" s="7"/>
      <c r="C2819" s="7"/>
    </row>
    <row r="2820" spans="1:3" ht="12.45" x14ac:dyDescent="0.3">
      <c r="A2820" s="7"/>
      <c r="B2820" s="7"/>
      <c r="C2820" s="7"/>
    </row>
    <row r="2821" spans="1:3" ht="12.45" x14ac:dyDescent="0.3">
      <c r="A2821" s="7"/>
      <c r="B2821" s="7"/>
      <c r="C2821" s="7"/>
    </row>
    <row r="2822" spans="1:3" ht="12.45" x14ac:dyDescent="0.3">
      <c r="A2822" s="7"/>
      <c r="B2822" s="7"/>
      <c r="C2822" s="7"/>
    </row>
    <row r="2823" spans="1:3" ht="12.45" x14ac:dyDescent="0.3">
      <c r="A2823" s="7"/>
      <c r="B2823" s="7"/>
      <c r="C2823" s="7"/>
    </row>
    <row r="2824" spans="1:3" ht="12.45" x14ac:dyDescent="0.3">
      <c r="A2824" s="7"/>
      <c r="B2824" s="7"/>
      <c r="C2824" s="7"/>
    </row>
    <row r="2825" spans="1:3" ht="12.45" x14ac:dyDescent="0.3">
      <c r="A2825" s="7"/>
      <c r="B2825" s="7"/>
      <c r="C2825" s="7"/>
    </row>
    <row r="2826" spans="1:3" ht="12.45" x14ac:dyDescent="0.3">
      <c r="A2826" s="7"/>
      <c r="B2826" s="7"/>
      <c r="C2826" s="7"/>
    </row>
    <row r="2827" spans="1:3" ht="12.45" x14ac:dyDescent="0.3">
      <c r="A2827" s="7"/>
      <c r="B2827" s="7"/>
      <c r="C2827" s="7"/>
    </row>
    <row r="2828" spans="1:3" ht="12.45" x14ac:dyDescent="0.3">
      <c r="A2828" s="7"/>
      <c r="B2828" s="7"/>
      <c r="C2828" s="7"/>
    </row>
    <row r="2829" spans="1:3" ht="12.45" x14ac:dyDescent="0.3">
      <c r="A2829" s="7"/>
      <c r="B2829" s="7"/>
      <c r="C2829" s="7"/>
    </row>
    <row r="2830" spans="1:3" ht="12.45" x14ac:dyDescent="0.3">
      <c r="A2830" s="7"/>
      <c r="B2830" s="7"/>
      <c r="C2830" s="7"/>
    </row>
    <row r="2831" spans="1:3" ht="12.45" x14ac:dyDescent="0.3">
      <c r="A2831" s="7"/>
      <c r="B2831" s="7"/>
      <c r="C2831" s="7"/>
    </row>
    <row r="2832" spans="1:3" ht="12.45" x14ac:dyDescent="0.3">
      <c r="A2832" s="7"/>
      <c r="B2832" s="7"/>
      <c r="C2832" s="7"/>
    </row>
    <row r="2833" spans="1:3" ht="12.45" x14ac:dyDescent="0.3">
      <c r="A2833" s="7"/>
      <c r="B2833" s="7"/>
      <c r="C2833" s="7"/>
    </row>
    <row r="2834" spans="1:3" ht="12.45" x14ac:dyDescent="0.3">
      <c r="A2834" s="7"/>
      <c r="B2834" s="7"/>
      <c r="C2834" s="7"/>
    </row>
    <row r="2835" spans="1:3" ht="12.45" x14ac:dyDescent="0.3">
      <c r="A2835" s="7"/>
      <c r="B2835" s="7"/>
      <c r="C2835" s="7"/>
    </row>
    <row r="2836" spans="1:3" ht="12.45" x14ac:dyDescent="0.3">
      <c r="A2836" s="7"/>
      <c r="B2836" s="7"/>
      <c r="C2836" s="7"/>
    </row>
    <row r="2837" spans="1:3" ht="12.45" x14ac:dyDescent="0.3">
      <c r="A2837" s="7"/>
      <c r="B2837" s="7"/>
      <c r="C2837" s="7"/>
    </row>
    <row r="2838" spans="1:3" ht="12.45" x14ac:dyDescent="0.3">
      <c r="A2838" s="7"/>
      <c r="B2838" s="7"/>
      <c r="C2838" s="7"/>
    </row>
    <row r="2839" spans="1:3" ht="12.45" x14ac:dyDescent="0.3">
      <c r="A2839" s="7"/>
      <c r="B2839" s="7"/>
      <c r="C2839" s="7"/>
    </row>
    <row r="2840" spans="1:3" ht="12.45" x14ac:dyDescent="0.3">
      <c r="A2840" s="7"/>
      <c r="B2840" s="7"/>
      <c r="C2840" s="7"/>
    </row>
    <row r="2841" spans="1:3" ht="12.45" x14ac:dyDescent="0.3">
      <c r="A2841" s="7"/>
      <c r="B2841" s="7"/>
      <c r="C2841" s="7"/>
    </row>
    <row r="2842" spans="1:3" ht="12.45" x14ac:dyDescent="0.3">
      <c r="A2842" s="7"/>
      <c r="B2842" s="7"/>
      <c r="C2842" s="7"/>
    </row>
    <row r="2843" spans="1:3" ht="12.45" x14ac:dyDescent="0.3">
      <c r="A2843" s="7"/>
      <c r="B2843" s="7"/>
      <c r="C2843" s="7"/>
    </row>
    <row r="2844" spans="1:3" ht="12.45" x14ac:dyDescent="0.3">
      <c r="A2844" s="7"/>
      <c r="B2844" s="7"/>
      <c r="C2844" s="7"/>
    </row>
    <row r="2845" spans="1:3" ht="12.45" x14ac:dyDescent="0.3">
      <c r="A2845" s="7"/>
      <c r="B2845" s="7"/>
      <c r="C2845" s="7"/>
    </row>
    <row r="2846" spans="1:3" ht="12.45" x14ac:dyDescent="0.3">
      <c r="A2846" s="7"/>
      <c r="B2846" s="7"/>
      <c r="C2846" s="7"/>
    </row>
    <row r="2847" spans="1:3" ht="12.45" x14ac:dyDescent="0.3">
      <c r="A2847" s="7"/>
      <c r="B2847" s="7"/>
      <c r="C2847" s="7"/>
    </row>
    <row r="2848" spans="1:3" ht="12.45" x14ac:dyDescent="0.3">
      <c r="A2848" s="7"/>
      <c r="B2848" s="7"/>
      <c r="C2848" s="7"/>
    </row>
    <row r="2849" spans="1:3" ht="12.45" x14ac:dyDescent="0.3">
      <c r="A2849" s="7"/>
      <c r="B2849" s="7"/>
      <c r="C2849" s="7"/>
    </row>
    <row r="2850" spans="1:3" ht="12.45" x14ac:dyDescent="0.3">
      <c r="A2850" s="7"/>
      <c r="B2850" s="7"/>
      <c r="C2850" s="7"/>
    </row>
    <row r="2851" spans="1:3" ht="12.45" x14ac:dyDescent="0.3">
      <c r="A2851" s="7"/>
      <c r="B2851" s="7"/>
      <c r="C2851" s="7"/>
    </row>
    <row r="2852" spans="1:3" ht="12.45" x14ac:dyDescent="0.3">
      <c r="A2852" s="7"/>
      <c r="B2852" s="7"/>
      <c r="C2852" s="7"/>
    </row>
    <row r="2853" spans="1:3" ht="12.45" x14ac:dyDescent="0.3">
      <c r="A2853" s="7"/>
      <c r="B2853" s="7"/>
      <c r="C2853" s="7"/>
    </row>
    <row r="2854" spans="1:3" ht="12.45" x14ac:dyDescent="0.3">
      <c r="A2854" s="7"/>
      <c r="B2854" s="7"/>
      <c r="C2854" s="7"/>
    </row>
    <row r="2855" spans="1:3" ht="12.45" x14ac:dyDescent="0.3">
      <c r="A2855" s="7"/>
      <c r="B2855" s="7"/>
      <c r="C2855" s="7"/>
    </row>
    <row r="2856" spans="1:3" ht="12.45" x14ac:dyDescent="0.3">
      <c r="A2856" s="7"/>
      <c r="B2856" s="7"/>
      <c r="C2856" s="7"/>
    </row>
    <row r="2857" spans="1:3" ht="12.45" x14ac:dyDescent="0.3">
      <c r="A2857" s="7"/>
      <c r="B2857" s="7"/>
      <c r="C2857" s="7"/>
    </row>
    <row r="2858" spans="1:3" ht="12.45" x14ac:dyDescent="0.3">
      <c r="A2858" s="7"/>
      <c r="B2858" s="7"/>
      <c r="C2858" s="7"/>
    </row>
  </sheetData>
  <customSheetViews>
    <customSheetView guid="{1F0BA76F-E870-4F61-B1EE-BE05A9E18180}" filter="1" showAutoFilter="1">
      <pageMargins left="0.7" right="0.7" top="0.75" bottom="0.75" header="0.3" footer="0.3"/>
      <autoFilter ref="F1:I2123">
        <filterColumn colId="3">
          <customFilters>
            <customFilter operator="greaterThanOrEqual" val="1"/>
          </customFilters>
        </filterColumn>
      </autoFilter>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7"/>
  <sheetViews>
    <sheetView showGridLines="0" workbookViewId="0"/>
  </sheetViews>
  <sheetFormatPr defaultColWidth="12.61328125" defaultRowHeight="15.75" customHeight="1" x14ac:dyDescent="0.3"/>
  <cols>
    <col min="1" max="1" width="26.23046875" customWidth="1"/>
    <col min="2" max="2" width="47.84375" customWidth="1"/>
    <col min="3" max="3" width="16.3828125" customWidth="1"/>
    <col min="4" max="4" width="17.765625" customWidth="1"/>
    <col min="6" max="6" width="106.3828125" customWidth="1"/>
  </cols>
  <sheetData>
    <row r="1" spans="1:26" ht="15.75" customHeight="1" x14ac:dyDescent="0.3">
      <c r="A1" s="30" t="s">
        <v>1533</v>
      </c>
      <c r="B1" s="30" t="s">
        <v>1</v>
      </c>
      <c r="C1" s="30" t="s">
        <v>0</v>
      </c>
      <c r="D1" s="31" t="s">
        <v>1550</v>
      </c>
      <c r="E1" s="1" t="s">
        <v>1534</v>
      </c>
      <c r="F1" s="1" t="s">
        <v>1551</v>
      </c>
      <c r="I1" s="2"/>
      <c r="J1" s="2"/>
      <c r="K1" s="2"/>
      <c r="L1" s="2"/>
      <c r="M1" s="2"/>
      <c r="N1" s="2"/>
      <c r="O1" s="2"/>
      <c r="P1" s="2"/>
      <c r="Q1" s="2"/>
      <c r="R1" s="2"/>
      <c r="S1" s="2"/>
      <c r="T1" s="2"/>
      <c r="U1" s="2"/>
      <c r="V1" s="2"/>
      <c r="W1" s="2"/>
      <c r="X1" s="2"/>
      <c r="Y1" s="2"/>
      <c r="Z1" s="2"/>
    </row>
    <row r="2" spans="1:26" ht="15.75" customHeight="1" x14ac:dyDescent="0.3">
      <c r="A2" s="32" t="s">
        <v>1999</v>
      </c>
      <c r="B2" s="33"/>
      <c r="C2" s="33"/>
      <c r="D2" s="34">
        <v>85</v>
      </c>
      <c r="E2" s="3" t="s">
        <v>1522</v>
      </c>
      <c r="F2" s="3" t="s">
        <v>1552</v>
      </c>
    </row>
    <row r="3" spans="1:26" ht="15.75" customHeight="1" x14ac:dyDescent="0.3">
      <c r="A3" s="32" t="s">
        <v>2000</v>
      </c>
      <c r="B3" s="33"/>
      <c r="C3" s="33"/>
      <c r="D3" s="34">
        <v>73</v>
      </c>
      <c r="E3" s="3" t="s">
        <v>1522</v>
      </c>
      <c r="F3" s="3" t="s">
        <v>1553</v>
      </c>
    </row>
    <row r="4" spans="1:26" ht="15.75" customHeight="1" x14ac:dyDescent="0.3">
      <c r="A4" s="32" t="s">
        <v>2001</v>
      </c>
      <c r="B4" s="33"/>
      <c r="C4" s="33"/>
      <c r="D4" s="34">
        <v>77</v>
      </c>
      <c r="E4" s="3" t="s">
        <v>1522</v>
      </c>
      <c r="F4" s="3" t="s">
        <v>1554</v>
      </c>
    </row>
    <row r="5" spans="1:26" ht="15.75" customHeight="1" x14ac:dyDescent="0.3">
      <c r="A5" s="32" t="s">
        <v>2002</v>
      </c>
      <c r="B5" s="33"/>
      <c r="C5" s="33"/>
      <c r="D5" s="34">
        <v>79</v>
      </c>
      <c r="E5" s="3" t="s">
        <v>1522</v>
      </c>
      <c r="F5" s="3" t="s">
        <v>1539</v>
      </c>
    </row>
    <row r="6" spans="1:26" ht="15.75" customHeight="1" x14ac:dyDescent="0.3">
      <c r="A6" s="32" t="s">
        <v>2003</v>
      </c>
      <c r="B6" s="33"/>
      <c r="C6" s="33"/>
      <c r="D6" s="34">
        <v>83</v>
      </c>
      <c r="E6" s="3" t="s">
        <v>1522</v>
      </c>
      <c r="F6" s="3" t="s">
        <v>1555</v>
      </c>
    </row>
    <row r="7" spans="1:26" ht="15.75" customHeight="1" x14ac:dyDescent="0.3">
      <c r="A7" s="32" t="s">
        <v>2004</v>
      </c>
      <c r="B7" s="33"/>
      <c r="C7" s="33"/>
      <c r="D7" s="34">
        <v>85</v>
      </c>
      <c r="E7" s="3" t="s">
        <v>1522</v>
      </c>
      <c r="F7" s="3" t="s">
        <v>1541</v>
      </c>
    </row>
    <row r="8" spans="1:26" ht="15.75" customHeight="1" x14ac:dyDescent="0.3">
      <c r="A8" s="32" t="s">
        <v>2005</v>
      </c>
      <c r="B8" s="33"/>
      <c r="C8" s="33"/>
      <c r="D8" s="34">
        <v>82</v>
      </c>
      <c r="E8" s="3" t="s">
        <v>1522</v>
      </c>
      <c r="F8" s="3" t="s">
        <v>1556</v>
      </c>
    </row>
    <row r="9" spans="1:26" ht="15.75" customHeight="1" x14ac:dyDescent="0.3">
      <c r="A9" s="32" t="s">
        <v>2006</v>
      </c>
      <c r="B9" s="33"/>
      <c r="C9" s="33"/>
      <c r="D9" s="34">
        <v>64</v>
      </c>
      <c r="E9" s="3" t="s">
        <v>1522</v>
      </c>
      <c r="F9" s="3" t="s">
        <v>1557</v>
      </c>
    </row>
    <row r="10" spans="1:26" ht="15.75" customHeight="1" x14ac:dyDescent="0.3">
      <c r="A10" s="32" t="s">
        <v>2007</v>
      </c>
      <c r="B10" s="33"/>
      <c r="C10" s="33"/>
      <c r="D10" s="34">
        <v>81</v>
      </c>
      <c r="E10" s="3" t="s">
        <v>1522</v>
      </c>
      <c r="F10" s="3" t="s">
        <v>1558</v>
      </c>
    </row>
    <row r="11" spans="1:26" ht="15.75" customHeight="1" x14ac:dyDescent="0.3">
      <c r="A11" s="32" t="s">
        <v>2008</v>
      </c>
      <c r="B11" s="33"/>
      <c r="C11" s="33"/>
      <c r="D11" s="34">
        <v>70</v>
      </c>
      <c r="E11" s="3" t="s">
        <v>1522</v>
      </c>
      <c r="F11" s="3" t="s">
        <v>1545</v>
      </c>
    </row>
    <row r="12" spans="1:26" ht="15.75" customHeight="1" x14ac:dyDescent="0.3">
      <c r="A12" s="32" t="s">
        <v>2009</v>
      </c>
      <c r="B12" s="33"/>
      <c r="C12" s="33"/>
      <c r="D12" s="34">
        <v>71</v>
      </c>
      <c r="E12" s="3" t="s">
        <v>1522</v>
      </c>
      <c r="F12" s="3" t="s">
        <v>1546</v>
      </c>
    </row>
    <row r="13" spans="1:26" ht="15.75" customHeight="1" x14ac:dyDescent="0.3">
      <c r="A13" s="32" t="s">
        <v>2010</v>
      </c>
      <c r="B13" s="33"/>
      <c r="C13" s="33"/>
      <c r="D13" s="34">
        <v>71</v>
      </c>
      <c r="E13" s="3" t="s">
        <v>1522</v>
      </c>
      <c r="F13" s="3" t="s">
        <v>1547</v>
      </c>
    </row>
    <row r="14" spans="1:26" ht="15.75" customHeight="1" x14ac:dyDescent="0.3">
      <c r="A14" s="32" t="s">
        <v>2011</v>
      </c>
      <c r="B14" s="33"/>
      <c r="C14" s="33"/>
      <c r="D14" s="34">
        <v>74</v>
      </c>
      <c r="E14" s="3" t="s">
        <v>1522</v>
      </c>
      <c r="F14" s="3" t="s">
        <v>1548</v>
      </c>
    </row>
    <row r="15" spans="1:26" ht="15.75" customHeight="1" x14ac:dyDescent="0.3">
      <c r="A15" s="32" t="s">
        <v>2012</v>
      </c>
      <c r="B15" s="33"/>
      <c r="C15" s="33"/>
      <c r="D15" s="34">
        <v>74</v>
      </c>
      <c r="E15" s="3" t="s">
        <v>1522</v>
      </c>
      <c r="F15" s="3" t="s">
        <v>1549</v>
      </c>
    </row>
    <row r="16" spans="1:26" ht="15.75" customHeight="1" x14ac:dyDescent="0.3">
      <c r="A16" s="32" t="s">
        <v>2013</v>
      </c>
      <c r="B16" s="33"/>
      <c r="C16" s="33"/>
      <c r="D16" s="34">
        <v>76</v>
      </c>
      <c r="E16" s="3" t="s">
        <v>1522</v>
      </c>
      <c r="F16" s="3" t="s">
        <v>1559</v>
      </c>
    </row>
    <row r="17" spans="1:4" ht="15.75" customHeight="1" x14ac:dyDescent="0.3">
      <c r="A17" s="35" t="s">
        <v>1560</v>
      </c>
      <c r="B17" s="36"/>
      <c r="C17" s="36"/>
      <c r="D17" s="37">
        <v>1145</v>
      </c>
    </row>
  </sheetData>
  <customSheetViews>
    <customSheetView guid="{1F0BA76F-E870-4F61-B1EE-BE05A9E18180}" filter="1" showAutoFilter="1">
      <pageMargins left="0.7" right="0.7" top="0.75" bottom="0.75" header="0.3" footer="0.3"/>
      <autoFilter ref="A1:D824"/>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topLeftCell="A58" workbookViewId="0"/>
  </sheetViews>
  <sheetFormatPr defaultColWidth="12.61328125" defaultRowHeight="15.75" customHeight="1" x14ac:dyDescent="0.3"/>
  <cols>
    <col min="1" max="1" width="23.765625" customWidth="1"/>
    <col min="2" max="2" width="44.61328125" customWidth="1"/>
    <col min="3" max="3" width="33.61328125" customWidth="1"/>
  </cols>
  <sheetData>
    <row r="1" spans="1:3" ht="15.75" customHeight="1" x14ac:dyDescent="0.3">
      <c r="A1" s="9" t="s">
        <v>0</v>
      </c>
      <c r="B1" s="9" t="s">
        <v>1</v>
      </c>
      <c r="C1" s="9" t="s">
        <v>2</v>
      </c>
    </row>
    <row r="2" spans="1:3" ht="15.75" customHeight="1" x14ac:dyDescent="0.4">
      <c r="A2" s="7" t="s">
        <v>61</v>
      </c>
      <c r="B2" s="4" t="s">
        <v>62</v>
      </c>
      <c r="C2" s="4" t="s">
        <v>9</v>
      </c>
    </row>
    <row r="3" spans="1:3" ht="15.75" customHeight="1" x14ac:dyDescent="0.4">
      <c r="A3" s="7" t="s">
        <v>102</v>
      </c>
      <c r="B3" s="4" t="s">
        <v>103</v>
      </c>
      <c r="C3" s="4" t="s">
        <v>52</v>
      </c>
    </row>
    <row r="4" spans="1:3" ht="15.75" customHeight="1" x14ac:dyDescent="0.4">
      <c r="A4" s="7" t="s">
        <v>111</v>
      </c>
      <c r="B4" s="4" t="s">
        <v>112</v>
      </c>
      <c r="C4" s="4" t="s">
        <v>58</v>
      </c>
    </row>
    <row r="5" spans="1:3" ht="15.75" customHeight="1" x14ac:dyDescent="0.4">
      <c r="A5" s="7" t="s">
        <v>115</v>
      </c>
      <c r="B5" s="4" t="s">
        <v>116</v>
      </c>
      <c r="C5" s="4" t="s">
        <v>55</v>
      </c>
    </row>
    <row r="6" spans="1:3" ht="15.75" customHeight="1" x14ac:dyDescent="0.4">
      <c r="A6" s="7" t="s">
        <v>125</v>
      </c>
      <c r="B6" s="4" t="s">
        <v>126</v>
      </c>
      <c r="C6" s="4" t="s">
        <v>15</v>
      </c>
    </row>
    <row r="7" spans="1:3" ht="15.75" customHeight="1" x14ac:dyDescent="0.4">
      <c r="A7" s="7" t="s">
        <v>150</v>
      </c>
      <c r="B7" s="4" t="s">
        <v>151</v>
      </c>
      <c r="C7" s="4" t="s">
        <v>9</v>
      </c>
    </row>
    <row r="8" spans="1:3" ht="15.75" customHeight="1" x14ac:dyDescent="0.4">
      <c r="A8" s="7" t="s">
        <v>179</v>
      </c>
      <c r="B8" s="4" t="s">
        <v>180</v>
      </c>
      <c r="C8" s="4" t="s">
        <v>18</v>
      </c>
    </row>
    <row r="9" spans="1:3" ht="15.75" customHeight="1" x14ac:dyDescent="0.4">
      <c r="A9" s="7" t="s">
        <v>198</v>
      </c>
      <c r="B9" s="4" t="s">
        <v>191</v>
      </c>
      <c r="C9" s="4" t="s">
        <v>65</v>
      </c>
    </row>
    <row r="10" spans="1:3" ht="15.75" customHeight="1" x14ac:dyDescent="0.4">
      <c r="A10" s="7" t="s">
        <v>1362</v>
      </c>
      <c r="B10" s="4" t="s">
        <v>1357</v>
      </c>
      <c r="C10" s="4" t="s">
        <v>65</v>
      </c>
    </row>
    <row r="11" spans="1:3" ht="15.75" customHeight="1" x14ac:dyDescent="0.4">
      <c r="A11" s="7" t="s">
        <v>1413</v>
      </c>
      <c r="B11" s="4" t="s">
        <v>1355</v>
      </c>
      <c r="C11" s="4" t="s">
        <v>68</v>
      </c>
    </row>
    <row r="12" spans="1:3" ht="15.75" customHeight="1" x14ac:dyDescent="0.4">
      <c r="A12" s="7" t="s">
        <v>1418</v>
      </c>
      <c r="B12" s="4" t="s">
        <v>1355</v>
      </c>
      <c r="C12" s="4" t="s">
        <v>34</v>
      </c>
    </row>
    <row r="13" spans="1:3" ht="15.75" customHeight="1" x14ac:dyDescent="0.4">
      <c r="A13" s="7" t="s">
        <v>1426</v>
      </c>
      <c r="B13" s="4" t="s">
        <v>1427</v>
      </c>
      <c r="C13" s="4" t="s">
        <v>15</v>
      </c>
    </row>
    <row r="14" spans="1:3" ht="15.75" customHeight="1" x14ac:dyDescent="0.4">
      <c r="A14" s="7" t="s">
        <v>1440</v>
      </c>
      <c r="B14" s="4" t="s">
        <v>1427</v>
      </c>
      <c r="C14" s="4" t="s">
        <v>68</v>
      </c>
    </row>
    <row r="15" spans="1:3" ht="15.75" customHeight="1" x14ac:dyDescent="0.4">
      <c r="A15" s="7" t="s">
        <v>217</v>
      </c>
      <c r="B15" s="4" t="s">
        <v>5</v>
      </c>
      <c r="C15" s="4" t="s">
        <v>47</v>
      </c>
    </row>
    <row r="16" spans="1:3" ht="15.75" customHeight="1" x14ac:dyDescent="0.4">
      <c r="A16" s="7" t="s">
        <v>1443</v>
      </c>
      <c r="B16" s="4" t="s">
        <v>1429</v>
      </c>
      <c r="C16" s="4" t="s">
        <v>15</v>
      </c>
    </row>
    <row r="17" spans="1:3" ht="15.75" customHeight="1" x14ac:dyDescent="0.4">
      <c r="A17" s="7" t="s">
        <v>1477</v>
      </c>
      <c r="B17" s="4" t="s">
        <v>1478</v>
      </c>
      <c r="C17" s="4" t="s">
        <v>9</v>
      </c>
    </row>
    <row r="18" spans="1:3" ht="15.75" customHeight="1" x14ac:dyDescent="0.4">
      <c r="A18" s="7" t="s">
        <v>1479</v>
      </c>
      <c r="B18" s="4" t="s">
        <v>1480</v>
      </c>
      <c r="C18" s="4" t="s">
        <v>68</v>
      </c>
    </row>
    <row r="19" spans="1:3" ht="15.75" customHeight="1" x14ac:dyDescent="0.4">
      <c r="A19" s="7" t="s">
        <v>1508</v>
      </c>
      <c r="B19" s="4" t="s">
        <v>1505</v>
      </c>
      <c r="C19" s="4" t="s">
        <v>65</v>
      </c>
    </row>
    <row r="20" spans="1:3" ht="15.75" customHeight="1" x14ac:dyDescent="0.4">
      <c r="A20" s="7" t="s">
        <v>304</v>
      </c>
      <c r="B20" s="4" t="s">
        <v>305</v>
      </c>
      <c r="C20" s="4" t="s">
        <v>55</v>
      </c>
    </row>
    <row r="21" spans="1:3" ht="15.75" customHeight="1" x14ac:dyDescent="0.4">
      <c r="A21" s="7" t="s">
        <v>325</v>
      </c>
      <c r="B21" s="4" t="s">
        <v>300</v>
      </c>
      <c r="C21" s="4" t="s">
        <v>47</v>
      </c>
    </row>
    <row r="22" spans="1:3" ht="15.75" customHeight="1" x14ac:dyDescent="0.4">
      <c r="A22" s="7" t="s">
        <v>330</v>
      </c>
      <c r="B22" s="4" t="s">
        <v>20</v>
      </c>
      <c r="C22" s="4" t="s">
        <v>24</v>
      </c>
    </row>
    <row r="23" spans="1:3" ht="15.75" customHeight="1" x14ac:dyDescent="0.4">
      <c r="A23" s="7" t="s">
        <v>384</v>
      </c>
      <c r="B23" s="4" t="s">
        <v>363</v>
      </c>
      <c r="C23" s="4" t="s">
        <v>18</v>
      </c>
    </row>
    <row r="24" spans="1:3" ht="15.75" customHeight="1" x14ac:dyDescent="0.4">
      <c r="A24" s="7" t="s">
        <v>385</v>
      </c>
      <c r="B24" s="4" t="s">
        <v>252</v>
      </c>
      <c r="C24" s="4" t="s">
        <v>29</v>
      </c>
    </row>
    <row r="25" spans="1:3" ht="15.75" customHeight="1" x14ac:dyDescent="0.4">
      <c r="A25" s="7" t="s">
        <v>396</v>
      </c>
      <c r="B25" s="4" t="s">
        <v>164</v>
      </c>
      <c r="C25" s="4" t="s">
        <v>15</v>
      </c>
    </row>
    <row r="26" spans="1:3" ht="15.75" customHeight="1" x14ac:dyDescent="0.4">
      <c r="A26" s="7" t="s">
        <v>431</v>
      </c>
      <c r="B26" s="4" t="s">
        <v>40</v>
      </c>
      <c r="C26" s="4" t="s">
        <v>34</v>
      </c>
    </row>
    <row r="27" spans="1:3" ht="15.75" customHeight="1" x14ac:dyDescent="0.4">
      <c r="A27" s="7" t="s">
        <v>466</v>
      </c>
      <c r="B27" s="4" t="s">
        <v>467</v>
      </c>
      <c r="C27" s="4" t="s">
        <v>6</v>
      </c>
    </row>
    <row r="28" spans="1:3" ht="15.75" customHeight="1" x14ac:dyDescent="0.4">
      <c r="A28" s="7" t="s">
        <v>502</v>
      </c>
      <c r="B28" s="4" t="s">
        <v>322</v>
      </c>
      <c r="C28" s="4" t="s">
        <v>24</v>
      </c>
    </row>
    <row r="29" spans="1:3" ht="15.75" customHeight="1" x14ac:dyDescent="0.4">
      <c r="A29" s="7" t="s">
        <v>509</v>
      </c>
      <c r="B29" s="4" t="s">
        <v>176</v>
      </c>
      <c r="C29" s="4" t="s">
        <v>47</v>
      </c>
    </row>
    <row r="30" spans="1:3" ht="15.75" customHeight="1" x14ac:dyDescent="0.4">
      <c r="A30" s="7" t="s">
        <v>517</v>
      </c>
      <c r="B30" s="4" t="s">
        <v>202</v>
      </c>
      <c r="C30" s="4" t="s">
        <v>55</v>
      </c>
    </row>
    <row r="31" spans="1:3" ht="15.75" customHeight="1" x14ac:dyDescent="0.4">
      <c r="A31" s="7" t="s">
        <v>520</v>
      </c>
      <c r="B31" s="4" t="s">
        <v>98</v>
      </c>
      <c r="C31" s="4" t="s">
        <v>9</v>
      </c>
    </row>
    <row r="32" spans="1:3" ht="15.75" customHeight="1" x14ac:dyDescent="0.4">
      <c r="A32" s="7" t="s">
        <v>538</v>
      </c>
      <c r="B32" s="4" t="s">
        <v>539</v>
      </c>
      <c r="C32" s="4" t="s">
        <v>68</v>
      </c>
    </row>
    <row r="33" spans="1:3" ht="15.75" customHeight="1" x14ac:dyDescent="0.4">
      <c r="A33" s="7" t="s">
        <v>546</v>
      </c>
      <c r="B33" s="4" t="s">
        <v>259</v>
      </c>
      <c r="C33" s="4" t="s">
        <v>18</v>
      </c>
    </row>
    <row r="34" spans="1:3" ht="15.75" customHeight="1" x14ac:dyDescent="0.4">
      <c r="A34" s="7" t="s">
        <v>553</v>
      </c>
      <c r="B34" s="4" t="s">
        <v>554</v>
      </c>
      <c r="C34" s="4" t="s">
        <v>12</v>
      </c>
    </row>
    <row r="35" spans="1:3" ht="15.75" customHeight="1" x14ac:dyDescent="0.4">
      <c r="A35" s="7" t="s">
        <v>558</v>
      </c>
      <c r="B35" s="4" t="s">
        <v>14</v>
      </c>
      <c r="C35" s="4" t="s">
        <v>9</v>
      </c>
    </row>
    <row r="36" spans="1:3" ht="15.75" customHeight="1" x14ac:dyDescent="0.4">
      <c r="A36" s="7" t="s">
        <v>580</v>
      </c>
      <c r="B36" s="4" t="s">
        <v>545</v>
      </c>
      <c r="C36" s="4" t="s">
        <v>18</v>
      </c>
    </row>
    <row r="37" spans="1:3" ht="14.6" x14ac:dyDescent="0.4">
      <c r="A37" s="7" t="s">
        <v>630</v>
      </c>
      <c r="B37" s="4" t="s">
        <v>631</v>
      </c>
      <c r="C37" s="4" t="s">
        <v>68</v>
      </c>
    </row>
    <row r="38" spans="1:3" ht="14.6" x14ac:dyDescent="0.4">
      <c r="A38" s="7" t="s">
        <v>676</v>
      </c>
      <c r="B38" s="4" t="s">
        <v>98</v>
      </c>
      <c r="C38" s="4" t="s">
        <v>18</v>
      </c>
    </row>
    <row r="39" spans="1:3" ht="14.6" x14ac:dyDescent="0.4">
      <c r="A39" s="7" t="s">
        <v>689</v>
      </c>
      <c r="B39" s="4" t="s">
        <v>690</v>
      </c>
      <c r="C39" s="4" t="s">
        <v>34</v>
      </c>
    </row>
    <row r="40" spans="1:3" ht="14.6" x14ac:dyDescent="0.4">
      <c r="A40" s="7" t="s">
        <v>691</v>
      </c>
      <c r="B40" s="4" t="s">
        <v>603</v>
      </c>
      <c r="C40" s="4" t="s">
        <v>55</v>
      </c>
    </row>
    <row r="41" spans="1:3" ht="14.6" x14ac:dyDescent="0.4">
      <c r="A41" s="7" t="s">
        <v>711</v>
      </c>
      <c r="B41" s="4" t="s">
        <v>448</v>
      </c>
      <c r="C41" s="4" t="s">
        <v>47</v>
      </c>
    </row>
    <row r="42" spans="1:3" ht="14.6" x14ac:dyDescent="0.4">
      <c r="A42" s="7" t="s">
        <v>734</v>
      </c>
      <c r="B42" s="4" t="s">
        <v>118</v>
      </c>
      <c r="C42" s="4" t="s">
        <v>34</v>
      </c>
    </row>
    <row r="43" spans="1:3" ht="14.6" x14ac:dyDescent="0.4">
      <c r="A43" s="7" t="s">
        <v>752</v>
      </c>
      <c r="B43" s="4" t="s">
        <v>40</v>
      </c>
      <c r="C43" s="4" t="s">
        <v>12</v>
      </c>
    </row>
    <row r="44" spans="1:3" ht="14.6" x14ac:dyDescent="0.4">
      <c r="A44" s="7" t="s">
        <v>774</v>
      </c>
      <c r="B44" s="4" t="s">
        <v>775</v>
      </c>
      <c r="C44" s="4" t="s">
        <v>65</v>
      </c>
    </row>
    <row r="45" spans="1:3" ht="14.6" x14ac:dyDescent="0.4">
      <c r="A45" s="7" t="s">
        <v>781</v>
      </c>
      <c r="B45" s="4" t="s">
        <v>23</v>
      </c>
      <c r="C45" s="4" t="s">
        <v>52</v>
      </c>
    </row>
    <row r="46" spans="1:3" ht="14.6" x14ac:dyDescent="0.4">
      <c r="A46" s="7" t="s">
        <v>810</v>
      </c>
      <c r="B46" s="4" t="s">
        <v>811</v>
      </c>
      <c r="C46" s="4" t="s">
        <v>12</v>
      </c>
    </row>
    <row r="47" spans="1:3" ht="14.6" x14ac:dyDescent="0.4">
      <c r="A47" s="7" t="s">
        <v>812</v>
      </c>
      <c r="B47" s="4" t="s">
        <v>232</v>
      </c>
      <c r="C47" s="4" t="s">
        <v>6</v>
      </c>
    </row>
    <row r="48" spans="1:3" ht="14.6" x14ac:dyDescent="0.4">
      <c r="A48" s="7" t="s">
        <v>814</v>
      </c>
      <c r="B48" s="4" t="s">
        <v>259</v>
      </c>
      <c r="C48" s="4" t="s">
        <v>18</v>
      </c>
    </row>
    <row r="49" spans="1:3" ht="14.6" x14ac:dyDescent="0.4">
      <c r="A49" s="7" t="s">
        <v>820</v>
      </c>
      <c r="B49" s="4" t="s">
        <v>144</v>
      </c>
      <c r="C49" s="4" t="s">
        <v>15</v>
      </c>
    </row>
    <row r="50" spans="1:3" ht="14.6" x14ac:dyDescent="0.4">
      <c r="A50" s="7" t="s">
        <v>825</v>
      </c>
      <c r="B50" s="4" t="s">
        <v>426</v>
      </c>
      <c r="C50" s="4" t="s">
        <v>21</v>
      </c>
    </row>
    <row r="51" spans="1:3" ht="14.6" x14ac:dyDescent="0.4">
      <c r="A51" s="7" t="s">
        <v>832</v>
      </c>
      <c r="B51" s="4" t="s">
        <v>578</v>
      </c>
      <c r="C51" s="4" t="s">
        <v>68</v>
      </c>
    </row>
    <row r="52" spans="1:3" ht="14.6" x14ac:dyDescent="0.4">
      <c r="A52" s="7" t="s">
        <v>846</v>
      </c>
      <c r="B52" s="4" t="s">
        <v>160</v>
      </c>
      <c r="C52" s="4" t="s">
        <v>12</v>
      </c>
    </row>
    <row r="53" spans="1:3" ht="14.6" x14ac:dyDescent="0.4">
      <c r="A53" s="7" t="s">
        <v>853</v>
      </c>
      <c r="B53" s="4" t="s">
        <v>552</v>
      </c>
      <c r="C53" s="4" t="s">
        <v>34</v>
      </c>
    </row>
    <row r="54" spans="1:3" ht="14.6" x14ac:dyDescent="0.4">
      <c r="A54" s="7" t="s">
        <v>905</v>
      </c>
      <c r="B54" s="4" t="s">
        <v>221</v>
      </c>
      <c r="C54" s="4" t="s">
        <v>12</v>
      </c>
    </row>
    <row r="55" spans="1:3" ht="14.6" x14ac:dyDescent="0.4">
      <c r="A55" s="7" t="s">
        <v>906</v>
      </c>
      <c r="B55" s="4" t="s">
        <v>182</v>
      </c>
      <c r="C55" s="4" t="s">
        <v>65</v>
      </c>
    </row>
    <row r="56" spans="1:3" ht="14.6" x14ac:dyDescent="0.4">
      <c r="A56" s="7" t="s">
        <v>924</v>
      </c>
      <c r="B56" s="4" t="s">
        <v>694</v>
      </c>
      <c r="C56" s="4" t="s">
        <v>29</v>
      </c>
    </row>
    <row r="57" spans="1:3" ht="14.6" x14ac:dyDescent="0.4">
      <c r="A57" s="7" t="s">
        <v>946</v>
      </c>
      <c r="B57" s="4" t="s">
        <v>93</v>
      </c>
      <c r="C57" s="4" t="s">
        <v>12</v>
      </c>
    </row>
    <row r="58" spans="1:3" ht="14.6" x14ac:dyDescent="0.4">
      <c r="A58" s="7" t="s">
        <v>958</v>
      </c>
      <c r="B58" s="4" t="s">
        <v>259</v>
      </c>
      <c r="C58" s="4" t="s">
        <v>21</v>
      </c>
    </row>
    <row r="59" spans="1:3" ht="14.6" x14ac:dyDescent="0.4">
      <c r="A59" s="7" t="s">
        <v>964</v>
      </c>
      <c r="B59" s="4" t="s">
        <v>428</v>
      </c>
      <c r="C59" s="4" t="s">
        <v>6</v>
      </c>
    </row>
    <row r="60" spans="1:3" ht="14.6" x14ac:dyDescent="0.4">
      <c r="A60" s="7" t="s">
        <v>967</v>
      </c>
      <c r="B60" s="4" t="s">
        <v>252</v>
      </c>
      <c r="C60" s="4" t="s">
        <v>55</v>
      </c>
    </row>
    <row r="61" spans="1:3" ht="14.6" x14ac:dyDescent="0.4">
      <c r="A61" s="7" t="s">
        <v>1042</v>
      </c>
      <c r="B61" s="4" t="s">
        <v>1038</v>
      </c>
      <c r="C61" s="4" t="s">
        <v>9</v>
      </c>
    </row>
    <row r="62" spans="1:3" ht="14.6" x14ac:dyDescent="0.4">
      <c r="A62" s="7" t="s">
        <v>1061</v>
      </c>
      <c r="B62" s="4" t="s">
        <v>1062</v>
      </c>
      <c r="C62" s="4" t="s">
        <v>24</v>
      </c>
    </row>
    <row r="63" spans="1:3" ht="14.6" x14ac:dyDescent="0.4">
      <c r="A63" s="7" t="s">
        <v>1071</v>
      </c>
      <c r="B63" s="4" t="s">
        <v>1047</v>
      </c>
      <c r="C63" s="4" t="s">
        <v>52</v>
      </c>
    </row>
    <row r="64" spans="1:3" ht="14.6" x14ac:dyDescent="0.4">
      <c r="A64" s="7" t="s">
        <v>1079</v>
      </c>
      <c r="B64" s="4" t="s">
        <v>1080</v>
      </c>
      <c r="C64" s="4" t="s">
        <v>12</v>
      </c>
    </row>
    <row r="65" spans="1:3" ht="14.6" x14ac:dyDescent="0.4">
      <c r="A65" s="7" t="s">
        <v>1111</v>
      </c>
      <c r="B65" s="4" t="s">
        <v>1029</v>
      </c>
      <c r="C65" s="4" t="s">
        <v>58</v>
      </c>
    </row>
    <row r="66" spans="1:3" ht="14.6" x14ac:dyDescent="0.4">
      <c r="A66" s="7" t="s">
        <v>1133</v>
      </c>
      <c r="B66" s="4" t="s">
        <v>1080</v>
      </c>
      <c r="C66" s="4" t="s">
        <v>47</v>
      </c>
    </row>
    <row r="67" spans="1:3" ht="14.6" x14ac:dyDescent="0.4">
      <c r="A67" s="7" t="s">
        <v>1136</v>
      </c>
      <c r="B67" s="4" t="s">
        <v>1074</v>
      </c>
      <c r="C67" s="4" t="s">
        <v>15</v>
      </c>
    </row>
    <row r="68" spans="1:3" ht="14.6" x14ac:dyDescent="0.4">
      <c r="A68" s="7" t="s">
        <v>1184</v>
      </c>
      <c r="B68" s="4" t="s">
        <v>1183</v>
      </c>
      <c r="C68" s="4" t="s">
        <v>21</v>
      </c>
    </row>
    <row r="69" spans="1:3" ht="14.6" x14ac:dyDescent="0.4">
      <c r="A69" s="7" t="s">
        <v>1186</v>
      </c>
      <c r="B69" s="4" t="s">
        <v>1167</v>
      </c>
      <c r="C69" s="4" t="s">
        <v>65</v>
      </c>
    </row>
    <row r="70" spans="1:3" ht="14.6" x14ac:dyDescent="0.4">
      <c r="A70" s="7" t="s">
        <v>1199</v>
      </c>
      <c r="B70" s="4" t="s">
        <v>1200</v>
      </c>
      <c r="C70" s="4" t="s">
        <v>18</v>
      </c>
    </row>
    <row r="71" spans="1:3" ht="14.6" x14ac:dyDescent="0.4">
      <c r="A71" s="7" t="s">
        <v>1207</v>
      </c>
      <c r="B71" s="4" t="s">
        <v>1156</v>
      </c>
      <c r="C71" s="4" t="s">
        <v>29</v>
      </c>
    </row>
    <row r="72" spans="1:3" ht="14.6" x14ac:dyDescent="0.4">
      <c r="A72" s="7" t="s">
        <v>1216</v>
      </c>
      <c r="B72" s="4" t="s">
        <v>1217</v>
      </c>
      <c r="C72" s="4" t="s">
        <v>18</v>
      </c>
    </row>
    <row r="73" spans="1:3" ht="14.6" x14ac:dyDescent="0.4">
      <c r="A73" s="7" t="s">
        <v>1253</v>
      </c>
      <c r="B73" s="4" t="s">
        <v>1169</v>
      </c>
      <c r="C73" s="4" t="s">
        <v>12</v>
      </c>
    </row>
    <row r="74" spans="1:3" ht="14.6" x14ac:dyDescent="0.4">
      <c r="A74" s="7" t="s">
        <v>1255</v>
      </c>
      <c r="B74" s="4" t="s">
        <v>1256</v>
      </c>
      <c r="C74" s="4" t="s">
        <v>21</v>
      </c>
    </row>
    <row r="75" spans="1:3" ht="14.6" x14ac:dyDescent="0.4">
      <c r="A75" s="7" t="s">
        <v>1274</v>
      </c>
      <c r="B75" s="4" t="s">
        <v>1258</v>
      </c>
      <c r="C75" s="4" t="s">
        <v>65</v>
      </c>
    </row>
    <row r="76" spans="1:3" ht="14.6" x14ac:dyDescent="0.4">
      <c r="A76" s="7" t="s">
        <v>1280</v>
      </c>
      <c r="B76" s="4" t="s">
        <v>1268</v>
      </c>
      <c r="C76" s="4" t="s">
        <v>18</v>
      </c>
    </row>
    <row r="77" spans="1:3" ht="14.6" x14ac:dyDescent="0.4">
      <c r="A77" s="7" t="s">
        <v>1281</v>
      </c>
      <c r="B77" s="4" t="s">
        <v>1268</v>
      </c>
      <c r="C77" s="4" t="s">
        <v>18</v>
      </c>
    </row>
    <row r="78" spans="1:3" ht="14.6" x14ac:dyDescent="0.4">
      <c r="A78" s="7" t="s">
        <v>1284</v>
      </c>
      <c r="B78" s="4" t="s">
        <v>1268</v>
      </c>
      <c r="C78" s="4" t="s">
        <v>52</v>
      </c>
    </row>
    <row r="79" spans="1:3" ht="14.6" x14ac:dyDescent="0.4">
      <c r="A79" s="7" t="s">
        <v>1290</v>
      </c>
      <c r="B79" s="4" t="s">
        <v>1256</v>
      </c>
      <c r="C79" s="4" t="s">
        <v>29</v>
      </c>
    </row>
    <row r="80" spans="1:3" ht="14.6" x14ac:dyDescent="0.4">
      <c r="A80" s="7" t="s">
        <v>1295</v>
      </c>
      <c r="B80" s="4" t="s">
        <v>1256</v>
      </c>
      <c r="C80" s="4" t="s">
        <v>21</v>
      </c>
    </row>
    <row r="81" spans="1:3" ht="14.6" x14ac:dyDescent="0.4">
      <c r="A81" s="7" t="s">
        <v>1329</v>
      </c>
      <c r="B81" s="4" t="s">
        <v>1258</v>
      </c>
      <c r="C81" s="4" t="s">
        <v>24</v>
      </c>
    </row>
    <row r="82" spans="1:3" ht="12.45" x14ac:dyDescent="0.3">
      <c r="A82" s="7"/>
      <c r="B82" s="7"/>
      <c r="C82" s="7"/>
    </row>
    <row r="83" spans="1:3" ht="12.45" x14ac:dyDescent="0.3">
      <c r="A83" s="7"/>
      <c r="B83" s="7"/>
      <c r="C83" s="7"/>
    </row>
    <row r="84" spans="1:3" ht="12.45" x14ac:dyDescent="0.3">
      <c r="A84" s="7"/>
      <c r="B84" s="7"/>
      <c r="C84" s="7"/>
    </row>
    <row r="85" spans="1:3" ht="12.45" x14ac:dyDescent="0.3">
      <c r="A85" s="7"/>
      <c r="B85" s="7"/>
      <c r="C85" s="7"/>
    </row>
    <row r="86" spans="1:3" ht="12.45" x14ac:dyDescent="0.3">
      <c r="A86" s="7"/>
      <c r="B86" s="7"/>
      <c r="C86" s="7"/>
    </row>
    <row r="87" spans="1:3" ht="12.45" x14ac:dyDescent="0.3">
      <c r="A87" s="7"/>
      <c r="B87" s="7"/>
      <c r="C87" s="7"/>
    </row>
    <row r="88" spans="1:3" ht="12.45" x14ac:dyDescent="0.3">
      <c r="A88" s="7"/>
      <c r="B88" s="7"/>
      <c r="C88" s="7"/>
    </row>
    <row r="89" spans="1:3" ht="12.45" x14ac:dyDescent="0.3">
      <c r="A89" s="7"/>
      <c r="B89" s="7"/>
      <c r="C89" s="7"/>
    </row>
    <row r="90" spans="1:3" ht="12.45" x14ac:dyDescent="0.3">
      <c r="A90" s="7"/>
      <c r="B90" s="7"/>
      <c r="C90" s="7"/>
    </row>
    <row r="91" spans="1:3" ht="12.45" x14ac:dyDescent="0.3">
      <c r="A91" s="7"/>
      <c r="B91" s="7"/>
      <c r="C91" s="7"/>
    </row>
    <row r="92" spans="1:3" ht="12.45" x14ac:dyDescent="0.3">
      <c r="A92" s="7"/>
      <c r="B92" s="7"/>
      <c r="C92" s="7"/>
    </row>
    <row r="93" spans="1:3" ht="12.45" x14ac:dyDescent="0.3">
      <c r="A93" s="7"/>
      <c r="B93" s="7"/>
      <c r="C93" s="7"/>
    </row>
    <row r="94" spans="1:3" ht="12.45" x14ac:dyDescent="0.3">
      <c r="A94" s="7"/>
      <c r="B94" s="7"/>
      <c r="C94" s="7"/>
    </row>
    <row r="95" spans="1:3" ht="12.45" x14ac:dyDescent="0.3">
      <c r="A95" s="7"/>
      <c r="B95" s="7"/>
      <c r="C95" s="7"/>
    </row>
    <row r="96" spans="1:3" ht="12.45" x14ac:dyDescent="0.3">
      <c r="A96" s="7"/>
      <c r="B96" s="7"/>
      <c r="C96" s="7"/>
    </row>
    <row r="97" spans="1:3" ht="12.45" x14ac:dyDescent="0.3">
      <c r="A97" s="7"/>
      <c r="B97" s="7"/>
      <c r="C97" s="7"/>
    </row>
    <row r="98" spans="1:3" ht="12.45" x14ac:dyDescent="0.3">
      <c r="A98" s="7"/>
      <c r="B98" s="7"/>
      <c r="C98" s="7"/>
    </row>
    <row r="99" spans="1:3" ht="12.45" x14ac:dyDescent="0.3">
      <c r="A99" s="7"/>
      <c r="B99" s="7"/>
      <c r="C99" s="7"/>
    </row>
    <row r="100" spans="1:3" ht="12.45" x14ac:dyDescent="0.3">
      <c r="A100" s="7"/>
      <c r="B100" s="7"/>
      <c r="C100" s="7"/>
    </row>
    <row r="101" spans="1:3" ht="12.45" x14ac:dyDescent="0.3">
      <c r="A101" s="7"/>
      <c r="B101" s="7"/>
      <c r="C101" s="7"/>
    </row>
    <row r="102" spans="1:3" ht="12.45" x14ac:dyDescent="0.3">
      <c r="A102" s="7"/>
      <c r="B102" s="7"/>
      <c r="C102" s="7"/>
    </row>
    <row r="103" spans="1:3" ht="12.45" x14ac:dyDescent="0.3">
      <c r="A103" s="7"/>
      <c r="B103" s="7"/>
      <c r="C103" s="7"/>
    </row>
    <row r="104" spans="1:3" ht="12.45" x14ac:dyDescent="0.3">
      <c r="A104" s="7"/>
      <c r="B104" s="7"/>
      <c r="C104" s="7"/>
    </row>
    <row r="105" spans="1:3" ht="12.45" x14ac:dyDescent="0.3">
      <c r="A105" s="7"/>
      <c r="B105" s="7"/>
      <c r="C105" s="7"/>
    </row>
    <row r="106" spans="1:3" ht="12.45" x14ac:dyDescent="0.3">
      <c r="A106" s="7"/>
      <c r="B106" s="7"/>
      <c r="C106" s="7"/>
    </row>
    <row r="107" spans="1:3" ht="12.45" x14ac:dyDescent="0.3">
      <c r="A107" s="7"/>
      <c r="B107" s="7"/>
      <c r="C107" s="7"/>
    </row>
    <row r="108" spans="1:3" ht="12.45" x14ac:dyDescent="0.3">
      <c r="A108" s="7"/>
      <c r="B108" s="7"/>
      <c r="C108" s="7"/>
    </row>
    <row r="109" spans="1:3" ht="12.45" x14ac:dyDescent="0.3">
      <c r="A109" s="7"/>
      <c r="B109" s="7"/>
      <c r="C109" s="7"/>
    </row>
    <row r="110" spans="1:3" ht="12.45" x14ac:dyDescent="0.3">
      <c r="A110" s="7"/>
      <c r="B110" s="7"/>
      <c r="C110" s="7"/>
    </row>
    <row r="111" spans="1:3" ht="12.45" x14ac:dyDescent="0.3">
      <c r="A111" s="7"/>
      <c r="B111" s="7"/>
      <c r="C111" s="7"/>
    </row>
    <row r="112" spans="1:3" ht="12.45" x14ac:dyDescent="0.3">
      <c r="A112" s="7"/>
      <c r="B112" s="7"/>
      <c r="C112" s="7"/>
    </row>
    <row r="113" spans="1:3" ht="12.45" x14ac:dyDescent="0.3">
      <c r="A113" s="7"/>
      <c r="B113" s="7"/>
      <c r="C113" s="7"/>
    </row>
    <row r="114" spans="1:3" ht="12.45" x14ac:dyDescent="0.3">
      <c r="A114" s="7"/>
      <c r="B114" s="7"/>
      <c r="C114" s="7"/>
    </row>
    <row r="115" spans="1:3" ht="12.45" x14ac:dyDescent="0.3">
      <c r="A115" s="7"/>
      <c r="B115" s="7"/>
      <c r="C115" s="7"/>
    </row>
    <row r="116" spans="1:3" ht="12.45" x14ac:dyDescent="0.3">
      <c r="A116" s="7"/>
      <c r="B116" s="7"/>
      <c r="C116" s="7"/>
    </row>
    <row r="117" spans="1:3" ht="12.45" x14ac:dyDescent="0.3">
      <c r="A117" s="7"/>
      <c r="B117" s="7"/>
      <c r="C117" s="7"/>
    </row>
    <row r="118" spans="1:3" ht="12.45" x14ac:dyDescent="0.3">
      <c r="A118" s="7"/>
      <c r="B118" s="7"/>
      <c r="C118" s="7"/>
    </row>
    <row r="119" spans="1:3" ht="12.45" x14ac:dyDescent="0.3">
      <c r="A119" s="7"/>
      <c r="B119" s="7"/>
      <c r="C119" s="7"/>
    </row>
    <row r="120" spans="1:3" ht="12.45" x14ac:dyDescent="0.3">
      <c r="A120" s="7"/>
      <c r="B120" s="7"/>
      <c r="C120" s="7"/>
    </row>
    <row r="121" spans="1:3" ht="12.45" x14ac:dyDescent="0.3">
      <c r="A121" s="7"/>
      <c r="B121" s="7"/>
      <c r="C121" s="7"/>
    </row>
    <row r="122" spans="1:3" ht="12.45" x14ac:dyDescent="0.3">
      <c r="A122" s="7"/>
      <c r="B122" s="7"/>
      <c r="C122" s="7"/>
    </row>
    <row r="123" spans="1:3" ht="12.45" x14ac:dyDescent="0.3">
      <c r="A123" s="7"/>
      <c r="B123" s="7"/>
      <c r="C123" s="7"/>
    </row>
    <row r="124" spans="1:3" ht="12.45" x14ac:dyDescent="0.3">
      <c r="A124" s="7"/>
      <c r="B124" s="7"/>
      <c r="C124" s="7"/>
    </row>
    <row r="125" spans="1:3" ht="12.45" x14ac:dyDescent="0.3">
      <c r="A125" s="7"/>
      <c r="B125" s="7"/>
      <c r="C125" s="7"/>
    </row>
    <row r="126" spans="1:3" ht="12.45" x14ac:dyDescent="0.3">
      <c r="A126" s="7"/>
      <c r="B126" s="7"/>
      <c r="C126" s="7"/>
    </row>
    <row r="127" spans="1:3" ht="12.45" x14ac:dyDescent="0.3">
      <c r="A127" s="7"/>
      <c r="B127" s="7"/>
      <c r="C127" s="7"/>
    </row>
    <row r="128" spans="1:3" ht="12.45" x14ac:dyDescent="0.3">
      <c r="A128" s="7"/>
      <c r="B128" s="7"/>
      <c r="C128" s="7"/>
    </row>
    <row r="129" spans="1:3" ht="12.45" x14ac:dyDescent="0.3">
      <c r="A129" s="7"/>
      <c r="B129" s="7"/>
      <c r="C129" s="7"/>
    </row>
    <row r="130" spans="1:3" ht="12.45" x14ac:dyDescent="0.3">
      <c r="A130" s="7"/>
      <c r="B130" s="7"/>
      <c r="C130" s="7"/>
    </row>
    <row r="131" spans="1:3" ht="12.45" x14ac:dyDescent="0.3">
      <c r="A131" s="7"/>
      <c r="B131" s="7"/>
      <c r="C131" s="7"/>
    </row>
    <row r="132" spans="1:3" ht="12.45" x14ac:dyDescent="0.3">
      <c r="A132" s="7"/>
      <c r="B132" s="7"/>
      <c r="C132" s="7"/>
    </row>
    <row r="133" spans="1:3" ht="12.45" x14ac:dyDescent="0.3">
      <c r="A133" s="7"/>
      <c r="B133" s="7"/>
      <c r="C133" s="7"/>
    </row>
    <row r="134" spans="1:3" ht="12.45" x14ac:dyDescent="0.3">
      <c r="A134" s="7"/>
      <c r="B134" s="7"/>
      <c r="C134" s="7"/>
    </row>
    <row r="135" spans="1:3" ht="12.45" x14ac:dyDescent="0.3">
      <c r="A135" s="7"/>
      <c r="B135" s="7"/>
      <c r="C135" s="7"/>
    </row>
    <row r="136" spans="1:3" ht="12.45" x14ac:dyDescent="0.3">
      <c r="A136" s="7"/>
      <c r="B136" s="7"/>
      <c r="C136" s="7"/>
    </row>
    <row r="137" spans="1:3" ht="12.45" x14ac:dyDescent="0.3">
      <c r="A137" s="7"/>
      <c r="B137" s="7"/>
      <c r="C137" s="7"/>
    </row>
    <row r="138" spans="1:3" ht="12.45" x14ac:dyDescent="0.3">
      <c r="A138" s="7"/>
      <c r="B138" s="7"/>
      <c r="C138" s="7"/>
    </row>
    <row r="139" spans="1:3" ht="12.45" x14ac:dyDescent="0.3">
      <c r="A139" s="7"/>
      <c r="B139" s="7"/>
      <c r="C139" s="7"/>
    </row>
    <row r="140" spans="1:3" ht="12.45" x14ac:dyDescent="0.3">
      <c r="A140" s="7"/>
      <c r="B140" s="7"/>
      <c r="C140" s="7"/>
    </row>
    <row r="141" spans="1:3" ht="12.45" x14ac:dyDescent="0.3">
      <c r="A141" s="7"/>
      <c r="B141" s="7"/>
      <c r="C141" s="7"/>
    </row>
    <row r="142" spans="1:3" ht="12.45" x14ac:dyDescent="0.3">
      <c r="A142" s="7"/>
      <c r="B142" s="7"/>
      <c r="C142" s="7"/>
    </row>
    <row r="143" spans="1:3" ht="12.45" x14ac:dyDescent="0.3">
      <c r="A143" s="7"/>
      <c r="B143" s="7"/>
      <c r="C143" s="7"/>
    </row>
    <row r="144" spans="1:3" ht="12.45" x14ac:dyDescent="0.3">
      <c r="A144" s="7"/>
      <c r="B144" s="7"/>
      <c r="C144" s="7"/>
    </row>
    <row r="145" spans="1:3" ht="12.45" x14ac:dyDescent="0.3">
      <c r="A145" s="7"/>
      <c r="B145" s="7"/>
      <c r="C145" s="7"/>
    </row>
    <row r="146" spans="1:3" ht="12.45" x14ac:dyDescent="0.3">
      <c r="A146" s="7"/>
      <c r="B146" s="7"/>
      <c r="C146" s="7"/>
    </row>
    <row r="147" spans="1:3" ht="12.45" x14ac:dyDescent="0.3">
      <c r="A147" s="7"/>
      <c r="B147" s="7"/>
      <c r="C147" s="7"/>
    </row>
    <row r="148" spans="1:3" ht="12.45" x14ac:dyDescent="0.3">
      <c r="A148" s="7"/>
      <c r="B148" s="7"/>
      <c r="C148" s="7"/>
    </row>
    <row r="149" spans="1:3" ht="12.45" x14ac:dyDescent="0.3">
      <c r="A149" s="7"/>
      <c r="B149" s="7"/>
      <c r="C149" s="7"/>
    </row>
    <row r="150" spans="1:3" ht="12.45" x14ac:dyDescent="0.3">
      <c r="A150" s="7"/>
      <c r="B150" s="7"/>
      <c r="C150" s="7"/>
    </row>
    <row r="151" spans="1:3" ht="12.45" x14ac:dyDescent="0.3">
      <c r="A151" s="7"/>
      <c r="B151" s="7"/>
      <c r="C151" s="7"/>
    </row>
    <row r="152" spans="1:3" ht="12.45" x14ac:dyDescent="0.3">
      <c r="A152" s="7"/>
      <c r="B152" s="7"/>
      <c r="C152" s="7"/>
    </row>
    <row r="153" spans="1:3" ht="12.45" x14ac:dyDescent="0.3">
      <c r="A153" s="7"/>
      <c r="B153" s="7"/>
      <c r="C153" s="7"/>
    </row>
    <row r="154" spans="1:3" ht="12.45" x14ac:dyDescent="0.3">
      <c r="A154" s="7"/>
      <c r="B154" s="7"/>
      <c r="C154" s="7"/>
    </row>
    <row r="155" spans="1:3" ht="12.45" x14ac:dyDescent="0.3">
      <c r="A155" s="7"/>
      <c r="B155" s="7"/>
      <c r="C155" s="7"/>
    </row>
    <row r="156" spans="1:3" ht="12.45" x14ac:dyDescent="0.3">
      <c r="A156" s="7"/>
      <c r="B156" s="7"/>
      <c r="C156" s="7"/>
    </row>
    <row r="157" spans="1:3" ht="12.45" x14ac:dyDescent="0.3">
      <c r="A157" s="7"/>
      <c r="B157" s="7"/>
      <c r="C157" s="7"/>
    </row>
    <row r="158" spans="1:3" ht="12.45" x14ac:dyDescent="0.3">
      <c r="A158" s="7"/>
      <c r="B158" s="7"/>
      <c r="C158" s="7"/>
    </row>
    <row r="159" spans="1:3" ht="12.45" x14ac:dyDescent="0.3">
      <c r="A159" s="7"/>
      <c r="B159" s="7"/>
      <c r="C159" s="7"/>
    </row>
    <row r="160" spans="1:3" ht="12.45" x14ac:dyDescent="0.3">
      <c r="A160" s="7"/>
      <c r="B160" s="7"/>
      <c r="C160" s="7"/>
    </row>
    <row r="161" spans="1:3" ht="12.45" x14ac:dyDescent="0.3">
      <c r="A161" s="7"/>
      <c r="B161" s="7"/>
      <c r="C161" s="7"/>
    </row>
    <row r="162" spans="1:3" ht="12.45" x14ac:dyDescent="0.3">
      <c r="A162" s="7"/>
      <c r="B162" s="7"/>
      <c r="C162" s="7"/>
    </row>
    <row r="163" spans="1:3" ht="12.45" x14ac:dyDescent="0.3">
      <c r="A163" s="7"/>
      <c r="B163" s="7"/>
      <c r="C163" s="7"/>
    </row>
    <row r="164" spans="1:3" ht="12.45" x14ac:dyDescent="0.3">
      <c r="A164" s="7"/>
      <c r="B164" s="7"/>
      <c r="C164" s="7"/>
    </row>
    <row r="165" spans="1:3" ht="12.45" x14ac:dyDescent="0.3">
      <c r="A165" s="7"/>
      <c r="B165" s="7"/>
      <c r="C165" s="7"/>
    </row>
    <row r="166" spans="1:3" ht="12.45" x14ac:dyDescent="0.3">
      <c r="A166" s="7"/>
      <c r="B166" s="7"/>
      <c r="C166" s="7"/>
    </row>
    <row r="167" spans="1:3" ht="12.45" x14ac:dyDescent="0.3">
      <c r="A167" s="7"/>
      <c r="B167" s="7"/>
      <c r="C167" s="7"/>
    </row>
    <row r="168" spans="1:3" ht="12.45" x14ac:dyDescent="0.3">
      <c r="A168" s="7"/>
      <c r="B168" s="7"/>
      <c r="C168" s="7"/>
    </row>
    <row r="169" spans="1:3" ht="12.45" x14ac:dyDescent="0.3">
      <c r="A169" s="7"/>
      <c r="B169" s="7"/>
      <c r="C169" s="7"/>
    </row>
    <row r="170" spans="1:3" ht="12.45" x14ac:dyDescent="0.3">
      <c r="A170" s="7"/>
      <c r="B170" s="7"/>
      <c r="C170" s="7"/>
    </row>
    <row r="171" spans="1:3" ht="12.45" x14ac:dyDescent="0.3">
      <c r="A171" s="7"/>
      <c r="B171" s="7"/>
      <c r="C171" s="7"/>
    </row>
    <row r="172" spans="1:3" ht="12.45" x14ac:dyDescent="0.3">
      <c r="A172" s="7"/>
      <c r="B172" s="7"/>
      <c r="C172" s="7"/>
    </row>
    <row r="173" spans="1:3" ht="12.45" x14ac:dyDescent="0.3">
      <c r="A173" s="7"/>
      <c r="B173" s="7"/>
      <c r="C173" s="7"/>
    </row>
    <row r="174" spans="1:3" ht="12.45" x14ac:dyDescent="0.3">
      <c r="A174" s="7"/>
      <c r="B174" s="7"/>
      <c r="C174" s="7"/>
    </row>
    <row r="175" spans="1:3" ht="12.45" x14ac:dyDescent="0.3">
      <c r="A175" s="7"/>
      <c r="B175" s="7"/>
      <c r="C175" s="7"/>
    </row>
    <row r="176" spans="1:3" ht="12.45" x14ac:dyDescent="0.3">
      <c r="A176" s="7"/>
      <c r="B176" s="7"/>
      <c r="C176" s="7"/>
    </row>
    <row r="177" spans="1:3" ht="12.45" x14ac:dyDescent="0.3">
      <c r="A177" s="7"/>
      <c r="B177" s="7"/>
      <c r="C177" s="7"/>
    </row>
    <row r="178" spans="1:3" ht="12.45" x14ac:dyDescent="0.3">
      <c r="A178" s="7"/>
      <c r="B178" s="7"/>
      <c r="C178" s="7"/>
    </row>
    <row r="179" spans="1:3" ht="12.45" x14ac:dyDescent="0.3">
      <c r="A179" s="7"/>
      <c r="B179" s="7"/>
      <c r="C179" s="7"/>
    </row>
    <row r="180" spans="1:3" ht="12.45" x14ac:dyDescent="0.3">
      <c r="A180" s="7"/>
      <c r="B180" s="7"/>
      <c r="C180" s="7"/>
    </row>
    <row r="181" spans="1:3" ht="12.45" x14ac:dyDescent="0.3">
      <c r="A181" s="7"/>
      <c r="B181" s="7"/>
      <c r="C181" s="7"/>
    </row>
    <row r="182" spans="1:3" ht="12.45" x14ac:dyDescent="0.3">
      <c r="A182" s="7"/>
      <c r="B182" s="7"/>
      <c r="C182" s="7"/>
    </row>
    <row r="183" spans="1:3" ht="12.45" x14ac:dyDescent="0.3">
      <c r="A183" s="7"/>
      <c r="B183" s="7"/>
      <c r="C183" s="7"/>
    </row>
    <row r="184" spans="1:3" ht="12.45" x14ac:dyDescent="0.3">
      <c r="A184" s="7"/>
      <c r="B184" s="7"/>
      <c r="C184" s="7"/>
    </row>
    <row r="185" spans="1:3" ht="12.45" x14ac:dyDescent="0.3">
      <c r="A185" s="7"/>
      <c r="B185" s="7"/>
      <c r="C185" s="7"/>
    </row>
    <row r="186" spans="1:3" ht="12.45" x14ac:dyDescent="0.3">
      <c r="A186" s="7"/>
      <c r="B186" s="7"/>
      <c r="C186" s="7"/>
    </row>
    <row r="187" spans="1:3" ht="12.45" x14ac:dyDescent="0.3">
      <c r="A187" s="7"/>
      <c r="B187" s="7"/>
      <c r="C187" s="7"/>
    </row>
    <row r="188" spans="1:3" ht="12.45" x14ac:dyDescent="0.3">
      <c r="A188" s="7"/>
      <c r="B188" s="7"/>
      <c r="C188" s="7"/>
    </row>
    <row r="189" spans="1:3" ht="12.45" x14ac:dyDescent="0.3">
      <c r="A189" s="7"/>
      <c r="B189" s="7"/>
      <c r="C189" s="7"/>
    </row>
    <row r="190" spans="1:3" ht="12.45" x14ac:dyDescent="0.3">
      <c r="A190" s="7"/>
      <c r="B190" s="7"/>
      <c r="C190" s="7"/>
    </row>
    <row r="191" spans="1:3" ht="12.45" x14ac:dyDescent="0.3">
      <c r="A191" s="7"/>
      <c r="B191" s="7"/>
      <c r="C191" s="7"/>
    </row>
    <row r="192" spans="1:3" ht="12.45" x14ac:dyDescent="0.3">
      <c r="A192" s="7"/>
      <c r="B192" s="7"/>
      <c r="C192" s="7"/>
    </row>
    <row r="193" spans="1:3" ht="12.45" x14ac:dyDescent="0.3">
      <c r="A193" s="7"/>
      <c r="B193" s="7"/>
      <c r="C193" s="7"/>
    </row>
    <row r="194" spans="1:3" ht="12.45" x14ac:dyDescent="0.3">
      <c r="A194" s="7"/>
      <c r="B194" s="7"/>
      <c r="C194" s="7"/>
    </row>
    <row r="195" spans="1:3" ht="12.45" x14ac:dyDescent="0.3">
      <c r="A195" s="7"/>
      <c r="B195" s="7"/>
      <c r="C195" s="7"/>
    </row>
    <row r="196" spans="1:3" ht="12.45" x14ac:dyDescent="0.3">
      <c r="A196" s="7"/>
      <c r="B196" s="7"/>
      <c r="C196" s="7"/>
    </row>
    <row r="197" spans="1:3" ht="12.45" x14ac:dyDescent="0.3">
      <c r="A197" s="7"/>
      <c r="B197" s="7"/>
      <c r="C197" s="7"/>
    </row>
    <row r="198" spans="1:3" ht="12.45" x14ac:dyDescent="0.3">
      <c r="A198" s="7"/>
      <c r="B198" s="7"/>
      <c r="C198" s="7"/>
    </row>
    <row r="199" spans="1:3" ht="12.45" x14ac:dyDescent="0.3">
      <c r="A199" s="7"/>
      <c r="B199" s="7"/>
      <c r="C199" s="7"/>
    </row>
    <row r="200" spans="1:3" ht="12.45" x14ac:dyDescent="0.3">
      <c r="A200" s="7"/>
      <c r="B200" s="7"/>
      <c r="C200" s="7"/>
    </row>
    <row r="201" spans="1:3" ht="12.45" x14ac:dyDescent="0.3">
      <c r="A201" s="7"/>
      <c r="B201" s="7"/>
      <c r="C201" s="7"/>
    </row>
    <row r="202" spans="1:3" ht="12.45" x14ac:dyDescent="0.3">
      <c r="A202" s="7"/>
      <c r="B202" s="7"/>
      <c r="C202" s="7"/>
    </row>
    <row r="203" spans="1:3" ht="12.45" x14ac:dyDescent="0.3">
      <c r="A203" s="7"/>
      <c r="B203" s="7"/>
      <c r="C203" s="7"/>
    </row>
    <row r="204" spans="1:3" ht="12.45" x14ac:dyDescent="0.3">
      <c r="A204" s="7"/>
      <c r="B204" s="7"/>
      <c r="C204" s="7"/>
    </row>
    <row r="205" spans="1:3" ht="12.45" x14ac:dyDescent="0.3">
      <c r="A205" s="7"/>
      <c r="B205" s="7"/>
      <c r="C205" s="7"/>
    </row>
    <row r="206" spans="1:3" ht="12.45" x14ac:dyDescent="0.3">
      <c r="A206" s="7"/>
      <c r="B206" s="7"/>
      <c r="C206" s="7"/>
    </row>
    <row r="207" spans="1:3" ht="12.45" x14ac:dyDescent="0.3">
      <c r="A207" s="7"/>
      <c r="B207" s="7"/>
      <c r="C207" s="7"/>
    </row>
    <row r="208" spans="1:3" ht="12.45" x14ac:dyDescent="0.3">
      <c r="A208" s="7"/>
      <c r="B208" s="7"/>
      <c r="C208" s="7"/>
    </row>
    <row r="209" spans="1:3" ht="12.45" x14ac:dyDescent="0.3">
      <c r="A209" s="7"/>
      <c r="B209" s="7"/>
      <c r="C209" s="7"/>
    </row>
    <row r="210" spans="1:3" ht="12.45" x14ac:dyDescent="0.3">
      <c r="A210" s="7"/>
      <c r="B210" s="7"/>
      <c r="C210" s="7"/>
    </row>
    <row r="211" spans="1:3" ht="12.45" x14ac:dyDescent="0.3">
      <c r="A211" s="7"/>
      <c r="B211" s="7"/>
      <c r="C211" s="7"/>
    </row>
    <row r="212" spans="1:3" ht="12.45" x14ac:dyDescent="0.3">
      <c r="A212" s="7"/>
      <c r="B212" s="7"/>
      <c r="C212" s="7"/>
    </row>
    <row r="213" spans="1:3" ht="12.45" x14ac:dyDescent="0.3">
      <c r="A213" s="7"/>
      <c r="B213" s="7"/>
      <c r="C213" s="7"/>
    </row>
    <row r="214" spans="1:3" ht="12.45" x14ac:dyDescent="0.3">
      <c r="A214" s="7"/>
      <c r="B214" s="7"/>
      <c r="C214" s="7"/>
    </row>
    <row r="215" spans="1:3" ht="12.45" x14ac:dyDescent="0.3">
      <c r="A215" s="7"/>
      <c r="B215" s="7"/>
      <c r="C215" s="7"/>
    </row>
    <row r="216" spans="1:3" ht="12.45" x14ac:dyDescent="0.3">
      <c r="A216" s="7"/>
      <c r="B216" s="7"/>
      <c r="C216" s="7"/>
    </row>
    <row r="217" spans="1:3" ht="12.45" x14ac:dyDescent="0.3">
      <c r="A217" s="7"/>
      <c r="B217" s="7"/>
      <c r="C217" s="7"/>
    </row>
    <row r="218" spans="1:3" ht="12.45" x14ac:dyDescent="0.3">
      <c r="A218" s="7"/>
      <c r="B218" s="7"/>
      <c r="C218" s="7"/>
    </row>
    <row r="219" spans="1:3" ht="12.45" x14ac:dyDescent="0.3">
      <c r="A219" s="7"/>
      <c r="B219" s="7"/>
      <c r="C219" s="7"/>
    </row>
    <row r="220" spans="1:3" ht="12.45" x14ac:dyDescent="0.3">
      <c r="A220" s="7"/>
      <c r="B220" s="7"/>
      <c r="C220" s="7"/>
    </row>
    <row r="221" spans="1:3" ht="12.45" x14ac:dyDescent="0.3">
      <c r="A221" s="7"/>
      <c r="B221" s="7"/>
      <c r="C221" s="7"/>
    </row>
    <row r="222" spans="1:3" ht="12.45" x14ac:dyDescent="0.3">
      <c r="A222" s="7"/>
      <c r="B222" s="7"/>
      <c r="C222" s="7"/>
    </row>
    <row r="223" spans="1:3" ht="12.45" x14ac:dyDescent="0.3">
      <c r="A223" s="7"/>
      <c r="B223" s="7"/>
      <c r="C223" s="7"/>
    </row>
    <row r="224" spans="1:3" ht="12.45" x14ac:dyDescent="0.3">
      <c r="A224" s="7"/>
      <c r="B224" s="7"/>
      <c r="C224" s="7"/>
    </row>
    <row r="225" spans="1:3" ht="12.45" x14ac:dyDescent="0.3">
      <c r="A225" s="7"/>
      <c r="B225" s="7"/>
      <c r="C225" s="7"/>
    </row>
    <row r="226" spans="1:3" ht="12.45" x14ac:dyDescent="0.3">
      <c r="A226" s="7"/>
      <c r="B226" s="7"/>
      <c r="C226" s="7"/>
    </row>
    <row r="227" spans="1:3" ht="12.45" x14ac:dyDescent="0.3">
      <c r="A227" s="7"/>
      <c r="B227" s="7"/>
      <c r="C227" s="7"/>
    </row>
    <row r="228" spans="1:3" ht="12.45" x14ac:dyDescent="0.3">
      <c r="A228" s="7"/>
      <c r="B228" s="7"/>
      <c r="C228" s="7"/>
    </row>
    <row r="229" spans="1:3" ht="12.45" x14ac:dyDescent="0.3">
      <c r="A229" s="7"/>
      <c r="B229" s="7"/>
      <c r="C229" s="7"/>
    </row>
    <row r="230" spans="1:3" ht="12.45" x14ac:dyDescent="0.3">
      <c r="A230" s="7"/>
      <c r="B230" s="7"/>
      <c r="C230" s="7"/>
    </row>
    <row r="231" spans="1:3" ht="12.45" x14ac:dyDescent="0.3">
      <c r="A231" s="7"/>
      <c r="B231" s="7"/>
      <c r="C231" s="7"/>
    </row>
    <row r="232" spans="1:3" ht="12.45" x14ac:dyDescent="0.3">
      <c r="A232" s="7"/>
      <c r="B232" s="7"/>
      <c r="C232" s="7"/>
    </row>
    <row r="233" spans="1:3" ht="12.45" x14ac:dyDescent="0.3">
      <c r="A233" s="7"/>
      <c r="B233" s="7"/>
      <c r="C233" s="7"/>
    </row>
    <row r="234" spans="1:3" ht="12.45" x14ac:dyDescent="0.3">
      <c r="A234" s="7"/>
      <c r="B234" s="7"/>
      <c r="C234" s="7"/>
    </row>
    <row r="235" spans="1:3" ht="12.45" x14ac:dyDescent="0.3">
      <c r="A235" s="7"/>
      <c r="B235" s="7"/>
      <c r="C235" s="7"/>
    </row>
    <row r="236" spans="1:3" ht="12.45" x14ac:dyDescent="0.3">
      <c r="A236" s="7"/>
      <c r="B236" s="7"/>
      <c r="C236" s="7"/>
    </row>
    <row r="237" spans="1:3" ht="12.45" x14ac:dyDescent="0.3">
      <c r="A237" s="7"/>
      <c r="B237" s="7"/>
      <c r="C237" s="7"/>
    </row>
    <row r="238" spans="1:3" ht="12.45" x14ac:dyDescent="0.3">
      <c r="A238" s="7"/>
      <c r="B238" s="7"/>
      <c r="C238" s="7"/>
    </row>
    <row r="239" spans="1:3" ht="12.45" x14ac:dyDescent="0.3">
      <c r="A239" s="7"/>
      <c r="B239" s="7"/>
      <c r="C239" s="7"/>
    </row>
    <row r="240" spans="1:3" ht="12.45" x14ac:dyDescent="0.3">
      <c r="A240" s="7"/>
      <c r="B240" s="7"/>
      <c r="C240" s="7"/>
    </row>
    <row r="241" spans="1:3" ht="12.45" x14ac:dyDescent="0.3">
      <c r="A241" s="7"/>
      <c r="B241" s="7"/>
      <c r="C241" s="7"/>
    </row>
    <row r="242" spans="1:3" ht="12.45" x14ac:dyDescent="0.3">
      <c r="A242" s="7"/>
      <c r="B242" s="7"/>
      <c r="C242" s="7"/>
    </row>
    <row r="243" spans="1:3" ht="12.45" x14ac:dyDescent="0.3">
      <c r="A243" s="7"/>
      <c r="B243" s="7"/>
      <c r="C243" s="7"/>
    </row>
    <row r="244" spans="1:3" ht="12.45" x14ac:dyDescent="0.3">
      <c r="A244" s="7"/>
      <c r="B244" s="7"/>
      <c r="C244" s="7"/>
    </row>
    <row r="245" spans="1:3" ht="12.45" x14ac:dyDescent="0.3">
      <c r="A245" s="7"/>
      <c r="B245" s="7"/>
      <c r="C245" s="7"/>
    </row>
    <row r="246" spans="1:3" ht="12.45" x14ac:dyDescent="0.3">
      <c r="A246" s="7"/>
      <c r="B246" s="7"/>
      <c r="C246" s="7"/>
    </row>
    <row r="247" spans="1:3" ht="12.45" x14ac:dyDescent="0.3">
      <c r="A247" s="7"/>
      <c r="B247" s="7"/>
      <c r="C247" s="7"/>
    </row>
    <row r="248" spans="1:3" ht="12.45" x14ac:dyDescent="0.3">
      <c r="A248" s="7"/>
      <c r="B248" s="7"/>
      <c r="C248" s="7"/>
    </row>
    <row r="249" spans="1:3" ht="12.45" x14ac:dyDescent="0.3">
      <c r="A249" s="7"/>
      <c r="B249" s="7"/>
      <c r="C249" s="7"/>
    </row>
    <row r="250" spans="1:3" ht="12.45" x14ac:dyDescent="0.3">
      <c r="A250" s="7"/>
      <c r="B250" s="7"/>
      <c r="C250" s="7"/>
    </row>
    <row r="251" spans="1:3" ht="12.45" x14ac:dyDescent="0.3">
      <c r="A251" s="7"/>
      <c r="B251" s="7"/>
      <c r="C251" s="7"/>
    </row>
    <row r="252" spans="1:3" ht="12.45" x14ac:dyDescent="0.3">
      <c r="A252" s="7"/>
      <c r="B252" s="7"/>
      <c r="C252" s="7"/>
    </row>
    <row r="253" spans="1:3" ht="12.45" x14ac:dyDescent="0.3">
      <c r="A253" s="7"/>
      <c r="B253" s="7"/>
      <c r="C253" s="7"/>
    </row>
    <row r="254" spans="1:3" ht="12.45" x14ac:dyDescent="0.3">
      <c r="A254" s="7"/>
      <c r="B254" s="7"/>
      <c r="C254" s="7"/>
    </row>
    <row r="255" spans="1:3" ht="12.45" x14ac:dyDescent="0.3">
      <c r="A255" s="7"/>
      <c r="B255" s="7"/>
      <c r="C255" s="7"/>
    </row>
    <row r="256" spans="1:3" ht="12.45" x14ac:dyDescent="0.3">
      <c r="A256" s="7"/>
      <c r="B256" s="7"/>
      <c r="C256" s="7"/>
    </row>
    <row r="257" spans="1:3" ht="12.45" x14ac:dyDescent="0.3">
      <c r="A257" s="7"/>
      <c r="B257" s="7"/>
      <c r="C257" s="7"/>
    </row>
    <row r="258" spans="1:3" ht="12.45" x14ac:dyDescent="0.3">
      <c r="A258" s="7"/>
      <c r="B258" s="7"/>
      <c r="C258" s="7"/>
    </row>
    <row r="259" spans="1:3" ht="12.45" x14ac:dyDescent="0.3">
      <c r="A259" s="7"/>
      <c r="B259" s="7"/>
      <c r="C259" s="7"/>
    </row>
    <row r="260" spans="1:3" ht="12.45" x14ac:dyDescent="0.3">
      <c r="A260" s="7"/>
      <c r="B260" s="7"/>
      <c r="C260" s="7"/>
    </row>
    <row r="261" spans="1:3" ht="12.45" x14ac:dyDescent="0.3">
      <c r="A261" s="7"/>
      <c r="B261" s="7"/>
      <c r="C261" s="7"/>
    </row>
    <row r="262" spans="1:3" ht="12.45" x14ac:dyDescent="0.3">
      <c r="A262" s="7"/>
      <c r="B262" s="7"/>
      <c r="C262" s="7"/>
    </row>
    <row r="263" spans="1:3" ht="12.45" x14ac:dyDescent="0.3">
      <c r="A263" s="7"/>
      <c r="B263" s="7"/>
      <c r="C263" s="7"/>
    </row>
    <row r="264" spans="1:3" ht="12.45" x14ac:dyDescent="0.3">
      <c r="A264" s="7"/>
      <c r="B264" s="7"/>
      <c r="C264" s="7"/>
    </row>
    <row r="265" spans="1:3" ht="12.45" x14ac:dyDescent="0.3">
      <c r="A265" s="7"/>
      <c r="B265" s="7"/>
      <c r="C265" s="7"/>
    </row>
    <row r="266" spans="1:3" ht="12.45" x14ac:dyDescent="0.3">
      <c r="A266" s="7"/>
      <c r="B266" s="7"/>
      <c r="C266" s="7"/>
    </row>
    <row r="267" spans="1:3" ht="12.45" x14ac:dyDescent="0.3">
      <c r="A267" s="7"/>
      <c r="B267" s="7"/>
      <c r="C267" s="7"/>
    </row>
    <row r="268" spans="1:3" ht="12.45" x14ac:dyDescent="0.3">
      <c r="A268" s="7"/>
      <c r="B268" s="7"/>
      <c r="C268" s="7"/>
    </row>
    <row r="269" spans="1:3" ht="12.45" x14ac:dyDescent="0.3">
      <c r="A269" s="7"/>
      <c r="B269" s="7"/>
      <c r="C269" s="7"/>
    </row>
    <row r="270" spans="1:3" ht="12.45" x14ac:dyDescent="0.3">
      <c r="A270" s="7"/>
      <c r="B270" s="7"/>
      <c r="C270" s="7"/>
    </row>
    <row r="271" spans="1:3" ht="12.45" x14ac:dyDescent="0.3">
      <c r="A271" s="7"/>
      <c r="B271" s="7"/>
      <c r="C271" s="7"/>
    </row>
    <row r="272" spans="1:3" ht="12.45" x14ac:dyDescent="0.3">
      <c r="A272" s="7"/>
      <c r="B272" s="7"/>
      <c r="C272" s="7"/>
    </row>
    <row r="273" spans="1:3" ht="12.45" x14ac:dyDescent="0.3">
      <c r="A273" s="7"/>
      <c r="B273" s="7"/>
      <c r="C273" s="7"/>
    </row>
    <row r="274" spans="1:3" ht="12.45" x14ac:dyDescent="0.3">
      <c r="A274" s="7"/>
      <c r="B274" s="7"/>
      <c r="C274" s="7"/>
    </row>
    <row r="275" spans="1:3" ht="12.45" x14ac:dyDescent="0.3">
      <c r="A275" s="7"/>
      <c r="B275" s="7"/>
      <c r="C275" s="7"/>
    </row>
    <row r="276" spans="1:3" ht="12.45" x14ac:dyDescent="0.3">
      <c r="A276" s="7"/>
      <c r="B276" s="7"/>
      <c r="C276" s="7"/>
    </row>
    <row r="277" spans="1:3" ht="12.45" x14ac:dyDescent="0.3">
      <c r="A277" s="7"/>
      <c r="B277" s="7"/>
      <c r="C277" s="7"/>
    </row>
    <row r="278" spans="1:3" ht="12.45" x14ac:dyDescent="0.3">
      <c r="A278" s="7"/>
      <c r="B278" s="7"/>
      <c r="C278" s="7"/>
    </row>
    <row r="279" spans="1:3" ht="12.45" x14ac:dyDescent="0.3">
      <c r="A279" s="7"/>
      <c r="B279" s="7"/>
      <c r="C279" s="7"/>
    </row>
    <row r="280" spans="1:3" ht="12.45" x14ac:dyDescent="0.3">
      <c r="A280" s="7"/>
      <c r="B280" s="7"/>
      <c r="C280" s="7"/>
    </row>
    <row r="281" spans="1:3" ht="12.45" x14ac:dyDescent="0.3">
      <c r="A281" s="7"/>
      <c r="B281" s="7"/>
      <c r="C281" s="7"/>
    </row>
    <row r="282" spans="1:3" ht="12.45" x14ac:dyDescent="0.3">
      <c r="A282" s="7"/>
      <c r="B282" s="7"/>
      <c r="C282" s="7"/>
    </row>
    <row r="283" spans="1:3" ht="12.45" x14ac:dyDescent="0.3">
      <c r="A283" s="7"/>
      <c r="B283" s="7"/>
      <c r="C283" s="7"/>
    </row>
    <row r="284" spans="1:3" ht="12.45" x14ac:dyDescent="0.3">
      <c r="A284" s="7"/>
      <c r="B284" s="7"/>
      <c r="C284" s="7"/>
    </row>
    <row r="285" spans="1:3" ht="12.45" x14ac:dyDescent="0.3">
      <c r="A285" s="7"/>
      <c r="B285" s="7"/>
      <c r="C285" s="7"/>
    </row>
    <row r="286" spans="1:3" ht="12.45" x14ac:dyDescent="0.3">
      <c r="A286" s="7"/>
      <c r="B286" s="7"/>
      <c r="C286" s="7"/>
    </row>
    <row r="287" spans="1:3" ht="12.45" x14ac:dyDescent="0.3">
      <c r="A287" s="7"/>
      <c r="B287" s="7"/>
      <c r="C287" s="7"/>
    </row>
    <row r="288" spans="1:3" ht="12.45" x14ac:dyDescent="0.3">
      <c r="A288" s="7"/>
      <c r="B288" s="7"/>
      <c r="C288" s="7"/>
    </row>
    <row r="289" spans="1:3" ht="12.45" x14ac:dyDescent="0.3">
      <c r="A289" s="7"/>
      <c r="B289" s="7"/>
      <c r="C289" s="7"/>
    </row>
    <row r="290" spans="1:3" ht="12.45" x14ac:dyDescent="0.3">
      <c r="A290" s="7"/>
      <c r="B290" s="7"/>
      <c r="C290" s="7"/>
    </row>
    <row r="291" spans="1:3" ht="12.45" x14ac:dyDescent="0.3">
      <c r="A291" s="7"/>
      <c r="B291" s="7"/>
      <c r="C291" s="7"/>
    </row>
    <row r="292" spans="1:3" ht="12.45" x14ac:dyDescent="0.3">
      <c r="A292" s="7"/>
      <c r="B292" s="7"/>
      <c r="C292" s="7"/>
    </row>
    <row r="293" spans="1:3" ht="12.45" x14ac:dyDescent="0.3">
      <c r="A293" s="7"/>
      <c r="B293" s="7"/>
      <c r="C293" s="7"/>
    </row>
    <row r="294" spans="1:3" ht="12.45" x14ac:dyDescent="0.3">
      <c r="A294" s="7"/>
      <c r="B294" s="7"/>
      <c r="C294" s="7"/>
    </row>
    <row r="295" spans="1:3" ht="12.45" x14ac:dyDescent="0.3">
      <c r="A295" s="7"/>
      <c r="B295" s="7"/>
      <c r="C295" s="7"/>
    </row>
    <row r="296" spans="1:3" ht="12.45" x14ac:dyDescent="0.3">
      <c r="A296" s="7"/>
      <c r="B296" s="7"/>
      <c r="C296" s="7"/>
    </row>
    <row r="297" spans="1:3" ht="12.45" x14ac:dyDescent="0.3">
      <c r="A297" s="7"/>
      <c r="B297" s="7"/>
      <c r="C297" s="7"/>
    </row>
    <row r="298" spans="1:3" ht="12.45" x14ac:dyDescent="0.3">
      <c r="A298" s="7"/>
      <c r="B298" s="7"/>
      <c r="C298" s="7"/>
    </row>
    <row r="299" spans="1:3" ht="12.45" x14ac:dyDescent="0.3">
      <c r="A299" s="7"/>
      <c r="B299" s="7"/>
      <c r="C299" s="7"/>
    </row>
    <row r="300" spans="1:3" ht="12.45" x14ac:dyDescent="0.3">
      <c r="A300" s="7"/>
      <c r="B300" s="7"/>
      <c r="C300" s="7"/>
    </row>
    <row r="301" spans="1:3" ht="12.45" x14ac:dyDescent="0.3">
      <c r="A301" s="7"/>
      <c r="B301" s="7"/>
      <c r="C301" s="7"/>
    </row>
    <row r="302" spans="1:3" ht="12.45" x14ac:dyDescent="0.3">
      <c r="A302" s="7"/>
      <c r="B302" s="7"/>
      <c r="C302" s="7"/>
    </row>
    <row r="303" spans="1:3" ht="12.45" x14ac:dyDescent="0.3">
      <c r="A303" s="7"/>
      <c r="B303" s="7"/>
      <c r="C303" s="7"/>
    </row>
    <row r="304" spans="1:3" ht="12.45" x14ac:dyDescent="0.3">
      <c r="A304" s="7"/>
      <c r="B304" s="7"/>
      <c r="C304" s="7"/>
    </row>
    <row r="305" spans="1:3" ht="12.45" x14ac:dyDescent="0.3">
      <c r="A305" s="7"/>
      <c r="B305" s="7"/>
      <c r="C305" s="7"/>
    </row>
    <row r="306" spans="1:3" ht="12.45" x14ac:dyDescent="0.3">
      <c r="A306" s="7"/>
      <c r="B306" s="7"/>
      <c r="C306" s="7"/>
    </row>
    <row r="307" spans="1:3" ht="12.45" x14ac:dyDescent="0.3">
      <c r="A307" s="7"/>
      <c r="B307" s="7"/>
      <c r="C307" s="7"/>
    </row>
    <row r="308" spans="1:3" ht="12.45" x14ac:dyDescent="0.3">
      <c r="A308" s="7"/>
      <c r="B308" s="7"/>
      <c r="C308" s="7"/>
    </row>
    <row r="309" spans="1:3" ht="12.45" x14ac:dyDescent="0.3">
      <c r="A309" s="7"/>
      <c r="B309" s="7"/>
      <c r="C309" s="7"/>
    </row>
    <row r="310" spans="1:3" ht="12.45" x14ac:dyDescent="0.3">
      <c r="A310" s="7"/>
      <c r="B310" s="7"/>
      <c r="C310" s="7"/>
    </row>
    <row r="311" spans="1:3" ht="12.45" x14ac:dyDescent="0.3">
      <c r="A311" s="7"/>
      <c r="B311" s="7"/>
      <c r="C311" s="7"/>
    </row>
    <row r="312" spans="1:3" ht="12.45" x14ac:dyDescent="0.3">
      <c r="A312" s="7"/>
      <c r="B312" s="7"/>
      <c r="C312" s="7"/>
    </row>
    <row r="313" spans="1:3" ht="12.45" x14ac:dyDescent="0.3">
      <c r="A313" s="7"/>
      <c r="B313" s="7"/>
      <c r="C313" s="7"/>
    </row>
    <row r="314" spans="1:3" ht="12.45" x14ac:dyDescent="0.3">
      <c r="A314" s="7"/>
      <c r="B314" s="7"/>
      <c r="C314" s="7"/>
    </row>
    <row r="315" spans="1:3" ht="12.45" x14ac:dyDescent="0.3">
      <c r="A315" s="7"/>
      <c r="B315" s="7"/>
      <c r="C315" s="7"/>
    </row>
    <row r="316" spans="1:3" ht="12.45" x14ac:dyDescent="0.3">
      <c r="A316" s="7"/>
      <c r="B316" s="7"/>
      <c r="C316" s="7"/>
    </row>
    <row r="317" spans="1:3" ht="12.45" x14ac:dyDescent="0.3">
      <c r="A317" s="7"/>
      <c r="B317" s="7"/>
      <c r="C317" s="7"/>
    </row>
    <row r="318" spans="1:3" ht="12.45" x14ac:dyDescent="0.3">
      <c r="A318" s="7"/>
      <c r="B318" s="7"/>
      <c r="C318" s="7"/>
    </row>
    <row r="319" spans="1:3" ht="12.45" x14ac:dyDescent="0.3">
      <c r="A319" s="7"/>
      <c r="B319" s="7"/>
      <c r="C319" s="7"/>
    </row>
    <row r="320" spans="1:3" ht="12.45" x14ac:dyDescent="0.3">
      <c r="A320" s="7"/>
      <c r="B320" s="7"/>
      <c r="C320" s="7"/>
    </row>
    <row r="321" spans="1:3" ht="12.45" x14ac:dyDescent="0.3">
      <c r="A321" s="7"/>
      <c r="B321" s="7"/>
      <c r="C321" s="7"/>
    </row>
    <row r="322" spans="1:3" ht="12.45" x14ac:dyDescent="0.3">
      <c r="A322" s="7"/>
      <c r="B322" s="7"/>
      <c r="C322" s="7"/>
    </row>
    <row r="323" spans="1:3" ht="12.45" x14ac:dyDescent="0.3">
      <c r="A323" s="7"/>
      <c r="B323" s="7"/>
      <c r="C323" s="7"/>
    </row>
    <row r="324" spans="1:3" ht="12.45" x14ac:dyDescent="0.3">
      <c r="A324" s="7"/>
      <c r="B324" s="7"/>
      <c r="C324" s="7"/>
    </row>
    <row r="325" spans="1:3" ht="12.45" x14ac:dyDescent="0.3">
      <c r="A325" s="7"/>
      <c r="B325" s="7"/>
      <c r="C325" s="7"/>
    </row>
    <row r="326" spans="1:3" ht="12.45" x14ac:dyDescent="0.3">
      <c r="A326" s="7"/>
      <c r="B326" s="7"/>
      <c r="C326" s="7"/>
    </row>
    <row r="327" spans="1:3" ht="12.45" x14ac:dyDescent="0.3">
      <c r="A327" s="7"/>
      <c r="B327" s="7"/>
      <c r="C327" s="7"/>
    </row>
    <row r="328" spans="1:3" ht="12.45" x14ac:dyDescent="0.3">
      <c r="A328" s="7"/>
      <c r="B328" s="7"/>
      <c r="C328" s="7"/>
    </row>
    <row r="329" spans="1:3" ht="12.45" x14ac:dyDescent="0.3">
      <c r="A329" s="7"/>
      <c r="B329" s="7"/>
      <c r="C329" s="7"/>
    </row>
    <row r="330" spans="1:3" ht="12.45" x14ac:dyDescent="0.3">
      <c r="A330" s="7"/>
      <c r="B330" s="7"/>
      <c r="C330" s="7"/>
    </row>
    <row r="331" spans="1:3" ht="12.45" x14ac:dyDescent="0.3">
      <c r="A331" s="7"/>
      <c r="B331" s="7"/>
      <c r="C331" s="7"/>
    </row>
    <row r="332" spans="1:3" ht="12.45" x14ac:dyDescent="0.3">
      <c r="A332" s="7"/>
      <c r="B332" s="7"/>
      <c r="C332" s="7"/>
    </row>
    <row r="333" spans="1:3" ht="12.45" x14ac:dyDescent="0.3">
      <c r="A333" s="7"/>
      <c r="B333" s="7"/>
      <c r="C333" s="7"/>
    </row>
    <row r="334" spans="1:3" ht="12.45" x14ac:dyDescent="0.3">
      <c r="A334" s="7"/>
      <c r="B334" s="7"/>
      <c r="C334" s="7"/>
    </row>
    <row r="335" spans="1:3" ht="12.45" x14ac:dyDescent="0.3">
      <c r="A335" s="7"/>
      <c r="B335" s="7"/>
      <c r="C335" s="7"/>
    </row>
    <row r="336" spans="1:3" ht="12.45" x14ac:dyDescent="0.3">
      <c r="A336" s="7"/>
      <c r="B336" s="7"/>
      <c r="C336" s="7"/>
    </row>
    <row r="337" spans="1:3" ht="12.45" x14ac:dyDescent="0.3">
      <c r="A337" s="7"/>
      <c r="B337" s="7"/>
      <c r="C337" s="7"/>
    </row>
    <row r="338" spans="1:3" ht="12.45" x14ac:dyDescent="0.3">
      <c r="A338" s="7"/>
      <c r="B338" s="7"/>
      <c r="C338" s="7"/>
    </row>
    <row r="339" spans="1:3" ht="12.45" x14ac:dyDescent="0.3">
      <c r="A339" s="7"/>
      <c r="B339" s="7"/>
      <c r="C339" s="7"/>
    </row>
    <row r="340" spans="1:3" ht="12.45" x14ac:dyDescent="0.3">
      <c r="A340" s="7"/>
      <c r="B340" s="7"/>
      <c r="C340" s="7"/>
    </row>
    <row r="341" spans="1:3" ht="12.45" x14ac:dyDescent="0.3">
      <c r="A341" s="7"/>
      <c r="B341" s="7"/>
      <c r="C341" s="7"/>
    </row>
    <row r="342" spans="1:3" ht="12.45" x14ac:dyDescent="0.3">
      <c r="A342" s="7"/>
      <c r="B342" s="7"/>
      <c r="C342" s="7"/>
    </row>
    <row r="343" spans="1:3" ht="12.45" x14ac:dyDescent="0.3">
      <c r="A343" s="7"/>
      <c r="B343" s="7"/>
      <c r="C343" s="7"/>
    </row>
    <row r="344" spans="1:3" ht="12.45" x14ac:dyDescent="0.3">
      <c r="A344" s="7"/>
      <c r="B344" s="7"/>
      <c r="C344" s="7"/>
    </row>
    <row r="345" spans="1:3" ht="12.45" x14ac:dyDescent="0.3">
      <c r="A345" s="7"/>
      <c r="B345" s="7"/>
      <c r="C345" s="7"/>
    </row>
    <row r="346" spans="1:3" ht="12.45" x14ac:dyDescent="0.3">
      <c r="A346" s="7"/>
      <c r="B346" s="7"/>
      <c r="C346" s="7"/>
    </row>
    <row r="347" spans="1:3" ht="12.45" x14ac:dyDescent="0.3">
      <c r="A347" s="7"/>
      <c r="B347" s="7"/>
      <c r="C347" s="7"/>
    </row>
    <row r="348" spans="1:3" ht="12.45" x14ac:dyDescent="0.3">
      <c r="A348" s="7"/>
      <c r="B348" s="7"/>
      <c r="C348" s="7"/>
    </row>
    <row r="349" spans="1:3" ht="12.45" x14ac:dyDescent="0.3">
      <c r="A349" s="7"/>
      <c r="B349" s="7"/>
      <c r="C349" s="7"/>
    </row>
    <row r="350" spans="1:3" ht="12.45" x14ac:dyDescent="0.3">
      <c r="A350" s="7"/>
      <c r="B350" s="7"/>
      <c r="C350" s="7"/>
    </row>
    <row r="351" spans="1:3" ht="12.45" x14ac:dyDescent="0.3">
      <c r="A351" s="7"/>
      <c r="B351" s="7"/>
      <c r="C351" s="7"/>
    </row>
    <row r="352" spans="1:3" ht="12.45" x14ac:dyDescent="0.3">
      <c r="A352" s="7"/>
      <c r="B352" s="7"/>
      <c r="C352" s="7"/>
    </row>
    <row r="353" spans="1:3" ht="12.45" x14ac:dyDescent="0.3">
      <c r="A353" s="7"/>
      <c r="B353" s="7"/>
      <c r="C353" s="7"/>
    </row>
    <row r="354" spans="1:3" ht="12.45" x14ac:dyDescent="0.3">
      <c r="A354" s="7"/>
      <c r="B354" s="7"/>
      <c r="C354" s="7"/>
    </row>
    <row r="355" spans="1:3" ht="12.45" x14ac:dyDescent="0.3">
      <c r="A355" s="7"/>
      <c r="B355" s="7"/>
      <c r="C355" s="7"/>
    </row>
    <row r="356" spans="1:3" ht="12.45" x14ac:dyDescent="0.3">
      <c r="A356" s="7"/>
      <c r="B356" s="7"/>
      <c r="C356" s="7"/>
    </row>
    <row r="357" spans="1:3" ht="12.45" x14ac:dyDescent="0.3">
      <c r="A357" s="7"/>
      <c r="B357" s="7"/>
      <c r="C357" s="7"/>
    </row>
    <row r="358" spans="1:3" ht="12.45" x14ac:dyDescent="0.3">
      <c r="A358" s="7"/>
      <c r="B358" s="7"/>
      <c r="C358" s="7"/>
    </row>
    <row r="359" spans="1:3" ht="12.45" x14ac:dyDescent="0.3">
      <c r="A359" s="7"/>
      <c r="B359" s="7"/>
      <c r="C359" s="7"/>
    </row>
    <row r="360" spans="1:3" ht="12.45" x14ac:dyDescent="0.3">
      <c r="A360" s="7"/>
      <c r="B360" s="7"/>
      <c r="C360" s="7"/>
    </row>
    <row r="361" spans="1:3" ht="12.45" x14ac:dyDescent="0.3">
      <c r="A361" s="7"/>
      <c r="B361" s="7"/>
      <c r="C361" s="7"/>
    </row>
    <row r="362" spans="1:3" ht="12.45" x14ac:dyDescent="0.3">
      <c r="A362" s="7"/>
      <c r="B362" s="7"/>
      <c r="C362" s="7"/>
    </row>
    <row r="363" spans="1:3" ht="12.45" x14ac:dyDescent="0.3">
      <c r="A363" s="7"/>
      <c r="B363" s="7"/>
      <c r="C363" s="7"/>
    </row>
    <row r="364" spans="1:3" ht="12.45" x14ac:dyDescent="0.3">
      <c r="A364" s="7"/>
      <c r="B364" s="7"/>
      <c r="C364" s="7"/>
    </row>
    <row r="365" spans="1:3" ht="12.45" x14ac:dyDescent="0.3">
      <c r="A365" s="7"/>
      <c r="B365" s="7"/>
      <c r="C365" s="7"/>
    </row>
    <row r="366" spans="1:3" ht="12.45" x14ac:dyDescent="0.3">
      <c r="A366" s="7"/>
      <c r="B366" s="7"/>
      <c r="C366" s="7"/>
    </row>
    <row r="367" spans="1:3" ht="12.45" x14ac:dyDescent="0.3">
      <c r="A367" s="7"/>
      <c r="B367" s="7"/>
      <c r="C367" s="7"/>
    </row>
    <row r="368" spans="1:3" ht="12.45" x14ac:dyDescent="0.3">
      <c r="A368" s="7"/>
      <c r="B368" s="7"/>
      <c r="C368" s="7"/>
    </row>
    <row r="369" spans="1:3" ht="12.45" x14ac:dyDescent="0.3">
      <c r="A369" s="7"/>
      <c r="B369" s="7"/>
      <c r="C369" s="7"/>
    </row>
    <row r="370" spans="1:3" ht="12.45" x14ac:dyDescent="0.3">
      <c r="A370" s="7"/>
      <c r="B370" s="7"/>
      <c r="C370" s="7"/>
    </row>
    <row r="371" spans="1:3" ht="12.45" x14ac:dyDescent="0.3">
      <c r="A371" s="7"/>
      <c r="B371" s="7"/>
      <c r="C371" s="7"/>
    </row>
    <row r="372" spans="1:3" ht="12.45" x14ac:dyDescent="0.3">
      <c r="A372" s="7"/>
      <c r="B372" s="7"/>
      <c r="C372" s="7"/>
    </row>
    <row r="373" spans="1:3" ht="12.45" x14ac:dyDescent="0.3">
      <c r="A373" s="7"/>
      <c r="B373" s="7"/>
      <c r="C373" s="7"/>
    </row>
    <row r="374" spans="1:3" ht="12.45" x14ac:dyDescent="0.3">
      <c r="A374" s="7"/>
      <c r="B374" s="7"/>
      <c r="C374" s="7"/>
    </row>
    <row r="375" spans="1:3" ht="12.45" x14ac:dyDescent="0.3">
      <c r="A375" s="7"/>
      <c r="B375" s="7"/>
      <c r="C375" s="7"/>
    </row>
    <row r="376" spans="1:3" ht="12.45" x14ac:dyDescent="0.3">
      <c r="A376" s="7"/>
      <c r="B376" s="7"/>
      <c r="C376" s="7"/>
    </row>
    <row r="377" spans="1:3" ht="12.45" x14ac:dyDescent="0.3">
      <c r="A377" s="7"/>
      <c r="B377" s="7"/>
      <c r="C377" s="7"/>
    </row>
    <row r="378" spans="1:3" ht="12.45" x14ac:dyDescent="0.3">
      <c r="A378" s="7"/>
      <c r="B378" s="7"/>
      <c r="C378" s="7"/>
    </row>
    <row r="379" spans="1:3" ht="12.45" x14ac:dyDescent="0.3">
      <c r="A379" s="7"/>
      <c r="B379" s="7"/>
      <c r="C379" s="7"/>
    </row>
    <row r="380" spans="1:3" ht="12.45" x14ac:dyDescent="0.3">
      <c r="A380" s="7"/>
      <c r="B380" s="7"/>
      <c r="C380" s="7"/>
    </row>
    <row r="381" spans="1:3" ht="12.45" x14ac:dyDescent="0.3">
      <c r="A381" s="7"/>
      <c r="B381" s="7"/>
      <c r="C381" s="7"/>
    </row>
    <row r="382" spans="1:3" ht="12.45" x14ac:dyDescent="0.3">
      <c r="A382" s="7"/>
      <c r="B382" s="7"/>
      <c r="C382" s="7"/>
    </row>
    <row r="383" spans="1:3" ht="12.45" x14ac:dyDescent="0.3">
      <c r="A383" s="7"/>
      <c r="B383" s="7"/>
      <c r="C383" s="7"/>
    </row>
    <row r="384" spans="1:3" ht="12.45" x14ac:dyDescent="0.3">
      <c r="A384" s="7"/>
      <c r="B384" s="7"/>
      <c r="C384" s="7"/>
    </row>
    <row r="385" spans="1:3" ht="12.45" x14ac:dyDescent="0.3">
      <c r="A385" s="7"/>
      <c r="B385" s="7"/>
      <c r="C385" s="7"/>
    </row>
    <row r="386" spans="1:3" ht="12.45" x14ac:dyDescent="0.3">
      <c r="A386" s="7"/>
      <c r="B386" s="7"/>
      <c r="C386" s="7"/>
    </row>
    <row r="387" spans="1:3" ht="12.45" x14ac:dyDescent="0.3">
      <c r="A387" s="7"/>
      <c r="B387" s="7"/>
      <c r="C387" s="7"/>
    </row>
    <row r="388" spans="1:3" ht="12.45" x14ac:dyDescent="0.3">
      <c r="A388" s="7"/>
      <c r="B388" s="7"/>
      <c r="C388" s="7"/>
    </row>
    <row r="389" spans="1:3" ht="12.45" x14ac:dyDescent="0.3">
      <c r="A389" s="7"/>
      <c r="B389" s="7"/>
      <c r="C389" s="7"/>
    </row>
    <row r="390" spans="1:3" ht="12.45" x14ac:dyDescent="0.3">
      <c r="A390" s="7"/>
      <c r="B390" s="7"/>
      <c r="C390" s="7"/>
    </row>
    <row r="391" spans="1:3" ht="12.45" x14ac:dyDescent="0.3">
      <c r="A391" s="7"/>
      <c r="B391" s="7"/>
      <c r="C391" s="7"/>
    </row>
    <row r="392" spans="1:3" ht="12.45" x14ac:dyDescent="0.3">
      <c r="A392" s="7"/>
      <c r="B392" s="7"/>
      <c r="C392" s="7"/>
    </row>
    <row r="393" spans="1:3" ht="12.45" x14ac:dyDescent="0.3">
      <c r="A393" s="7"/>
      <c r="B393" s="7"/>
      <c r="C393" s="7"/>
    </row>
    <row r="394" spans="1:3" ht="12.45" x14ac:dyDescent="0.3">
      <c r="A394" s="7"/>
      <c r="B394" s="7"/>
      <c r="C394" s="7"/>
    </row>
    <row r="395" spans="1:3" ht="12.45" x14ac:dyDescent="0.3">
      <c r="A395" s="7"/>
      <c r="B395" s="7"/>
      <c r="C395" s="7"/>
    </row>
    <row r="396" spans="1:3" ht="12.45" x14ac:dyDescent="0.3">
      <c r="A396" s="7"/>
      <c r="B396" s="7"/>
      <c r="C396" s="7"/>
    </row>
    <row r="397" spans="1:3" ht="12.45" x14ac:dyDescent="0.3">
      <c r="A397" s="7"/>
      <c r="B397" s="7"/>
      <c r="C397" s="7"/>
    </row>
    <row r="398" spans="1:3" ht="12.45" x14ac:dyDescent="0.3">
      <c r="A398" s="7"/>
      <c r="B398" s="7"/>
      <c r="C398" s="7"/>
    </row>
    <row r="399" spans="1:3" ht="12.45" x14ac:dyDescent="0.3">
      <c r="A399" s="7"/>
      <c r="B399" s="7"/>
      <c r="C399" s="7"/>
    </row>
    <row r="400" spans="1:3" ht="12.45" x14ac:dyDescent="0.3">
      <c r="A400" s="7"/>
      <c r="B400" s="7"/>
      <c r="C400" s="7"/>
    </row>
    <row r="401" spans="1:3" ht="12.45" x14ac:dyDescent="0.3">
      <c r="A401" s="7"/>
      <c r="B401" s="7"/>
      <c r="C401" s="7"/>
    </row>
    <row r="402" spans="1:3" ht="12.45" x14ac:dyDescent="0.3">
      <c r="A402" s="7"/>
      <c r="B402" s="7"/>
      <c r="C402" s="7"/>
    </row>
    <row r="403" spans="1:3" ht="12.45" x14ac:dyDescent="0.3">
      <c r="A403" s="7"/>
      <c r="B403" s="7"/>
      <c r="C403" s="7"/>
    </row>
    <row r="404" spans="1:3" ht="12.45" x14ac:dyDescent="0.3">
      <c r="A404" s="7"/>
      <c r="B404" s="7"/>
      <c r="C404" s="7"/>
    </row>
    <row r="405" spans="1:3" ht="12.45" x14ac:dyDescent="0.3">
      <c r="A405" s="7"/>
      <c r="B405" s="7"/>
      <c r="C405" s="7"/>
    </row>
    <row r="406" spans="1:3" ht="12.45" x14ac:dyDescent="0.3">
      <c r="A406" s="7"/>
      <c r="B406" s="7"/>
      <c r="C406" s="7"/>
    </row>
    <row r="407" spans="1:3" ht="12.45" x14ac:dyDescent="0.3">
      <c r="A407" s="7"/>
      <c r="B407" s="7"/>
      <c r="C407" s="7"/>
    </row>
    <row r="408" spans="1:3" ht="12.45" x14ac:dyDescent="0.3">
      <c r="A408" s="7"/>
      <c r="B408" s="7"/>
      <c r="C408" s="7"/>
    </row>
    <row r="409" spans="1:3" ht="12.45" x14ac:dyDescent="0.3">
      <c r="A409" s="7"/>
      <c r="B409" s="7"/>
      <c r="C409" s="7"/>
    </row>
    <row r="410" spans="1:3" ht="12.45" x14ac:dyDescent="0.3">
      <c r="A410" s="7"/>
      <c r="B410" s="7"/>
      <c r="C410" s="7"/>
    </row>
    <row r="411" spans="1:3" ht="12.45" x14ac:dyDescent="0.3">
      <c r="A411" s="7"/>
      <c r="B411" s="7"/>
      <c r="C411" s="7"/>
    </row>
    <row r="412" spans="1:3" ht="12.45" x14ac:dyDescent="0.3">
      <c r="A412" s="7"/>
      <c r="B412" s="7"/>
      <c r="C412" s="7"/>
    </row>
    <row r="413" spans="1:3" ht="12.45" x14ac:dyDescent="0.3">
      <c r="A413" s="7"/>
      <c r="B413" s="7"/>
      <c r="C413" s="7"/>
    </row>
    <row r="414" spans="1:3" ht="12.45" x14ac:dyDescent="0.3">
      <c r="A414" s="7"/>
      <c r="B414" s="7"/>
      <c r="C414" s="7"/>
    </row>
    <row r="415" spans="1:3" ht="12.45" x14ac:dyDescent="0.3">
      <c r="A415" s="7"/>
      <c r="B415" s="7"/>
      <c r="C415" s="7"/>
    </row>
    <row r="416" spans="1:3" ht="12.45" x14ac:dyDescent="0.3">
      <c r="A416" s="7"/>
      <c r="B416" s="7"/>
      <c r="C416" s="7"/>
    </row>
    <row r="417" spans="1:3" ht="12.45" x14ac:dyDescent="0.3">
      <c r="A417" s="7"/>
      <c r="B417" s="7"/>
      <c r="C417" s="7"/>
    </row>
    <row r="418" spans="1:3" ht="12.45" x14ac:dyDescent="0.3">
      <c r="A418" s="7"/>
      <c r="B418" s="7"/>
      <c r="C418" s="7"/>
    </row>
    <row r="419" spans="1:3" ht="12.45" x14ac:dyDescent="0.3">
      <c r="A419" s="7"/>
      <c r="B419" s="7"/>
      <c r="C419" s="7"/>
    </row>
    <row r="420" spans="1:3" ht="12.45" x14ac:dyDescent="0.3">
      <c r="A420" s="7"/>
      <c r="B420" s="7"/>
      <c r="C420" s="7"/>
    </row>
    <row r="421" spans="1:3" ht="12.45" x14ac:dyDescent="0.3">
      <c r="A421" s="7"/>
      <c r="B421" s="7"/>
      <c r="C421" s="7"/>
    </row>
    <row r="422" spans="1:3" ht="12.45" x14ac:dyDescent="0.3">
      <c r="A422" s="7"/>
      <c r="B422" s="7"/>
      <c r="C422" s="7"/>
    </row>
    <row r="423" spans="1:3" ht="12.45" x14ac:dyDescent="0.3">
      <c r="A423" s="7"/>
      <c r="B423" s="7"/>
      <c r="C423" s="7"/>
    </row>
    <row r="424" spans="1:3" ht="12.45" x14ac:dyDescent="0.3">
      <c r="A424" s="7"/>
      <c r="B424" s="7"/>
      <c r="C424" s="7"/>
    </row>
    <row r="425" spans="1:3" ht="12.45" x14ac:dyDescent="0.3">
      <c r="A425" s="7"/>
      <c r="B425" s="7"/>
      <c r="C425" s="7"/>
    </row>
    <row r="426" spans="1:3" ht="12.45" x14ac:dyDescent="0.3">
      <c r="A426" s="7"/>
      <c r="B426" s="7"/>
      <c r="C426" s="7"/>
    </row>
    <row r="427" spans="1:3" ht="12.45" x14ac:dyDescent="0.3">
      <c r="A427" s="7"/>
      <c r="B427" s="7"/>
      <c r="C427" s="7"/>
    </row>
    <row r="428" spans="1:3" ht="12.45" x14ac:dyDescent="0.3">
      <c r="A428" s="7"/>
      <c r="B428" s="7"/>
      <c r="C428" s="7"/>
    </row>
    <row r="429" spans="1:3" ht="12.45" x14ac:dyDescent="0.3">
      <c r="A429" s="7"/>
      <c r="B429" s="7"/>
      <c r="C429" s="7"/>
    </row>
    <row r="430" spans="1:3" ht="12.45" x14ac:dyDescent="0.3">
      <c r="A430" s="7"/>
      <c r="B430" s="7"/>
      <c r="C430" s="7"/>
    </row>
    <row r="431" spans="1:3" ht="12.45" x14ac:dyDescent="0.3">
      <c r="A431" s="7"/>
      <c r="B431" s="7"/>
      <c r="C431" s="7"/>
    </row>
    <row r="432" spans="1:3" ht="12.45" x14ac:dyDescent="0.3">
      <c r="A432" s="7"/>
      <c r="B432" s="7"/>
      <c r="C432" s="7"/>
    </row>
    <row r="433" spans="1:3" ht="12.45" x14ac:dyDescent="0.3">
      <c r="A433" s="7"/>
      <c r="B433" s="7"/>
      <c r="C433" s="7"/>
    </row>
    <row r="434" spans="1:3" ht="12.45" x14ac:dyDescent="0.3">
      <c r="A434" s="7"/>
      <c r="B434" s="7"/>
      <c r="C434" s="7"/>
    </row>
    <row r="435" spans="1:3" ht="12.45" x14ac:dyDescent="0.3">
      <c r="A435" s="7"/>
      <c r="B435" s="7"/>
      <c r="C435" s="7"/>
    </row>
    <row r="436" spans="1:3" ht="12.45" x14ac:dyDescent="0.3">
      <c r="A436" s="7"/>
      <c r="B436" s="7"/>
      <c r="C436" s="7"/>
    </row>
    <row r="437" spans="1:3" ht="12.45" x14ac:dyDescent="0.3">
      <c r="A437" s="7"/>
      <c r="B437" s="7"/>
      <c r="C437" s="7"/>
    </row>
    <row r="438" spans="1:3" ht="12.45" x14ac:dyDescent="0.3">
      <c r="A438" s="7"/>
      <c r="B438" s="7"/>
      <c r="C438" s="7"/>
    </row>
    <row r="439" spans="1:3" ht="12.45" x14ac:dyDescent="0.3">
      <c r="A439" s="7"/>
      <c r="B439" s="7"/>
      <c r="C439" s="7"/>
    </row>
    <row r="440" spans="1:3" ht="12.45" x14ac:dyDescent="0.3">
      <c r="A440" s="7"/>
      <c r="B440" s="7"/>
      <c r="C440" s="7"/>
    </row>
    <row r="441" spans="1:3" ht="12.45" x14ac:dyDescent="0.3">
      <c r="A441" s="7"/>
      <c r="B441" s="7"/>
      <c r="C441" s="7"/>
    </row>
    <row r="442" spans="1:3" ht="12.45" x14ac:dyDescent="0.3">
      <c r="A442" s="7"/>
      <c r="B442" s="7"/>
      <c r="C442" s="7"/>
    </row>
    <row r="443" spans="1:3" ht="12.45" x14ac:dyDescent="0.3">
      <c r="A443" s="7"/>
      <c r="B443" s="7"/>
      <c r="C443" s="7"/>
    </row>
    <row r="444" spans="1:3" ht="12.45" x14ac:dyDescent="0.3">
      <c r="A444" s="7"/>
      <c r="B444" s="7"/>
      <c r="C444" s="7"/>
    </row>
    <row r="445" spans="1:3" ht="12.45" x14ac:dyDescent="0.3">
      <c r="A445" s="7"/>
      <c r="B445" s="7"/>
      <c r="C445" s="7"/>
    </row>
    <row r="446" spans="1:3" ht="12.45" x14ac:dyDescent="0.3">
      <c r="A446" s="7"/>
      <c r="B446" s="7"/>
      <c r="C446" s="7"/>
    </row>
    <row r="447" spans="1:3" ht="12.45" x14ac:dyDescent="0.3">
      <c r="A447" s="7"/>
      <c r="B447" s="7"/>
      <c r="C447" s="7"/>
    </row>
    <row r="448" spans="1:3" ht="12.45" x14ac:dyDescent="0.3">
      <c r="A448" s="7"/>
      <c r="B448" s="7"/>
      <c r="C448" s="7"/>
    </row>
    <row r="449" spans="1:3" ht="12.45" x14ac:dyDescent="0.3">
      <c r="A449" s="7"/>
      <c r="B449" s="7"/>
      <c r="C449" s="7"/>
    </row>
    <row r="450" spans="1:3" ht="12.45" x14ac:dyDescent="0.3">
      <c r="A450" s="7"/>
      <c r="B450" s="7"/>
      <c r="C450" s="7"/>
    </row>
    <row r="451" spans="1:3" ht="12.45" x14ac:dyDescent="0.3">
      <c r="A451" s="7"/>
      <c r="B451" s="7"/>
      <c r="C451" s="7"/>
    </row>
    <row r="452" spans="1:3" ht="12.45" x14ac:dyDescent="0.3">
      <c r="A452" s="7"/>
      <c r="B452" s="7"/>
      <c r="C452" s="7"/>
    </row>
    <row r="453" spans="1:3" ht="12.45" x14ac:dyDescent="0.3">
      <c r="A453" s="7"/>
      <c r="B453" s="7"/>
      <c r="C453" s="7"/>
    </row>
    <row r="454" spans="1:3" ht="12.45" x14ac:dyDescent="0.3">
      <c r="A454" s="7"/>
      <c r="B454" s="7"/>
      <c r="C454" s="7"/>
    </row>
    <row r="455" spans="1:3" ht="12.45" x14ac:dyDescent="0.3">
      <c r="A455" s="7"/>
      <c r="B455" s="7"/>
      <c r="C455" s="7"/>
    </row>
    <row r="456" spans="1:3" ht="12.45" x14ac:dyDescent="0.3">
      <c r="A456" s="7"/>
      <c r="B456" s="7"/>
      <c r="C456" s="7"/>
    </row>
    <row r="457" spans="1:3" ht="12.45" x14ac:dyDescent="0.3">
      <c r="A457" s="7"/>
      <c r="B457" s="7"/>
      <c r="C457" s="7"/>
    </row>
    <row r="458" spans="1:3" ht="12.45" x14ac:dyDescent="0.3">
      <c r="A458" s="7"/>
      <c r="B458" s="7"/>
      <c r="C458" s="7"/>
    </row>
    <row r="459" spans="1:3" ht="12.45" x14ac:dyDescent="0.3">
      <c r="A459" s="7"/>
      <c r="B459" s="7"/>
      <c r="C459" s="7"/>
    </row>
    <row r="460" spans="1:3" ht="12.45" x14ac:dyDescent="0.3">
      <c r="A460" s="7"/>
      <c r="B460" s="7"/>
      <c r="C460" s="7"/>
    </row>
    <row r="461" spans="1:3" ht="12.45" x14ac:dyDescent="0.3">
      <c r="A461" s="7"/>
      <c r="B461" s="7"/>
      <c r="C461" s="7"/>
    </row>
    <row r="462" spans="1:3" ht="12.45" x14ac:dyDescent="0.3">
      <c r="A462" s="7"/>
      <c r="B462" s="7"/>
      <c r="C462" s="7"/>
    </row>
    <row r="463" spans="1:3" ht="12.45" x14ac:dyDescent="0.3">
      <c r="A463" s="7"/>
      <c r="B463" s="7"/>
      <c r="C463" s="7"/>
    </row>
    <row r="464" spans="1:3" ht="12.45" x14ac:dyDescent="0.3">
      <c r="A464" s="7"/>
      <c r="B464" s="7"/>
      <c r="C464" s="7"/>
    </row>
    <row r="465" spans="1:3" ht="12.45" x14ac:dyDescent="0.3">
      <c r="A465" s="7"/>
      <c r="B465" s="7"/>
      <c r="C465" s="7"/>
    </row>
    <row r="466" spans="1:3" ht="12.45" x14ac:dyDescent="0.3">
      <c r="A466" s="7"/>
      <c r="B466" s="7"/>
      <c r="C466" s="7"/>
    </row>
    <row r="467" spans="1:3" ht="12.45" x14ac:dyDescent="0.3">
      <c r="A467" s="7"/>
      <c r="B467" s="7"/>
      <c r="C467" s="7"/>
    </row>
    <row r="468" spans="1:3" ht="12.45" x14ac:dyDescent="0.3">
      <c r="A468" s="7"/>
      <c r="B468" s="7"/>
      <c r="C468" s="7"/>
    </row>
    <row r="469" spans="1:3" ht="12.45" x14ac:dyDescent="0.3">
      <c r="A469" s="7"/>
      <c r="B469" s="7"/>
      <c r="C469" s="7"/>
    </row>
    <row r="470" spans="1:3" ht="12.45" x14ac:dyDescent="0.3">
      <c r="A470" s="7"/>
      <c r="B470" s="7"/>
      <c r="C470" s="7"/>
    </row>
    <row r="471" spans="1:3" ht="12.45" x14ac:dyDescent="0.3">
      <c r="A471" s="7"/>
      <c r="B471" s="7"/>
      <c r="C471" s="7"/>
    </row>
    <row r="472" spans="1:3" ht="12.45" x14ac:dyDescent="0.3">
      <c r="A472" s="7"/>
      <c r="B472" s="7"/>
      <c r="C472" s="7"/>
    </row>
    <row r="473" spans="1:3" ht="12.45" x14ac:dyDescent="0.3">
      <c r="A473" s="7"/>
      <c r="B473" s="7"/>
      <c r="C473" s="7"/>
    </row>
    <row r="474" spans="1:3" ht="12.45" x14ac:dyDescent="0.3">
      <c r="A474" s="7"/>
      <c r="B474" s="7"/>
      <c r="C474" s="7"/>
    </row>
    <row r="475" spans="1:3" ht="12.45" x14ac:dyDescent="0.3">
      <c r="A475" s="7"/>
      <c r="B475" s="7"/>
      <c r="C475" s="7"/>
    </row>
    <row r="476" spans="1:3" ht="12.45" x14ac:dyDescent="0.3">
      <c r="A476" s="7"/>
      <c r="B476" s="7"/>
      <c r="C476" s="7"/>
    </row>
    <row r="477" spans="1:3" ht="12.45" x14ac:dyDescent="0.3">
      <c r="A477" s="7"/>
      <c r="B477" s="7"/>
      <c r="C477" s="7"/>
    </row>
    <row r="478" spans="1:3" ht="12.45" x14ac:dyDescent="0.3">
      <c r="A478" s="7"/>
      <c r="B478" s="7"/>
      <c r="C478" s="7"/>
    </row>
    <row r="479" spans="1:3" ht="12.45" x14ac:dyDescent="0.3">
      <c r="A479" s="7"/>
      <c r="B479" s="7"/>
      <c r="C479" s="7"/>
    </row>
    <row r="480" spans="1:3" ht="12.45" x14ac:dyDescent="0.3">
      <c r="A480" s="7"/>
      <c r="B480" s="7"/>
      <c r="C480" s="7"/>
    </row>
    <row r="481" spans="1:3" ht="12.45" x14ac:dyDescent="0.3">
      <c r="A481" s="7"/>
      <c r="B481" s="7"/>
      <c r="C481" s="7"/>
    </row>
    <row r="482" spans="1:3" ht="12.45" x14ac:dyDescent="0.3">
      <c r="A482" s="7"/>
      <c r="B482" s="7"/>
      <c r="C482" s="7"/>
    </row>
    <row r="483" spans="1:3" ht="12.45" x14ac:dyDescent="0.3">
      <c r="A483" s="7"/>
      <c r="B483" s="7"/>
      <c r="C483" s="7"/>
    </row>
    <row r="484" spans="1:3" ht="12.45" x14ac:dyDescent="0.3">
      <c r="A484" s="7"/>
      <c r="B484" s="7"/>
      <c r="C484" s="7"/>
    </row>
    <row r="485" spans="1:3" ht="12.45" x14ac:dyDescent="0.3">
      <c r="A485" s="7"/>
      <c r="B485" s="7"/>
      <c r="C485" s="7"/>
    </row>
    <row r="486" spans="1:3" ht="12.45" x14ac:dyDescent="0.3">
      <c r="A486" s="7"/>
      <c r="B486" s="7"/>
      <c r="C486" s="7"/>
    </row>
    <row r="487" spans="1:3" ht="12.45" x14ac:dyDescent="0.3">
      <c r="A487" s="7"/>
      <c r="B487" s="7"/>
      <c r="C487" s="7"/>
    </row>
    <row r="488" spans="1:3" ht="12.45" x14ac:dyDescent="0.3">
      <c r="A488" s="7"/>
      <c r="B488" s="7"/>
      <c r="C488" s="7"/>
    </row>
    <row r="489" spans="1:3" ht="12.45" x14ac:dyDescent="0.3">
      <c r="A489" s="7"/>
      <c r="B489" s="7"/>
      <c r="C489" s="7"/>
    </row>
    <row r="490" spans="1:3" ht="12.45" x14ac:dyDescent="0.3">
      <c r="A490" s="7"/>
      <c r="B490" s="7"/>
      <c r="C490" s="7"/>
    </row>
    <row r="491" spans="1:3" ht="12.45" x14ac:dyDescent="0.3">
      <c r="A491" s="7"/>
      <c r="B491" s="7"/>
      <c r="C491" s="7"/>
    </row>
    <row r="492" spans="1:3" ht="12.45" x14ac:dyDescent="0.3">
      <c r="A492" s="7"/>
      <c r="B492" s="7"/>
      <c r="C492" s="7"/>
    </row>
    <row r="493" spans="1:3" ht="12.45" x14ac:dyDescent="0.3">
      <c r="A493" s="7"/>
      <c r="B493" s="7"/>
      <c r="C493" s="7"/>
    </row>
    <row r="494" spans="1:3" ht="12.45" x14ac:dyDescent="0.3">
      <c r="A494" s="7"/>
      <c r="B494" s="7"/>
      <c r="C494" s="7"/>
    </row>
    <row r="495" spans="1:3" ht="12.45" x14ac:dyDescent="0.3">
      <c r="A495" s="7"/>
      <c r="B495" s="7"/>
      <c r="C495" s="7"/>
    </row>
    <row r="496" spans="1:3" ht="12.45" x14ac:dyDescent="0.3">
      <c r="A496" s="7"/>
      <c r="B496" s="7"/>
      <c r="C496" s="7"/>
    </row>
    <row r="497" spans="1:3" ht="12.45" x14ac:dyDescent="0.3">
      <c r="A497" s="7"/>
      <c r="B497" s="7"/>
      <c r="C497" s="7"/>
    </row>
    <row r="498" spans="1:3" ht="12.45" x14ac:dyDescent="0.3">
      <c r="A498" s="7"/>
      <c r="B498" s="7"/>
      <c r="C498" s="7"/>
    </row>
    <row r="499" spans="1:3" ht="12.45" x14ac:dyDescent="0.3">
      <c r="A499" s="7"/>
      <c r="B499" s="7"/>
      <c r="C499" s="7"/>
    </row>
    <row r="500" spans="1:3" ht="12.45" x14ac:dyDescent="0.3">
      <c r="A500" s="7"/>
      <c r="B500" s="7"/>
      <c r="C500" s="7"/>
    </row>
    <row r="501" spans="1:3" ht="12.45" x14ac:dyDescent="0.3">
      <c r="A501" s="7"/>
      <c r="B501" s="7"/>
      <c r="C501" s="7"/>
    </row>
    <row r="502" spans="1:3" ht="12.45" x14ac:dyDescent="0.3">
      <c r="A502" s="7"/>
      <c r="B502" s="7"/>
      <c r="C502" s="7"/>
    </row>
    <row r="503" spans="1:3" ht="12.45" x14ac:dyDescent="0.3">
      <c r="A503" s="7"/>
      <c r="B503" s="7"/>
      <c r="C503" s="7"/>
    </row>
    <row r="504" spans="1:3" ht="12.45" x14ac:dyDescent="0.3">
      <c r="A504" s="7"/>
      <c r="B504" s="7"/>
      <c r="C504" s="7"/>
    </row>
    <row r="505" spans="1:3" ht="12.45" x14ac:dyDescent="0.3">
      <c r="A505" s="7"/>
      <c r="B505" s="7"/>
      <c r="C505" s="7"/>
    </row>
    <row r="506" spans="1:3" ht="12.45" x14ac:dyDescent="0.3">
      <c r="A506" s="7"/>
      <c r="B506" s="7"/>
      <c r="C506" s="7"/>
    </row>
    <row r="507" spans="1:3" ht="12.45" x14ac:dyDescent="0.3">
      <c r="A507" s="7"/>
      <c r="B507" s="7"/>
      <c r="C507" s="7"/>
    </row>
    <row r="508" spans="1:3" ht="12.45" x14ac:dyDescent="0.3">
      <c r="A508" s="7"/>
      <c r="B508" s="7"/>
      <c r="C508" s="7"/>
    </row>
    <row r="509" spans="1:3" ht="12.45" x14ac:dyDescent="0.3">
      <c r="A509" s="7"/>
      <c r="B509" s="7"/>
      <c r="C509" s="7"/>
    </row>
    <row r="510" spans="1:3" ht="12.45" x14ac:dyDescent="0.3">
      <c r="A510" s="7"/>
      <c r="B510" s="7"/>
      <c r="C510" s="7"/>
    </row>
    <row r="511" spans="1:3" ht="12.45" x14ac:dyDescent="0.3">
      <c r="A511" s="7"/>
      <c r="B511" s="7"/>
      <c r="C511" s="7"/>
    </row>
    <row r="512" spans="1:3" ht="12.45" x14ac:dyDescent="0.3">
      <c r="A512" s="7"/>
      <c r="B512" s="7"/>
      <c r="C512" s="7"/>
    </row>
    <row r="513" spans="1:3" ht="12.45" x14ac:dyDescent="0.3">
      <c r="A513" s="7"/>
      <c r="B513" s="7"/>
      <c r="C513" s="7"/>
    </row>
    <row r="514" spans="1:3" ht="12.45" x14ac:dyDescent="0.3">
      <c r="A514" s="7"/>
      <c r="B514" s="7"/>
      <c r="C514" s="7"/>
    </row>
    <row r="515" spans="1:3" ht="12.45" x14ac:dyDescent="0.3">
      <c r="A515" s="7"/>
      <c r="B515" s="7"/>
      <c r="C515" s="7"/>
    </row>
    <row r="516" spans="1:3" ht="12.45" x14ac:dyDescent="0.3">
      <c r="A516" s="7"/>
      <c r="B516" s="7"/>
      <c r="C516" s="7"/>
    </row>
    <row r="517" spans="1:3" ht="12.45" x14ac:dyDescent="0.3">
      <c r="A517" s="7"/>
      <c r="B517" s="7"/>
      <c r="C517" s="7"/>
    </row>
    <row r="518" spans="1:3" ht="12.45" x14ac:dyDescent="0.3">
      <c r="A518" s="7"/>
      <c r="B518" s="7"/>
      <c r="C518" s="7"/>
    </row>
    <row r="519" spans="1:3" ht="12.45" x14ac:dyDescent="0.3">
      <c r="A519" s="7"/>
      <c r="B519" s="7"/>
      <c r="C519" s="7"/>
    </row>
    <row r="520" spans="1:3" ht="12.45" x14ac:dyDescent="0.3">
      <c r="A520" s="7"/>
      <c r="B520" s="7"/>
      <c r="C520" s="7"/>
    </row>
    <row r="521" spans="1:3" ht="12.45" x14ac:dyDescent="0.3">
      <c r="A521" s="7"/>
      <c r="B521" s="7"/>
      <c r="C521" s="7"/>
    </row>
    <row r="522" spans="1:3" ht="12.45" x14ac:dyDescent="0.3">
      <c r="A522" s="7"/>
      <c r="B522" s="7"/>
      <c r="C522" s="7"/>
    </row>
    <row r="523" spans="1:3" ht="12.45" x14ac:dyDescent="0.3">
      <c r="A523" s="7"/>
      <c r="B523" s="7"/>
      <c r="C523" s="7"/>
    </row>
    <row r="524" spans="1:3" ht="12.45" x14ac:dyDescent="0.3">
      <c r="A524" s="7"/>
      <c r="B524" s="7"/>
      <c r="C524" s="7"/>
    </row>
    <row r="525" spans="1:3" ht="12.45" x14ac:dyDescent="0.3">
      <c r="A525" s="7"/>
      <c r="B525" s="7"/>
      <c r="C525" s="7"/>
    </row>
    <row r="526" spans="1:3" ht="12.45" x14ac:dyDescent="0.3">
      <c r="A526" s="7"/>
      <c r="B526" s="7"/>
      <c r="C526" s="7"/>
    </row>
    <row r="527" spans="1:3" ht="12.45" x14ac:dyDescent="0.3">
      <c r="A527" s="7"/>
      <c r="B527" s="7"/>
      <c r="C527" s="7"/>
    </row>
    <row r="528" spans="1:3" ht="12.45" x14ac:dyDescent="0.3">
      <c r="A528" s="7"/>
      <c r="B528" s="7"/>
      <c r="C528" s="7"/>
    </row>
    <row r="529" spans="1:3" ht="12.45" x14ac:dyDescent="0.3">
      <c r="A529" s="7"/>
      <c r="B529" s="7"/>
      <c r="C529" s="7"/>
    </row>
    <row r="530" spans="1:3" ht="12.45" x14ac:dyDescent="0.3">
      <c r="A530" s="7"/>
      <c r="B530" s="7"/>
      <c r="C530" s="7"/>
    </row>
    <row r="531" spans="1:3" ht="12.45" x14ac:dyDescent="0.3">
      <c r="A531" s="7"/>
      <c r="B531" s="7"/>
      <c r="C531" s="7"/>
    </row>
    <row r="532" spans="1:3" ht="12.45" x14ac:dyDescent="0.3">
      <c r="A532" s="7"/>
      <c r="B532" s="7"/>
      <c r="C532" s="7"/>
    </row>
    <row r="533" spans="1:3" ht="12.45" x14ac:dyDescent="0.3">
      <c r="A533" s="7"/>
      <c r="B533" s="7"/>
      <c r="C533" s="7"/>
    </row>
    <row r="534" spans="1:3" ht="12.45" x14ac:dyDescent="0.3">
      <c r="A534" s="7"/>
      <c r="B534" s="7"/>
      <c r="C534" s="7"/>
    </row>
    <row r="535" spans="1:3" ht="12.45" x14ac:dyDescent="0.3">
      <c r="A535" s="7"/>
      <c r="B535" s="7"/>
      <c r="C535" s="7"/>
    </row>
    <row r="536" spans="1:3" ht="12.45" x14ac:dyDescent="0.3">
      <c r="A536" s="7"/>
      <c r="B536" s="7"/>
      <c r="C536" s="7"/>
    </row>
    <row r="537" spans="1:3" ht="12.45" x14ac:dyDescent="0.3">
      <c r="A537" s="7"/>
      <c r="B537" s="7"/>
      <c r="C537" s="7"/>
    </row>
    <row r="538" spans="1:3" ht="12.45" x14ac:dyDescent="0.3">
      <c r="A538" s="7"/>
      <c r="B538" s="7"/>
      <c r="C538" s="7"/>
    </row>
    <row r="539" spans="1:3" ht="12.45" x14ac:dyDescent="0.3">
      <c r="A539" s="7"/>
      <c r="B539" s="7"/>
      <c r="C539" s="7"/>
    </row>
    <row r="540" spans="1:3" ht="12.45" x14ac:dyDescent="0.3">
      <c r="A540" s="7"/>
      <c r="B540" s="7"/>
      <c r="C540" s="7"/>
    </row>
    <row r="541" spans="1:3" ht="12.45" x14ac:dyDescent="0.3">
      <c r="A541" s="7"/>
      <c r="B541" s="7"/>
      <c r="C541" s="7"/>
    </row>
    <row r="542" spans="1:3" ht="12.45" x14ac:dyDescent="0.3">
      <c r="A542" s="7"/>
      <c r="B542" s="7"/>
      <c r="C542" s="7"/>
    </row>
    <row r="543" spans="1:3" ht="12.45" x14ac:dyDescent="0.3">
      <c r="A543" s="7"/>
      <c r="B543" s="7"/>
      <c r="C543" s="7"/>
    </row>
    <row r="544" spans="1:3" ht="12.45" x14ac:dyDescent="0.3">
      <c r="A544" s="7"/>
      <c r="B544" s="7"/>
      <c r="C544" s="7"/>
    </row>
    <row r="545" spans="1:3" ht="12.45" x14ac:dyDescent="0.3">
      <c r="A545" s="7"/>
      <c r="B545" s="7"/>
      <c r="C545" s="7"/>
    </row>
    <row r="546" spans="1:3" ht="12.45" x14ac:dyDescent="0.3">
      <c r="A546" s="7"/>
      <c r="B546" s="7"/>
      <c r="C546" s="7"/>
    </row>
    <row r="547" spans="1:3" ht="12.45" x14ac:dyDescent="0.3">
      <c r="A547" s="7"/>
      <c r="B547" s="7"/>
      <c r="C547" s="7"/>
    </row>
    <row r="548" spans="1:3" ht="12.45" x14ac:dyDescent="0.3">
      <c r="A548" s="7"/>
      <c r="B548" s="7"/>
      <c r="C548" s="7"/>
    </row>
    <row r="549" spans="1:3" ht="12.45" x14ac:dyDescent="0.3">
      <c r="A549" s="7"/>
      <c r="B549" s="7"/>
      <c r="C549" s="7"/>
    </row>
    <row r="550" spans="1:3" ht="12.45" x14ac:dyDescent="0.3">
      <c r="A550" s="7"/>
      <c r="B550" s="7"/>
      <c r="C550" s="7"/>
    </row>
    <row r="551" spans="1:3" ht="12.45" x14ac:dyDescent="0.3">
      <c r="A551" s="7"/>
      <c r="B551" s="7"/>
      <c r="C551" s="7"/>
    </row>
    <row r="552" spans="1:3" ht="12.45" x14ac:dyDescent="0.3">
      <c r="A552" s="7"/>
      <c r="B552" s="7"/>
      <c r="C552" s="7"/>
    </row>
    <row r="553" spans="1:3" ht="12.45" x14ac:dyDescent="0.3">
      <c r="A553" s="7"/>
      <c r="B553" s="7"/>
      <c r="C553" s="7"/>
    </row>
    <row r="554" spans="1:3" ht="12.45" x14ac:dyDescent="0.3">
      <c r="A554" s="7"/>
      <c r="B554" s="7"/>
      <c r="C554" s="7"/>
    </row>
    <row r="555" spans="1:3" ht="12.45" x14ac:dyDescent="0.3">
      <c r="A555" s="7"/>
      <c r="B555" s="7"/>
      <c r="C555" s="7"/>
    </row>
    <row r="556" spans="1:3" ht="12.45" x14ac:dyDescent="0.3">
      <c r="A556" s="7"/>
      <c r="B556" s="7"/>
      <c r="C556" s="7"/>
    </row>
    <row r="557" spans="1:3" ht="12.45" x14ac:dyDescent="0.3">
      <c r="A557" s="7"/>
      <c r="B557" s="7"/>
      <c r="C557" s="7"/>
    </row>
    <row r="558" spans="1:3" ht="12.45" x14ac:dyDescent="0.3">
      <c r="A558" s="7"/>
      <c r="B558" s="7"/>
      <c r="C558" s="7"/>
    </row>
    <row r="559" spans="1:3" ht="12.45" x14ac:dyDescent="0.3">
      <c r="A559" s="7"/>
      <c r="B559" s="7"/>
      <c r="C559" s="7"/>
    </row>
    <row r="560" spans="1:3" ht="12.45" x14ac:dyDescent="0.3">
      <c r="A560" s="7"/>
      <c r="B560" s="7"/>
      <c r="C560" s="7"/>
    </row>
    <row r="561" spans="1:3" ht="12.45" x14ac:dyDescent="0.3">
      <c r="A561" s="7"/>
      <c r="B561" s="7"/>
      <c r="C561" s="7"/>
    </row>
    <row r="562" spans="1:3" ht="12.45" x14ac:dyDescent="0.3">
      <c r="A562" s="7"/>
      <c r="B562" s="7"/>
      <c r="C562" s="7"/>
    </row>
    <row r="563" spans="1:3" ht="12.45" x14ac:dyDescent="0.3">
      <c r="A563" s="7"/>
      <c r="B563" s="7"/>
      <c r="C563" s="7"/>
    </row>
    <row r="564" spans="1:3" ht="12.45" x14ac:dyDescent="0.3">
      <c r="A564" s="7"/>
      <c r="B564" s="7"/>
      <c r="C564" s="7"/>
    </row>
    <row r="565" spans="1:3" ht="12.45" x14ac:dyDescent="0.3">
      <c r="A565" s="7"/>
      <c r="B565" s="7"/>
      <c r="C565" s="7"/>
    </row>
    <row r="566" spans="1:3" ht="12.45" x14ac:dyDescent="0.3">
      <c r="A566" s="7"/>
      <c r="B566" s="7"/>
      <c r="C566" s="7"/>
    </row>
    <row r="567" spans="1:3" ht="12.45" x14ac:dyDescent="0.3">
      <c r="A567" s="7"/>
      <c r="B567" s="7"/>
      <c r="C567" s="7"/>
    </row>
    <row r="568" spans="1:3" ht="12.45" x14ac:dyDescent="0.3">
      <c r="A568" s="7"/>
      <c r="B568" s="7"/>
      <c r="C568" s="7"/>
    </row>
    <row r="569" spans="1:3" ht="12.45" x14ac:dyDescent="0.3">
      <c r="A569" s="7"/>
      <c r="B569" s="7"/>
      <c r="C569" s="7"/>
    </row>
    <row r="570" spans="1:3" ht="12.45" x14ac:dyDescent="0.3">
      <c r="A570" s="7"/>
      <c r="B570" s="7"/>
      <c r="C570" s="7"/>
    </row>
    <row r="571" spans="1:3" ht="12.45" x14ac:dyDescent="0.3">
      <c r="A571" s="7"/>
      <c r="B571" s="7"/>
      <c r="C571" s="7"/>
    </row>
    <row r="572" spans="1:3" ht="12.45" x14ac:dyDescent="0.3">
      <c r="A572" s="7"/>
      <c r="B572" s="7"/>
      <c r="C572" s="7"/>
    </row>
    <row r="573" spans="1:3" ht="12.45" x14ac:dyDescent="0.3">
      <c r="A573" s="7"/>
      <c r="B573" s="7"/>
      <c r="C573" s="7"/>
    </row>
    <row r="574" spans="1:3" ht="12.45" x14ac:dyDescent="0.3">
      <c r="A574" s="7"/>
      <c r="B574" s="7"/>
      <c r="C574" s="7"/>
    </row>
    <row r="575" spans="1:3" ht="12.45" x14ac:dyDescent="0.3">
      <c r="A575" s="7"/>
      <c r="B575" s="7"/>
      <c r="C575" s="7"/>
    </row>
    <row r="576" spans="1:3" ht="12.45" x14ac:dyDescent="0.3">
      <c r="A576" s="7"/>
      <c r="B576" s="7"/>
      <c r="C576" s="7"/>
    </row>
    <row r="577" spans="1:3" ht="12.45" x14ac:dyDescent="0.3">
      <c r="A577" s="7"/>
      <c r="B577" s="7"/>
      <c r="C577" s="7"/>
    </row>
    <row r="578" spans="1:3" ht="12.45" x14ac:dyDescent="0.3">
      <c r="A578" s="7"/>
      <c r="B578" s="7"/>
      <c r="C578" s="7"/>
    </row>
    <row r="579" spans="1:3" ht="12.45" x14ac:dyDescent="0.3">
      <c r="A579" s="7"/>
      <c r="B579" s="7"/>
      <c r="C579" s="7"/>
    </row>
    <row r="580" spans="1:3" ht="12.45" x14ac:dyDescent="0.3">
      <c r="A580" s="7"/>
      <c r="B580" s="7"/>
      <c r="C580" s="7"/>
    </row>
    <row r="581" spans="1:3" ht="12.45" x14ac:dyDescent="0.3">
      <c r="A581" s="7"/>
      <c r="B581" s="7"/>
      <c r="C581" s="7"/>
    </row>
    <row r="582" spans="1:3" ht="12.45" x14ac:dyDescent="0.3">
      <c r="A582" s="7"/>
      <c r="B582" s="7"/>
      <c r="C582" s="7"/>
    </row>
    <row r="583" spans="1:3" ht="12.45" x14ac:dyDescent="0.3">
      <c r="A583" s="7"/>
      <c r="B583" s="7"/>
      <c r="C583" s="7"/>
    </row>
    <row r="584" spans="1:3" ht="12.45" x14ac:dyDescent="0.3">
      <c r="A584" s="7"/>
      <c r="B584" s="7"/>
      <c r="C584" s="7"/>
    </row>
    <row r="585" spans="1:3" ht="12.45" x14ac:dyDescent="0.3">
      <c r="A585" s="7"/>
      <c r="B585" s="7"/>
      <c r="C585" s="7"/>
    </row>
    <row r="586" spans="1:3" ht="12.45" x14ac:dyDescent="0.3">
      <c r="A586" s="7"/>
      <c r="B586" s="7"/>
      <c r="C586" s="7"/>
    </row>
    <row r="587" spans="1:3" ht="12.45" x14ac:dyDescent="0.3">
      <c r="A587" s="7"/>
      <c r="B587" s="7"/>
      <c r="C587" s="7"/>
    </row>
    <row r="588" spans="1:3" ht="12.45" x14ac:dyDescent="0.3">
      <c r="A588" s="7"/>
      <c r="B588" s="7"/>
      <c r="C588" s="7"/>
    </row>
    <row r="589" spans="1:3" ht="12.45" x14ac:dyDescent="0.3">
      <c r="A589" s="7"/>
      <c r="B589" s="7"/>
      <c r="C589" s="7"/>
    </row>
    <row r="590" spans="1:3" ht="12.45" x14ac:dyDescent="0.3">
      <c r="A590" s="7"/>
      <c r="B590" s="7"/>
      <c r="C590" s="7"/>
    </row>
    <row r="591" spans="1:3" ht="12.45" x14ac:dyDescent="0.3">
      <c r="A591" s="7"/>
      <c r="B591" s="7"/>
      <c r="C591" s="7"/>
    </row>
    <row r="592" spans="1:3" ht="12.45" x14ac:dyDescent="0.3">
      <c r="A592" s="7"/>
      <c r="B592" s="7"/>
      <c r="C592" s="7"/>
    </row>
    <row r="593" spans="1:3" ht="12.45" x14ac:dyDescent="0.3">
      <c r="A593" s="7"/>
      <c r="B593" s="7"/>
      <c r="C593" s="7"/>
    </row>
    <row r="594" spans="1:3" ht="12.45" x14ac:dyDescent="0.3">
      <c r="A594" s="7"/>
      <c r="B594" s="7"/>
      <c r="C594" s="7"/>
    </row>
    <row r="595" spans="1:3" ht="12.45" x14ac:dyDescent="0.3">
      <c r="A595" s="7"/>
      <c r="B595" s="7"/>
      <c r="C595" s="7"/>
    </row>
    <row r="596" spans="1:3" ht="12.45" x14ac:dyDescent="0.3">
      <c r="A596" s="7"/>
      <c r="B596" s="7"/>
      <c r="C596" s="7"/>
    </row>
    <row r="597" spans="1:3" ht="12.45" x14ac:dyDescent="0.3">
      <c r="A597" s="7"/>
      <c r="B597" s="7"/>
      <c r="C597" s="7"/>
    </row>
    <row r="598" spans="1:3" ht="12.45" x14ac:dyDescent="0.3">
      <c r="A598" s="7"/>
      <c r="B598" s="7"/>
      <c r="C598" s="7"/>
    </row>
    <row r="599" spans="1:3" ht="12.45" x14ac:dyDescent="0.3">
      <c r="A599" s="7"/>
      <c r="B599" s="7"/>
      <c r="C599" s="7"/>
    </row>
    <row r="600" spans="1:3" ht="12.45" x14ac:dyDescent="0.3">
      <c r="A600" s="7"/>
      <c r="B600" s="7"/>
      <c r="C600" s="7"/>
    </row>
    <row r="601" spans="1:3" ht="12.45" x14ac:dyDescent="0.3">
      <c r="A601" s="7"/>
      <c r="B601" s="7"/>
      <c r="C601" s="7"/>
    </row>
    <row r="602" spans="1:3" ht="12.45" x14ac:dyDescent="0.3">
      <c r="A602" s="7"/>
      <c r="B602" s="7"/>
      <c r="C602" s="7"/>
    </row>
    <row r="603" spans="1:3" ht="12.45" x14ac:dyDescent="0.3">
      <c r="A603" s="7"/>
      <c r="B603" s="7"/>
      <c r="C603" s="7"/>
    </row>
    <row r="604" spans="1:3" ht="12.45" x14ac:dyDescent="0.3">
      <c r="A604" s="7"/>
      <c r="B604" s="7"/>
      <c r="C604" s="7"/>
    </row>
    <row r="605" spans="1:3" ht="12.45" x14ac:dyDescent="0.3">
      <c r="A605" s="7"/>
      <c r="B605" s="7"/>
      <c r="C605" s="7"/>
    </row>
    <row r="606" spans="1:3" ht="12.45" x14ac:dyDescent="0.3">
      <c r="A606" s="7"/>
      <c r="B606" s="7"/>
      <c r="C606" s="7"/>
    </row>
    <row r="607" spans="1:3" ht="12.45" x14ac:dyDescent="0.3">
      <c r="A607" s="7"/>
      <c r="B607" s="7"/>
      <c r="C607" s="7"/>
    </row>
    <row r="608" spans="1:3" ht="12.45" x14ac:dyDescent="0.3">
      <c r="A608" s="7"/>
      <c r="B608" s="7"/>
      <c r="C608" s="7"/>
    </row>
    <row r="609" spans="1:3" ht="12.45" x14ac:dyDescent="0.3">
      <c r="A609" s="7"/>
      <c r="B609" s="7"/>
      <c r="C609" s="7"/>
    </row>
    <row r="610" spans="1:3" ht="12.45" x14ac:dyDescent="0.3">
      <c r="A610" s="7"/>
      <c r="B610" s="7"/>
      <c r="C610" s="7"/>
    </row>
    <row r="611" spans="1:3" ht="12.45" x14ac:dyDescent="0.3">
      <c r="A611" s="7"/>
      <c r="B611" s="7"/>
      <c r="C611" s="7"/>
    </row>
    <row r="612" spans="1:3" ht="12.45" x14ac:dyDescent="0.3">
      <c r="A612" s="7"/>
      <c r="B612" s="7"/>
      <c r="C612" s="7"/>
    </row>
    <row r="613" spans="1:3" ht="12.45" x14ac:dyDescent="0.3">
      <c r="A613" s="7"/>
      <c r="B613" s="7"/>
      <c r="C613" s="7"/>
    </row>
    <row r="614" spans="1:3" ht="12.45" x14ac:dyDescent="0.3">
      <c r="A614" s="7"/>
      <c r="B614" s="7"/>
      <c r="C614" s="7"/>
    </row>
    <row r="615" spans="1:3" ht="12.45" x14ac:dyDescent="0.3">
      <c r="A615" s="7"/>
      <c r="B615" s="7"/>
      <c r="C615" s="7"/>
    </row>
    <row r="616" spans="1:3" ht="12.45" x14ac:dyDescent="0.3">
      <c r="A616" s="7"/>
      <c r="B616" s="7"/>
      <c r="C616" s="7"/>
    </row>
    <row r="617" spans="1:3" ht="12.45" x14ac:dyDescent="0.3">
      <c r="A617" s="7"/>
      <c r="B617" s="7"/>
      <c r="C617" s="7"/>
    </row>
    <row r="618" spans="1:3" ht="12.45" x14ac:dyDescent="0.3">
      <c r="A618" s="7"/>
      <c r="B618" s="7"/>
      <c r="C618" s="7"/>
    </row>
    <row r="619" spans="1:3" ht="12.45" x14ac:dyDescent="0.3">
      <c r="A619" s="7"/>
      <c r="B619" s="7"/>
      <c r="C619" s="7"/>
    </row>
    <row r="620" spans="1:3" ht="12.45" x14ac:dyDescent="0.3">
      <c r="A620" s="7"/>
      <c r="B620" s="7"/>
      <c r="C620" s="7"/>
    </row>
    <row r="621" spans="1:3" ht="12.45" x14ac:dyDescent="0.3">
      <c r="A621" s="7"/>
      <c r="B621" s="7"/>
      <c r="C621" s="7"/>
    </row>
    <row r="622" spans="1:3" ht="12.45" x14ac:dyDescent="0.3">
      <c r="A622" s="7"/>
      <c r="B622" s="7"/>
      <c r="C622" s="7"/>
    </row>
    <row r="623" spans="1:3" ht="12.45" x14ac:dyDescent="0.3">
      <c r="A623" s="7"/>
      <c r="B623" s="7"/>
      <c r="C623" s="7"/>
    </row>
    <row r="624" spans="1:3" ht="12.45" x14ac:dyDescent="0.3">
      <c r="A624" s="7"/>
      <c r="B624" s="7"/>
      <c r="C624" s="7"/>
    </row>
    <row r="625" spans="1:3" ht="12.45" x14ac:dyDescent="0.3">
      <c r="A625" s="7"/>
      <c r="B625" s="7"/>
      <c r="C625" s="7"/>
    </row>
    <row r="626" spans="1:3" ht="12.45" x14ac:dyDescent="0.3">
      <c r="A626" s="7"/>
      <c r="B626" s="7"/>
      <c r="C626" s="7"/>
    </row>
    <row r="627" spans="1:3" ht="12.45" x14ac:dyDescent="0.3">
      <c r="A627" s="7"/>
      <c r="B627" s="7"/>
      <c r="C627" s="7"/>
    </row>
    <row r="628" spans="1:3" ht="12.45" x14ac:dyDescent="0.3">
      <c r="A628" s="7"/>
      <c r="B628" s="7"/>
      <c r="C628" s="7"/>
    </row>
    <row r="629" spans="1:3" ht="12.45" x14ac:dyDescent="0.3">
      <c r="A629" s="7"/>
      <c r="B629" s="7"/>
      <c r="C629" s="7"/>
    </row>
    <row r="630" spans="1:3" ht="12.45" x14ac:dyDescent="0.3">
      <c r="A630" s="7"/>
      <c r="B630" s="7"/>
      <c r="C630" s="7"/>
    </row>
    <row r="631" spans="1:3" ht="12.45" x14ac:dyDescent="0.3">
      <c r="A631" s="7"/>
      <c r="B631" s="7"/>
      <c r="C631" s="7"/>
    </row>
    <row r="632" spans="1:3" ht="12.45" x14ac:dyDescent="0.3">
      <c r="A632" s="7"/>
      <c r="B632" s="7"/>
      <c r="C632" s="7"/>
    </row>
    <row r="633" spans="1:3" ht="12.45" x14ac:dyDescent="0.3">
      <c r="A633" s="7"/>
      <c r="B633" s="7"/>
      <c r="C633" s="7"/>
    </row>
    <row r="634" spans="1:3" ht="12.45" x14ac:dyDescent="0.3">
      <c r="A634" s="7"/>
      <c r="B634" s="7"/>
      <c r="C634" s="7"/>
    </row>
    <row r="635" spans="1:3" ht="12.45" x14ac:dyDescent="0.3">
      <c r="A635" s="7"/>
      <c r="B635" s="7"/>
      <c r="C635" s="7"/>
    </row>
    <row r="636" spans="1:3" ht="12.45" x14ac:dyDescent="0.3">
      <c r="A636" s="7"/>
      <c r="B636" s="7"/>
      <c r="C636" s="7"/>
    </row>
    <row r="637" spans="1:3" ht="12.45" x14ac:dyDescent="0.3">
      <c r="A637" s="7"/>
      <c r="B637" s="7"/>
      <c r="C637" s="7"/>
    </row>
    <row r="638" spans="1:3" ht="12.45" x14ac:dyDescent="0.3">
      <c r="A638" s="7"/>
      <c r="B638" s="7"/>
      <c r="C638" s="7"/>
    </row>
    <row r="639" spans="1:3" ht="12.45" x14ac:dyDescent="0.3">
      <c r="A639" s="7"/>
      <c r="B639" s="7"/>
      <c r="C639" s="7"/>
    </row>
    <row r="640" spans="1:3" ht="12.45" x14ac:dyDescent="0.3">
      <c r="A640" s="7"/>
      <c r="B640" s="7"/>
      <c r="C640" s="7"/>
    </row>
    <row r="641" spans="1:3" ht="12.45" x14ac:dyDescent="0.3">
      <c r="A641" s="7"/>
      <c r="B641" s="7"/>
      <c r="C641" s="7"/>
    </row>
    <row r="642" spans="1:3" ht="12.45" x14ac:dyDescent="0.3">
      <c r="A642" s="7"/>
      <c r="B642" s="7"/>
      <c r="C642" s="7"/>
    </row>
    <row r="643" spans="1:3" ht="12.45" x14ac:dyDescent="0.3">
      <c r="A643" s="7"/>
      <c r="B643" s="7"/>
      <c r="C643" s="7"/>
    </row>
    <row r="644" spans="1:3" ht="12.45" x14ac:dyDescent="0.3">
      <c r="A644" s="7"/>
      <c r="B644" s="7"/>
      <c r="C644" s="7"/>
    </row>
    <row r="645" spans="1:3" ht="12.45" x14ac:dyDescent="0.3">
      <c r="A645" s="7"/>
      <c r="B645" s="7"/>
      <c r="C645" s="7"/>
    </row>
    <row r="646" spans="1:3" ht="12.45" x14ac:dyDescent="0.3">
      <c r="A646" s="7"/>
      <c r="B646" s="7"/>
      <c r="C646" s="7"/>
    </row>
    <row r="647" spans="1:3" ht="12.45" x14ac:dyDescent="0.3">
      <c r="A647" s="7"/>
      <c r="B647" s="7"/>
      <c r="C647" s="7"/>
    </row>
    <row r="648" spans="1:3" ht="12.45" x14ac:dyDescent="0.3">
      <c r="A648" s="7"/>
      <c r="B648" s="7"/>
      <c r="C648" s="7"/>
    </row>
    <row r="649" spans="1:3" ht="12.45" x14ac:dyDescent="0.3">
      <c r="A649" s="7"/>
      <c r="B649" s="7"/>
      <c r="C649" s="7"/>
    </row>
    <row r="650" spans="1:3" ht="12.45" x14ac:dyDescent="0.3">
      <c r="A650" s="7"/>
      <c r="B650" s="7"/>
      <c r="C650" s="7"/>
    </row>
    <row r="651" spans="1:3" ht="12.45" x14ac:dyDescent="0.3">
      <c r="A651" s="7"/>
      <c r="B651" s="7"/>
      <c r="C651" s="7"/>
    </row>
    <row r="652" spans="1:3" ht="12.45" x14ac:dyDescent="0.3">
      <c r="A652" s="7"/>
      <c r="B652" s="7"/>
      <c r="C652" s="7"/>
    </row>
    <row r="653" spans="1:3" ht="12.45" x14ac:dyDescent="0.3">
      <c r="A653" s="7"/>
      <c r="B653" s="7"/>
      <c r="C653" s="7"/>
    </row>
    <row r="654" spans="1:3" ht="12.45" x14ac:dyDescent="0.3">
      <c r="A654" s="7"/>
      <c r="B654" s="7"/>
      <c r="C654" s="7"/>
    </row>
    <row r="655" spans="1:3" ht="12.45" x14ac:dyDescent="0.3">
      <c r="A655" s="7"/>
      <c r="B655" s="7"/>
      <c r="C655" s="7"/>
    </row>
    <row r="656" spans="1:3" ht="12.45" x14ac:dyDescent="0.3">
      <c r="A656" s="7"/>
      <c r="B656" s="7"/>
      <c r="C656" s="7"/>
    </row>
    <row r="657" spans="1:3" ht="12.45" x14ac:dyDescent="0.3">
      <c r="A657" s="7"/>
      <c r="B657" s="7"/>
      <c r="C657" s="7"/>
    </row>
    <row r="658" spans="1:3" ht="12.45" x14ac:dyDescent="0.3">
      <c r="A658" s="7"/>
      <c r="B658" s="7"/>
      <c r="C658" s="7"/>
    </row>
    <row r="659" spans="1:3" ht="12.45" x14ac:dyDescent="0.3">
      <c r="A659" s="7"/>
      <c r="B659" s="7"/>
      <c r="C659" s="7"/>
    </row>
    <row r="660" spans="1:3" ht="12.45" x14ac:dyDescent="0.3">
      <c r="A660" s="7"/>
      <c r="B660" s="7"/>
      <c r="C660" s="7"/>
    </row>
    <row r="661" spans="1:3" ht="12.45" x14ac:dyDescent="0.3">
      <c r="A661" s="7"/>
      <c r="B661" s="7"/>
      <c r="C661" s="7"/>
    </row>
    <row r="662" spans="1:3" ht="12.45" x14ac:dyDescent="0.3">
      <c r="A662" s="7"/>
      <c r="B662" s="7"/>
      <c r="C662" s="7"/>
    </row>
    <row r="663" spans="1:3" ht="12.45" x14ac:dyDescent="0.3">
      <c r="A663" s="7"/>
      <c r="B663" s="7"/>
      <c r="C663" s="7"/>
    </row>
    <row r="664" spans="1:3" ht="12.45" x14ac:dyDescent="0.3">
      <c r="A664" s="7"/>
      <c r="B664" s="7"/>
      <c r="C664" s="7"/>
    </row>
    <row r="665" spans="1:3" ht="12.45" x14ac:dyDescent="0.3">
      <c r="A665" s="7"/>
      <c r="B665" s="7"/>
      <c r="C665" s="7"/>
    </row>
    <row r="666" spans="1:3" ht="12.45" x14ac:dyDescent="0.3">
      <c r="A666" s="7"/>
      <c r="B666" s="7"/>
      <c r="C666" s="7"/>
    </row>
    <row r="667" spans="1:3" ht="12.45" x14ac:dyDescent="0.3">
      <c r="A667" s="7"/>
      <c r="B667" s="7"/>
      <c r="C667" s="7"/>
    </row>
    <row r="668" spans="1:3" ht="12.45" x14ac:dyDescent="0.3">
      <c r="A668" s="7"/>
      <c r="B668" s="7"/>
      <c r="C668" s="7"/>
    </row>
    <row r="669" spans="1:3" ht="12.45" x14ac:dyDescent="0.3">
      <c r="A669" s="7"/>
      <c r="B669" s="7"/>
      <c r="C669" s="7"/>
    </row>
    <row r="670" spans="1:3" ht="12.45" x14ac:dyDescent="0.3">
      <c r="A670" s="7"/>
      <c r="B670" s="7"/>
      <c r="C670" s="7"/>
    </row>
    <row r="671" spans="1:3" ht="12.45" x14ac:dyDescent="0.3">
      <c r="A671" s="7"/>
      <c r="B671" s="7"/>
      <c r="C671" s="7"/>
    </row>
    <row r="672" spans="1:3" ht="12.45" x14ac:dyDescent="0.3">
      <c r="A672" s="7"/>
      <c r="B672" s="7"/>
      <c r="C672" s="7"/>
    </row>
    <row r="673" spans="1:3" ht="12.45" x14ac:dyDescent="0.3">
      <c r="A673" s="7"/>
      <c r="B673" s="7"/>
      <c r="C673" s="7"/>
    </row>
    <row r="674" spans="1:3" ht="12.45" x14ac:dyDescent="0.3">
      <c r="A674" s="7"/>
      <c r="B674" s="7"/>
      <c r="C674" s="7"/>
    </row>
    <row r="675" spans="1:3" ht="12.45" x14ac:dyDescent="0.3">
      <c r="A675" s="7"/>
      <c r="B675" s="7"/>
      <c r="C675" s="7"/>
    </row>
    <row r="676" spans="1:3" ht="12.45" x14ac:dyDescent="0.3">
      <c r="A676" s="7"/>
      <c r="B676" s="7"/>
      <c r="C676" s="7"/>
    </row>
    <row r="677" spans="1:3" ht="12.45" x14ac:dyDescent="0.3">
      <c r="A677" s="7"/>
      <c r="B677" s="7"/>
      <c r="C677" s="7"/>
    </row>
    <row r="678" spans="1:3" ht="12.45" x14ac:dyDescent="0.3">
      <c r="A678" s="7"/>
      <c r="B678" s="7"/>
      <c r="C678" s="7"/>
    </row>
    <row r="679" spans="1:3" ht="12.45" x14ac:dyDescent="0.3">
      <c r="A679" s="7"/>
      <c r="B679" s="7"/>
      <c r="C679" s="7"/>
    </row>
    <row r="680" spans="1:3" ht="12.45" x14ac:dyDescent="0.3">
      <c r="A680" s="7"/>
      <c r="B680" s="7"/>
      <c r="C680" s="7"/>
    </row>
    <row r="681" spans="1:3" ht="12.45" x14ac:dyDescent="0.3">
      <c r="A681" s="7"/>
      <c r="B681" s="7"/>
      <c r="C681" s="7"/>
    </row>
    <row r="682" spans="1:3" ht="12.45" x14ac:dyDescent="0.3">
      <c r="A682" s="7"/>
      <c r="B682" s="7"/>
      <c r="C682" s="7"/>
    </row>
    <row r="683" spans="1:3" ht="12.45" x14ac:dyDescent="0.3">
      <c r="A683" s="7"/>
      <c r="B683" s="7"/>
      <c r="C683" s="7"/>
    </row>
    <row r="684" spans="1:3" ht="12.45" x14ac:dyDescent="0.3">
      <c r="A684" s="7"/>
      <c r="B684" s="7"/>
      <c r="C684" s="7"/>
    </row>
    <row r="685" spans="1:3" ht="12.45" x14ac:dyDescent="0.3">
      <c r="A685" s="7"/>
      <c r="B685" s="7"/>
      <c r="C685" s="7"/>
    </row>
    <row r="686" spans="1:3" ht="12.45" x14ac:dyDescent="0.3">
      <c r="A686" s="7"/>
      <c r="B686" s="7"/>
      <c r="C686" s="7"/>
    </row>
    <row r="687" spans="1:3" ht="12.45" x14ac:dyDescent="0.3">
      <c r="A687" s="7"/>
      <c r="B687" s="7"/>
      <c r="C687" s="7"/>
    </row>
    <row r="688" spans="1:3" ht="12.45" x14ac:dyDescent="0.3">
      <c r="A688" s="7"/>
      <c r="B688" s="7"/>
      <c r="C688" s="7"/>
    </row>
    <row r="689" spans="1:3" ht="12.45" x14ac:dyDescent="0.3">
      <c r="A689" s="7"/>
      <c r="B689" s="7"/>
      <c r="C689" s="7"/>
    </row>
    <row r="690" spans="1:3" ht="12.45" x14ac:dyDescent="0.3">
      <c r="A690" s="7"/>
      <c r="B690" s="7"/>
      <c r="C690" s="7"/>
    </row>
    <row r="691" spans="1:3" ht="12.45" x14ac:dyDescent="0.3">
      <c r="A691" s="7"/>
      <c r="B691" s="7"/>
      <c r="C691" s="7"/>
    </row>
    <row r="692" spans="1:3" ht="12.45" x14ac:dyDescent="0.3">
      <c r="A692" s="7"/>
      <c r="B692" s="7"/>
      <c r="C692" s="7"/>
    </row>
    <row r="693" spans="1:3" ht="12.45" x14ac:dyDescent="0.3">
      <c r="A693" s="7"/>
      <c r="B693" s="7"/>
      <c r="C693" s="7"/>
    </row>
    <row r="694" spans="1:3" ht="12.45" x14ac:dyDescent="0.3">
      <c r="A694" s="7"/>
      <c r="B694" s="7"/>
      <c r="C694" s="7"/>
    </row>
    <row r="695" spans="1:3" ht="12.45" x14ac:dyDescent="0.3">
      <c r="A695" s="7"/>
      <c r="B695" s="7"/>
      <c r="C695" s="7"/>
    </row>
    <row r="696" spans="1:3" ht="12.45" x14ac:dyDescent="0.3">
      <c r="A696" s="7"/>
      <c r="B696" s="7"/>
      <c r="C696" s="7"/>
    </row>
    <row r="697" spans="1:3" ht="12.45" x14ac:dyDescent="0.3">
      <c r="A697" s="7"/>
      <c r="B697" s="7"/>
      <c r="C697" s="7"/>
    </row>
    <row r="698" spans="1:3" ht="12.45" x14ac:dyDescent="0.3">
      <c r="A698" s="7"/>
      <c r="B698" s="7"/>
      <c r="C698" s="7"/>
    </row>
    <row r="699" spans="1:3" ht="12.45" x14ac:dyDescent="0.3">
      <c r="A699" s="7"/>
      <c r="B699" s="7"/>
      <c r="C699" s="7"/>
    </row>
    <row r="700" spans="1:3" ht="12.45" x14ac:dyDescent="0.3">
      <c r="A700" s="7"/>
      <c r="B700" s="7"/>
      <c r="C700" s="7"/>
    </row>
    <row r="701" spans="1:3" ht="12.45" x14ac:dyDescent="0.3">
      <c r="A701" s="7"/>
      <c r="B701" s="7"/>
      <c r="C701" s="7"/>
    </row>
    <row r="702" spans="1:3" ht="12.45" x14ac:dyDescent="0.3">
      <c r="A702" s="7"/>
      <c r="B702" s="7"/>
      <c r="C702" s="7"/>
    </row>
    <row r="703" spans="1:3" ht="12.45" x14ac:dyDescent="0.3">
      <c r="A703" s="7"/>
      <c r="B703" s="7"/>
      <c r="C703" s="7"/>
    </row>
    <row r="704" spans="1:3" ht="12.45" x14ac:dyDescent="0.3">
      <c r="A704" s="7"/>
      <c r="B704" s="7"/>
      <c r="C704" s="7"/>
    </row>
    <row r="705" spans="1:3" ht="12.45" x14ac:dyDescent="0.3">
      <c r="A705" s="7"/>
      <c r="B705" s="7"/>
      <c r="C705" s="7"/>
    </row>
    <row r="706" spans="1:3" ht="12.45" x14ac:dyDescent="0.3">
      <c r="A706" s="7"/>
      <c r="B706" s="7"/>
      <c r="C706" s="7"/>
    </row>
    <row r="707" spans="1:3" ht="12.45" x14ac:dyDescent="0.3">
      <c r="A707" s="7"/>
      <c r="B707" s="7"/>
      <c r="C707" s="7"/>
    </row>
    <row r="708" spans="1:3" ht="12.45" x14ac:dyDescent="0.3">
      <c r="A708" s="7"/>
      <c r="B708" s="7"/>
      <c r="C708" s="7"/>
    </row>
    <row r="709" spans="1:3" ht="12.45" x14ac:dyDescent="0.3">
      <c r="A709" s="7"/>
      <c r="B709" s="7"/>
      <c r="C709" s="7"/>
    </row>
    <row r="710" spans="1:3" ht="12.45" x14ac:dyDescent="0.3">
      <c r="A710" s="7"/>
      <c r="B710" s="7"/>
      <c r="C710" s="7"/>
    </row>
    <row r="711" spans="1:3" ht="12.45" x14ac:dyDescent="0.3">
      <c r="A711" s="7"/>
      <c r="B711" s="7"/>
      <c r="C711" s="7"/>
    </row>
    <row r="712" spans="1:3" ht="12.45" x14ac:dyDescent="0.3">
      <c r="A712" s="7"/>
      <c r="B712" s="7"/>
      <c r="C712" s="7"/>
    </row>
    <row r="713" spans="1:3" ht="12.45" x14ac:dyDescent="0.3">
      <c r="A713" s="7"/>
      <c r="B713" s="7"/>
      <c r="C713" s="7"/>
    </row>
    <row r="714" spans="1:3" ht="12.45" x14ac:dyDescent="0.3">
      <c r="A714" s="7"/>
      <c r="B714" s="7"/>
      <c r="C714" s="7"/>
    </row>
    <row r="715" spans="1:3" ht="12.45" x14ac:dyDescent="0.3">
      <c r="A715" s="7"/>
      <c r="B715" s="7"/>
      <c r="C715" s="7"/>
    </row>
    <row r="716" spans="1:3" ht="12.45" x14ac:dyDescent="0.3">
      <c r="A716" s="7"/>
      <c r="B716" s="7"/>
      <c r="C716" s="7"/>
    </row>
    <row r="717" spans="1:3" ht="12.45" x14ac:dyDescent="0.3">
      <c r="A717" s="7"/>
      <c r="B717" s="7"/>
      <c r="C717" s="7"/>
    </row>
    <row r="718" spans="1:3" ht="12.45" x14ac:dyDescent="0.3">
      <c r="A718" s="7"/>
      <c r="B718" s="7"/>
      <c r="C718" s="7"/>
    </row>
    <row r="719" spans="1:3" ht="12.45" x14ac:dyDescent="0.3">
      <c r="A719" s="7"/>
      <c r="B719" s="7"/>
      <c r="C719" s="7"/>
    </row>
    <row r="720" spans="1:3" ht="12.45" x14ac:dyDescent="0.3">
      <c r="A720" s="7"/>
      <c r="B720" s="7"/>
      <c r="C720" s="7"/>
    </row>
    <row r="721" spans="1:3" ht="12.45" x14ac:dyDescent="0.3">
      <c r="A721" s="7"/>
      <c r="B721" s="7"/>
      <c r="C721" s="7"/>
    </row>
    <row r="722" spans="1:3" ht="12.45" x14ac:dyDescent="0.3">
      <c r="A722" s="7"/>
      <c r="B722" s="7"/>
      <c r="C722" s="7"/>
    </row>
    <row r="723" spans="1:3" ht="12.45" x14ac:dyDescent="0.3">
      <c r="A723" s="7"/>
      <c r="B723" s="7"/>
      <c r="C723" s="7"/>
    </row>
    <row r="724" spans="1:3" ht="12.45" x14ac:dyDescent="0.3">
      <c r="A724" s="7"/>
      <c r="B724" s="7"/>
      <c r="C724" s="7"/>
    </row>
    <row r="725" spans="1:3" ht="12.45" x14ac:dyDescent="0.3">
      <c r="A725" s="7"/>
      <c r="B725" s="7"/>
      <c r="C725" s="7"/>
    </row>
    <row r="726" spans="1:3" ht="12.45" x14ac:dyDescent="0.3">
      <c r="A726" s="7"/>
      <c r="B726" s="7"/>
      <c r="C726" s="7"/>
    </row>
    <row r="727" spans="1:3" ht="12.45" x14ac:dyDescent="0.3">
      <c r="A727" s="7"/>
      <c r="B727" s="7"/>
      <c r="C727" s="7"/>
    </row>
    <row r="728" spans="1:3" ht="12.45" x14ac:dyDescent="0.3">
      <c r="A728" s="7"/>
      <c r="B728" s="7"/>
      <c r="C728" s="7"/>
    </row>
    <row r="729" spans="1:3" ht="12.45" x14ac:dyDescent="0.3">
      <c r="A729" s="7"/>
      <c r="B729" s="7"/>
      <c r="C729" s="7"/>
    </row>
    <row r="730" spans="1:3" ht="12.45" x14ac:dyDescent="0.3">
      <c r="A730" s="7"/>
      <c r="B730" s="7"/>
      <c r="C730" s="7"/>
    </row>
    <row r="731" spans="1:3" ht="12.45" x14ac:dyDescent="0.3">
      <c r="A731" s="7"/>
      <c r="B731" s="7"/>
      <c r="C731" s="7"/>
    </row>
    <row r="732" spans="1:3" ht="12.45" x14ac:dyDescent="0.3">
      <c r="A732" s="7"/>
      <c r="B732" s="7"/>
      <c r="C732" s="7"/>
    </row>
    <row r="733" spans="1:3" ht="12.45" x14ac:dyDescent="0.3">
      <c r="A733" s="7"/>
      <c r="B733" s="7"/>
      <c r="C733" s="7"/>
    </row>
    <row r="734" spans="1:3" ht="12.45" x14ac:dyDescent="0.3">
      <c r="A734" s="7"/>
      <c r="B734" s="7"/>
      <c r="C734" s="7"/>
    </row>
    <row r="735" spans="1:3" ht="12.45" x14ac:dyDescent="0.3">
      <c r="A735" s="7"/>
      <c r="B735" s="7"/>
      <c r="C735" s="7"/>
    </row>
    <row r="736" spans="1:3" ht="12.45" x14ac:dyDescent="0.3">
      <c r="A736" s="7"/>
      <c r="B736" s="7"/>
      <c r="C736" s="7"/>
    </row>
    <row r="737" spans="1:3" ht="12.45" x14ac:dyDescent="0.3">
      <c r="A737" s="7"/>
      <c r="B737" s="7"/>
      <c r="C737" s="7"/>
    </row>
    <row r="738" spans="1:3" ht="12.45" x14ac:dyDescent="0.3">
      <c r="A738" s="7"/>
      <c r="B738" s="7"/>
      <c r="C738" s="7"/>
    </row>
    <row r="739" spans="1:3" ht="12.45" x14ac:dyDescent="0.3">
      <c r="A739" s="7"/>
      <c r="B739" s="7"/>
      <c r="C739" s="7"/>
    </row>
    <row r="740" spans="1:3" ht="12.45" x14ac:dyDescent="0.3">
      <c r="A740" s="7"/>
      <c r="B740" s="7"/>
      <c r="C740" s="7"/>
    </row>
    <row r="741" spans="1:3" ht="12.45" x14ac:dyDescent="0.3">
      <c r="A741" s="7"/>
      <c r="B741" s="7"/>
      <c r="C741" s="7"/>
    </row>
    <row r="742" spans="1:3" ht="12.45" x14ac:dyDescent="0.3">
      <c r="A742" s="7"/>
      <c r="B742" s="7"/>
      <c r="C742" s="7"/>
    </row>
    <row r="743" spans="1:3" ht="12.45" x14ac:dyDescent="0.3">
      <c r="A743" s="7"/>
      <c r="B743" s="7"/>
      <c r="C743" s="7"/>
    </row>
    <row r="744" spans="1:3" ht="12.45" x14ac:dyDescent="0.3">
      <c r="A744" s="7"/>
      <c r="B744" s="7"/>
      <c r="C744" s="7"/>
    </row>
    <row r="745" spans="1:3" ht="12.45" x14ac:dyDescent="0.3">
      <c r="A745" s="7"/>
      <c r="B745" s="7"/>
      <c r="C745" s="7"/>
    </row>
    <row r="746" spans="1:3" ht="12.45" x14ac:dyDescent="0.3">
      <c r="A746" s="7"/>
      <c r="B746" s="7"/>
      <c r="C746" s="7"/>
    </row>
    <row r="747" spans="1:3" ht="12.45" x14ac:dyDescent="0.3">
      <c r="A747" s="7"/>
      <c r="B747" s="7"/>
      <c r="C747" s="7"/>
    </row>
    <row r="748" spans="1:3" ht="12.45" x14ac:dyDescent="0.3">
      <c r="A748" s="7"/>
      <c r="B748" s="7"/>
      <c r="C748" s="7"/>
    </row>
    <row r="749" spans="1:3" ht="12.45" x14ac:dyDescent="0.3">
      <c r="A749" s="7"/>
      <c r="B749" s="7"/>
      <c r="C749" s="7"/>
    </row>
    <row r="750" spans="1:3" ht="12.45" x14ac:dyDescent="0.3">
      <c r="A750" s="7"/>
      <c r="B750" s="7"/>
      <c r="C750" s="7"/>
    </row>
    <row r="751" spans="1:3" ht="12.45" x14ac:dyDescent="0.3">
      <c r="A751" s="7"/>
      <c r="B751" s="7"/>
      <c r="C751" s="7"/>
    </row>
    <row r="752" spans="1:3" ht="12.45" x14ac:dyDescent="0.3">
      <c r="A752" s="7"/>
      <c r="B752" s="7"/>
      <c r="C752" s="7"/>
    </row>
    <row r="753" spans="1:3" ht="12.45" x14ac:dyDescent="0.3">
      <c r="A753" s="7"/>
      <c r="B753" s="7"/>
      <c r="C753" s="7"/>
    </row>
    <row r="754" spans="1:3" ht="12.45" x14ac:dyDescent="0.3">
      <c r="A754" s="7"/>
      <c r="B754" s="7"/>
      <c r="C754" s="7"/>
    </row>
    <row r="755" spans="1:3" ht="12.45" x14ac:dyDescent="0.3">
      <c r="A755" s="7"/>
      <c r="B755" s="7"/>
      <c r="C755" s="7"/>
    </row>
    <row r="756" spans="1:3" ht="12.45" x14ac:dyDescent="0.3">
      <c r="A756" s="7"/>
      <c r="B756" s="7"/>
      <c r="C756" s="7"/>
    </row>
    <row r="757" spans="1:3" ht="12.45" x14ac:dyDescent="0.3">
      <c r="A757" s="7"/>
      <c r="B757" s="7"/>
      <c r="C757" s="7"/>
    </row>
    <row r="758" spans="1:3" ht="12.45" x14ac:dyDescent="0.3">
      <c r="A758" s="7"/>
      <c r="B758" s="7"/>
      <c r="C758" s="7"/>
    </row>
    <row r="759" spans="1:3" ht="12.45" x14ac:dyDescent="0.3">
      <c r="A759" s="7"/>
      <c r="B759" s="7"/>
      <c r="C759" s="7"/>
    </row>
    <row r="760" spans="1:3" ht="12.45" x14ac:dyDescent="0.3">
      <c r="A760" s="7"/>
      <c r="B760" s="7"/>
      <c r="C760" s="7"/>
    </row>
    <row r="761" spans="1:3" ht="12.45" x14ac:dyDescent="0.3">
      <c r="A761" s="7"/>
      <c r="B761" s="7"/>
      <c r="C761" s="7"/>
    </row>
    <row r="762" spans="1:3" ht="12.45" x14ac:dyDescent="0.3">
      <c r="A762" s="7"/>
      <c r="B762" s="7"/>
      <c r="C762" s="7"/>
    </row>
    <row r="763" spans="1:3" ht="12.45" x14ac:dyDescent="0.3">
      <c r="A763" s="7"/>
      <c r="B763" s="7"/>
      <c r="C763" s="7"/>
    </row>
    <row r="764" spans="1:3" ht="12.45" x14ac:dyDescent="0.3">
      <c r="A764" s="7"/>
      <c r="B764" s="7"/>
      <c r="C764" s="7"/>
    </row>
    <row r="765" spans="1:3" ht="12.45" x14ac:dyDescent="0.3">
      <c r="A765" s="7"/>
      <c r="B765" s="7"/>
      <c r="C765" s="7"/>
    </row>
    <row r="766" spans="1:3" ht="12.45" x14ac:dyDescent="0.3">
      <c r="A766" s="7"/>
      <c r="B766" s="7"/>
      <c r="C766" s="7"/>
    </row>
    <row r="767" spans="1:3" ht="12.45" x14ac:dyDescent="0.3">
      <c r="A767" s="7"/>
      <c r="B767" s="7"/>
      <c r="C767" s="7"/>
    </row>
    <row r="768" spans="1:3" ht="12.45" x14ac:dyDescent="0.3">
      <c r="A768" s="7"/>
      <c r="B768" s="7"/>
      <c r="C768" s="7"/>
    </row>
    <row r="769" spans="1:3" ht="12.45" x14ac:dyDescent="0.3">
      <c r="A769" s="7"/>
      <c r="B769" s="7"/>
      <c r="C769" s="7"/>
    </row>
    <row r="770" spans="1:3" ht="12.45" x14ac:dyDescent="0.3">
      <c r="A770" s="7"/>
      <c r="B770" s="7"/>
      <c r="C770" s="7"/>
    </row>
    <row r="771" spans="1:3" ht="12.45" x14ac:dyDescent="0.3">
      <c r="A771" s="7"/>
      <c r="B771" s="7"/>
      <c r="C771" s="7"/>
    </row>
    <row r="772" spans="1:3" ht="12.45" x14ac:dyDescent="0.3">
      <c r="A772" s="7"/>
      <c r="B772" s="7"/>
      <c r="C772" s="7"/>
    </row>
    <row r="773" spans="1:3" ht="12.45" x14ac:dyDescent="0.3">
      <c r="A773" s="7"/>
      <c r="B773" s="7"/>
      <c r="C773" s="7"/>
    </row>
    <row r="774" spans="1:3" ht="12.45" x14ac:dyDescent="0.3">
      <c r="A774" s="7"/>
      <c r="B774" s="7"/>
      <c r="C774" s="7"/>
    </row>
    <row r="775" spans="1:3" ht="12.45" x14ac:dyDescent="0.3">
      <c r="A775" s="7"/>
      <c r="B775" s="7"/>
      <c r="C775" s="7"/>
    </row>
    <row r="776" spans="1:3" ht="12.45" x14ac:dyDescent="0.3">
      <c r="A776" s="7"/>
      <c r="B776" s="7"/>
      <c r="C776" s="7"/>
    </row>
    <row r="777" spans="1:3" ht="12.45" x14ac:dyDescent="0.3">
      <c r="A777" s="7"/>
      <c r="B777" s="7"/>
      <c r="C777" s="7"/>
    </row>
    <row r="778" spans="1:3" ht="12.45" x14ac:dyDescent="0.3">
      <c r="A778" s="7"/>
      <c r="B778" s="7"/>
      <c r="C778" s="7"/>
    </row>
    <row r="779" spans="1:3" ht="12.45" x14ac:dyDescent="0.3">
      <c r="A779" s="7"/>
      <c r="B779" s="7"/>
      <c r="C779" s="7"/>
    </row>
    <row r="780" spans="1:3" ht="12.45" x14ac:dyDescent="0.3">
      <c r="A780" s="7"/>
      <c r="B780" s="7"/>
      <c r="C780" s="7"/>
    </row>
    <row r="781" spans="1:3" ht="12.45" x14ac:dyDescent="0.3">
      <c r="A781" s="7"/>
      <c r="B781" s="7"/>
      <c r="C781" s="7"/>
    </row>
    <row r="782" spans="1:3" ht="12.45" x14ac:dyDescent="0.3">
      <c r="A782" s="7"/>
      <c r="B782" s="7"/>
      <c r="C782" s="7"/>
    </row>
    <row r="783" spans="1:3" ht="12.45" x14ac:dyDescent="0.3">
      <c r="A783" s="7"/>
      <c r="B783" s="7"/>
      <c r="C783" s="7"/>
    </row>
    <row r="784" spans="1:3" ht="12.45" x14ac:dyDescent="0.3">
      <c r="A784" s="7"/>
      <c r="B784" s="7"/>
      <c r="C784" s="7"/>
    </row>
    <row r="785" spans="1:3" ht="12.45" x14ac:dyDescent="0.3">
      <c r="A785" s="7"/>
      <c r="B785" s="7"/>
      <c r="C785" s="7"/>
    </row>
    <row r="786" spans="1:3" ht="12.45" x14ac:dyDescent="0.3">
      <c r="A786" s="7"/>
      <c r="B786" s="7"/>
      <c r="C786" s="7"/>
    </row>
    <row r="787" spans="1:3" ht="12.45" x14ac:dyDescent="0.3">
      <c r="A787" s="7"/>
      <c r="B787" s="7"/>
      <c r="C787" s="7"/>
    </row>
    <row r="788" spans="1:3" ht="12.45" x14ac:dyDescent="0.3">
      <c r="A788" s="7"/>
      <c r="B788" s="7"/>
      <c r="C788" s="7"/>
    </row>
    <row r="789" spans="1:3" ht="12.45" x14ac:dyDescent="0.3">
      <c r="A789" s="7"/>
      <c r="B789" s="7"/>
      <c r="C789" s="7"/>
    </row>
    <row r="790" spans="1:3" ht="12.45" x14ac:dyDescent="0.3">
      <c r="A790" s="7"/>
      <c r="B790" s="7"/>
      <c r="C790" s="7"/>
    </row>
    <row r="791" spans="1:3" ht="12.45" x14ac:dyDescent="0.3">
      <c r="A791" s="7"/>
      <c r="B791" s="7"/>
      <c r="C791" s="7"/>
    </row>
    <row r="792" spans="1:3" ht="12.45" x14ac:dyDescent="0.3">
      <c r="A792" s="7"/>
      <c r="B792" s="7"/>
      <c r="C792" s="7"/>
    </row>
    <row r="793" spans="1:3" ht="12.45" x14ac:dyDescent="0.3">
      <c r="A793" s="7"/>
      <c r="B793" s="7"/>
      <c r="C793" s="7"/>
    </row>
    <row r="794" spans="1:3" ht="12.45" x14ac:dyDescent="0.3">
      <c r="A794" s="7"/>
      <c r="B794" s="7"/>
      <c r="C794" s="7"/>
    </row>
    <row r="795" spans="1:3" ht="12.45" x14ac:dyDescent="0.3">
      <c r="A795" s="7"/>
      <c r="B795" s="7"/>
      <c r="C795" s="7"/>
    </row>
    <row r="796" spans="1:3" ht="12.45" x14ac:dyDescent="0.3">
      <c r="A796" s="7"/>
      <c r="B796" s="7"/>
      <c r="C796" s="7"/>
    </row>
    <row r="797" spans="1:3" ht="12.45" x14ac:dyDescent="0.3">
      <c r="A797" s="7"/>
      <c r="B797" s="7"/>
      <c r="C797" s="7"/>
    </row>
    <row r="798" spans="1:3" ht="12.45" x14ac:dyDescent="0.3">
      <c r="A798" s="7"/>
      <c r="B798" s="7"/>
      <c r="C798" s="7"/>
    </row>
    <row r="799" spans="1:3" ht="12.45" x14ac:dyDescent="0.3">
      <c r="A799" s="7"/>
      <c r="B799" s="7"/>
      <c r="C799" s="7"/>
    </row>
    <row r="800" spans="1:3" ht="12.45" x14ac:dyDescent="0.3">
      <c r="A800" s="7"/>
      <c r="B800" s="7"/>
      <c r="C800" s="7"/>
    </row>
    <row r="801" spans="1:3" ht="12.45" x14ac:dyDescent="0.3">
      <c r="A801" s="7"/>
      <c r="B801" s="7"/>
      <c r="C801" s="7"/>
    </row>
    <row r="802" spans="1:3" ht="12.45" x14ac:dyDescent="0.3">
      <c r="A802" s="7"/>
      <c r="B802" s="7"/>
      <c r="C802" s="7"/>
    </row>
    <row r="803" spans="1:3" ht="12.45" x14ac:dyDescent="0.3">
      <c r="A803" s="7"/>
      <c r="B803" s="7"/>
      <c r="C803" s="7"/>
    </row>
    <row r="804" spans="1:3" ht="12.45" x14ac:dyDescent="0.3">
      <c r="A804" s="7"/>
      <c r="B804" s="7"/>
      <c r="C804" s="7"/>
    </row>
    <row r="805" spans="1:3" ht="12.45" x14ac:dyDescent="0.3">
      <c r="A805" s="7"/>
      <c r="B805" s="7"/>
      <c r="C805" s="7"/>
    </row>
    <row r="806" spans="1:3" ht="12.45" x14ac:dyDescent="0.3">
      <c r="A806" s="7"/>
      <c r="B806" s="7"/>
      <c r="C806" s="7"/>
    </row>
    <row r="807" spans="1:3" ht="12.45" x14ac:dyDescent="0.3">
      <c r="A807" s="7"/>
      <c r="B807" s="7"/>
      <c r="C807" s="7"/>
    </row>
    <row r="808" spans="1:3" ht="12.45" x14ac:dyDescent="0.3">
      <c r="A808" s="7"/>
      <c r="B808" s="7"/>
      <c r="C808" s="7"/>
    </row>
    <row r="809" spans="1:3" ht="12.45" x14ac:dyDescent="0.3">
      <c r="A809" s="7"/>
      <c r="B809" s="7"/>
      <c r="C809" s="7"/>
    </row>
    <row r="810" spans="1:3" ht="12.45" x14ac:dyDescent="0.3">
      <c r="A810" s="7"/>
      <c r="B810" s="7"/>
      <c r="C810" s="7"/>
    </row>
    <row r="811" spans="1:3" ht="12.45" x14ac:dyDescent="0.3">
      <c r="A811" s="7"/>
      <c r="B811" s="7"/>
      <c r="C811" s="7"/>
    </row>
    <row r="812" spans="1:3" ht="12.45" x14ac:dyDescent="0.3">
      <c r="A812" s="7"/>
      <c r="B812" s="7"/>
      <c r="C812" s="7"/>
    </row>
    <row r="813" spans="1:3" ht="12.45" x14ac:dyDescent="0.3">
      <c r="A813" s="7"/>
      <c r="B813" s="7"/>
      <c r="C813" s="7"/>
    </row>
    <row r="814" spans="1:3" ht="12.45" x14ac:dyDescent="0.3">
      <c r="A814" s="7"/>
      <c r="B814" s="7"/>
      <c r="C814" s="7"/>
    </row>
    <row r="815" spans="1:3" ht="12.45" x14ac:dyDescent="0.3">
      <c r="A815" s="7"/>
      <c r="B815" s="7"/>
      <c r="C815" s="7"/>
    </row>
    <row r="816" spans="1:3" ht="12.45" x14ac:dyDescent="0.3">
      <c r="A816" s="7"/>
      <c r="B816" s="7"/>
      <c r="C816" s="7"/>
    </row>
    <row r="817" spans="1:3" ht="12.45" x14ac:dyDescent="0.3">
      <c r="A817" s="7"/>
      <c r="B817" s="7"/>
      <c r="C817" s="7"/>
    </row>
    <row r="818" spans="1:3" ht="12.45" x14ac:dyDescent="0.3">
      <c r="A818" s="7"/>
      <c r="B818" s="7"/>
      <c r="C818" s="7"/>
    </row>
    <row r="819" spans="1:3" ht="12.45" x14ac:dyDescent="0.3">
      <c r="A819" s="7"/>
      <c r="B819" s="7"/>
      <c r="C819" s="7"/>
    </row>
    <row r="820" spans="1:3" ht="12.45" x14ac:dyDescent="0.3">
      <c r="A820" s="7"/>
      <c r="B820" s="7"/>
      <c r="C820" s="7"/>
    </row>
    <row r="821" spans="1:3" ht="12.45" x14ac:dyDescent="0.3">
      <c r="A821" s="7"/>
      <c r="B821" s="7"/>
      <c r="C821" s="7"/>
    </row>
    <row r="822" spans="1:3" ht="12.45" x14ac:dyDescent="0.3">
      <c r="A822" s="7"/>
      <c r="B822" s="7"/>
      <c r="C822" s="7"/>
    </row>
    <row r="823" spans="1:3" ht="12.45" x14ac:dyDescent="0.3">
      <c r="A823" s="7"/>
      <c r="B823" s="7"/>
      <c r="C823" s="7"/>
    </row>
    <row r="824" spans="1:3" ht="12.45" x14ac:dyDescent="0.3">
      <c r="A824" s="7"/>
      <c r="B824" s="7"/>
      <c r="C824" s="7"/>
    </row>
    <row r="825" spans="1:3" ht="12.45" x14ac:dyDescent="0.3">
      <c r="A825" s="7"/>
      <c r="B825" s="7"/>
      <c r="C825" s="7"/>
    </row>
    <row r="826" spans="1:3" ht="12.45" x14ac:dyDescent="0.3">
      <c r="A826" s="7"/>
      <c r="B826" s="7"/>
      <c r="C826" s="7"/>
    </row>
    <row r="827" spans="1:3" ht="12.45" x14ac:dyDescent="0.3">
      <c r="A827" s="7"/>
      <c r="B827" s="7"/>
      <c r="C827" s="7"/>
    </row>
    <row r="828" spans="1:3" ht="12.45" x14ac:dyDescent="0.3">
      <c r="A828" s="7"/>
      <c r="B828" s="7"/>
      <c r="C828" s="7"/>
    </row>
    <row r="829" spans="1:3" ht="12.45" x14ac:dyDescent="0.3">
      <c r="A829" s="7"/>
      <c r="B829" s="7"/>
      <c r="C829" s="7"/>
    </row>
    <row r="830" spans="1:3" ht="12.45" x14ac:dyDescent="0.3">
      <c r="A830" s="7"/>
      <c r="B830" s="7"/>
      <c r="C830" s="7"/>
    </row>
    <row r="831" spans="1:3" ht="12.45" x14ac:dyDescent="0.3">
      <c r="A831" s="7"/>
      <c r="B831" s="7"/>
      <c r="C831" s="7"/>
    </row>
    <row r="832" spans="1:3" ht="12.45" x14ac:dyDescent="0.3">
      <c r="A832" s="7"/>
      <c r="B832" s="7"/>
      <c r="C832" s="7"/>
    </row>
    <row r="833" spans="1:3" ht="12.45" x14ac:dyDescent="0.3">
      <c r="A833" s="7"/>
      <c r="B833" s="7"/>
      <c r="C833" s="7"/>
    </row>
    <row r="834" spans="1:3" ht="12.45" x14ac:dyDescent="0.3">
      <c r="A834" s="7"/>
      <c r="B834" s="7"/>
      <c r="C834" s="7"/>
    </row>
    <row r="835" spans="1:3" ht="12.45" x14ac:dyDescent="0.3">
      <c r="A835" s="7"/>
      <c r="B835" s="7"/>
      <c r="C835" s="7"/>
    </row>
    <row r="836" spans="1:3" ht="12.45" x14ac:dyDescent="0.3">
      <c r="A836" s="7"/>
      <c r="B836" s="7"/>
      <c r="C836" s="7"/>
    </row>
    <row r="837" spans="1:3" ht="12.45" x14ac:dyDescent="0.3">
      <c r="A837" s="7"/>
      <c r="B837" s="7"/>
      <c r="C837" s="7"/>
    </row>
    <row r="838" spans="1:3" ht="12.45" x14ac:dyDescent="0.3">
      <c r="A838" s="7"/>
      <c r="B838" s="7"/>
      <c r="C838" s="7"/>
    </row>
    <row r="839" spans="1:3" ht="12.45" x14ac:dyDescent="0.3">
      <c r="A839" s="7"/>
      <c r="B839" s="7"/>
      <c r="C839" s="7"/>
    </row>
    <row r="840" spans="1:3" ht="12.45" x14ac:dyDescent="0.3">
      <c r="A840" s="7"/>
      <c r="B840" s="7"/>
      <c r="C840" s="7"/>
    </row>
    <row r="841" spans="1:3" ht="12.45" x14ac:dyDescent="0.3">
      <c r="A841" s="7"/>
      <c r="B841" s="7"/>
      <c r="C841" s="7"/>
    </row>
    <row r="842" spans="1:3" ht="12.45" x14ac:dyDescent="0.3">
      <c r="A842" s="7"/>
      <c r="B842" s="7"/>
      <c r="C842" s="7"/>
    </row>
    <row r="843" spans="1:3" ht="12.45" x14ac:dyDescent="0.3">
      <c r="A843" s="7"/>
      <c r="B843" s="7"/>
      <c r="C843" s="7"/>
    </row>
    <row r="844" spans="1:3" ht="12.45" x14ac:dyDescent="0.3">
      <c r="A844" s="7"/>
      <c r="B844" s="7"/>
      <c r="C844" s="7"/>
    </row>
    <row r="845" spans="1:3" ht="12.45" x14ac:dyDescent="0.3">
      <c r="A845" s="7"/>
      <c r="B845" s="7"/>
      <c r="C845" s="7"/>
    </row>
    <row r="846" spans="1:3" ht="12.45" x14ac:dyDescent="0.3">
      <c r="A846" s="7"/>
      <c r="B846" s="7"/>
      <c r="C846" s="7"/>
    </row>
    <row r="847" spans="1:3" ht="12.45" x14ac:dyDescent="0.3">
      <c r="A847" s="7"/>
      <c r="B847" s="7"/>
      <c r="C847" s="7"/>
    </row>
    <row r="848" spans="1:3" ht="12.45" x14ac:dyDescent="0.3">
      <c r="A848" s="7"/>
      <c r="B848" s="7"/>
      <c r="C848" s="7"/>
    </row>
    <row r="849" spans="1:3" ht="12.45" x14ac:dyDescent="0.3">
      <c r="A849" s="7"/>
      <c r="B849" s="7"/>
      <c r="C849" s="7"/>
    </row>
    <row r="850" spans="1:3" ht="12.45" x14ac:dyDescent="0.3">
      <c r="A850" s="7"/>
      <c r="B850" s="7"/>
      <c r="C850" s="7"/>
    </row>
    <row r="851" spans="1:3" ht="12.45" x14ac:dyDescent="0.3">
      <c r="A851" s="7"/>
      <c r="B851" s="7"/>
      <c r="C851" s="7"/>
    </row>
    <row r="852" spans="1:3" ht="12.45" x14ac:dyDescent="0.3">
      <c r="A852" s="7"/>
      <c r="B852" s="7"/>
      <c r="C852" s="7"/>
    </row>
    <row r="853" spans="1:3" ht="12.45" x14ac:dyDescent="0.3">
      <c r="A853" s="7"/>
      <c r="B853" s="7"/>
      <c r="C853" s="7"/>
    </row>
    <row r="854" spans="1:3" ht="12.45" x14ac:dyDescent="0.3">
      <c r="A854" s="7"/>
      <c r="B854" s="7"/>
      <c r="C854" s="7"/>
    </row>
    <row r="855" spans="1:3" ht="12.45" x14ac:dyDescent="0.3">
      <c r="A855" s="7"/>
      <c r="B855" s="7"/>
      <c r="C855" s="7"/>
    </row>
    <row r="856" spans="1:3" ht="12.45" x14ac:dyDescent="0.3">
      <c r="A856" s="7"/>
      <c r="B856" s="7"/>
      <c r="C856" s="7"/>
    </row>
    <row r="857" spans="1:3" ht="12.45" x14ac:dyDescent="0.3">
      <c r="A857" s="7"/>
      <c r="B857" s="7"/>
      <c r="C857" s="7"/>
    </row>
    <row r="858" spans="1:3" ht="12.45" x14ac:dyDescent="0.3">
      <c r="A858" s="7"/>
      <c r="B858" s="7"/>
      <c r="C858" s="7"/>
    </row>
    <row r="859" spans="1:3" ht="12.45" x14ac:dyDescent="0.3">
      <c r="A859" s="7"/>
      <c r="B859" s="7"/>
      <c r="C859" s="7"/>
    </row>
    <row r="860" spans="1:3" ht="12.45" x14ac:dyDescent="0.3">
      <c r="A860" s="7"/>
      <c r="B860" s="7"/>
      <c r="C860" s="7"/>
    </row>
    <row r="861" spans="1:3" ht="12.45" x14ac:dyDescent="0.3">
      <c r="A861" s="7"/>
      <c r="B861" s="7"/>
      <c r="C861" s="7"/>
    </row>
    <row r="862" spans="1:3" ht="12.45" x14ac:dyDescent="0.3">
      <c r="A862" s="7"/>
      <c r="B862" s="7"/>
      <c r="C862" s="7"/>
    </row>
    <row r="863" spans="1:3" ht="12.45" x14ac:dyDescent="0.3">
      <c r="A863" s="7"/>
      <c r="B863" s="7"/>
      <c r="C863" s="7"/>
    </row>
    <row r="864" spans="1:3" ht="12.45" x14ac:dyDescent="0.3">
      <c r="A864" s="7"/>
      <c r="B864" s="7"/>
      <c r="C864" s="7"/>
    </row>
    <row r="865" spans="1:3" ht="12.45" x14ac:dyDescent="0.3">
      <c r="A865" s="7"/>
      <c r="B865" s="7"/>
      <c r="C865" s="7"/>
    </row>
    <row r="866" spans="1:3" ht="12.45" x14ac:dyDescent="0.3">
      <c r="A866" s="7"/>
      <c r="B866" s="7"/>
      <c r="C866" s="7"/>
    </row>
    <row r="867" spans="1:3" ht="12.45" x14ac:dyDescent="0.3">
      <c r="A867" s="7"/>
      <c r="B867" s="7"/>
      <c r="C867" s="7"/>
    </row>
    <row r="868" spans="1:3" ht="12.45" x14ac:dyDescent="0.3">
      <c r="A868" s="7"/>
      <c r="B868" s="7"/>
      <c r="C868" s="7"/>
    </row>
    <row r="869" spans="1:3" ht="12.45" x14ac:dyDescent="0.3">
      <c r="A869" s="7"/>
      <c r="B869" s="7"/>
      <c r="C869" s="7"/>
    </row>
    <row r="870" spans="1:3" ht="12.45" x14ac:dyDescent="0.3">
      <c r="A870" s="7"/>
      <c r="B870" s="7"/>
      <c r="C870" s="7"/>
    </row>
    <row r="871" spans="1:3" ht="12.45" x14ac:dyDescent="0.3">
      <c r="A871" s="7"/>
      <c r="B871" s="7"/>
      <c r="C871" s="7"/>
    </row>
    <row r="872" spans="1:3" ht="12.45" x14ac:dyDescent="0.3">
      <c r="A872" s="7"/>
      <c r="B872" s="7"/>
      <c r="C872" s="7"/>
    </row>
    <row r="873" spans="1:3" ht="12.45" x14ac:dyDescent="0.3">
      <c r="A873" s="7"/>
      <c r="B873" s="7"/>
      <c r="C873" s="7"/>
    </row>
    <row r="874" spans="1:3" ht="12.45" x14ac:dyDescent="0.3">
      <c r="A874" s="7"/>
      <c r="B874" s="7"/>
      <c r="C874" s="7"/>
    </row>
    <row r="875" spans="1:3" ht="12.45" x14ac:dyDescent="0.3">
      <c r="A875" s="7"/>
      <c r="B875" s="7"/>
      <c r="C875" s="7"/>
    </row>
    <row r="876" spans="1:3" ht="12.45" x14ac:dyDescent="0.3">
      <c r="A876" s="7"/>
      <c r="B876" s="7"/>
      <c r="C876" s="7"/>
    </row>
    <row r="877" spans="1:3" ht="12.45" x14ac:dyDescent="0.3">
      <c r="A877" s="7"/>
      <c r="B877" s="7"/>
      <c r="C877" s="7"/>
    </row>
    <row r="878" spans="1:3" ht="12.45" x14ac:dyDescent="0.3">
      <c r="A878" s="7"/>
      <c r="B878" s="7"/>
      <c r="C878" s="7"/>
    </row>
    <row r="879" spans="1:3" ht="12.45" x14ac:dyDescent="0.3">
      <c r="A879" s="7"/>
      <c r="B879" s="7"/>
      <c r="C879" s="7"/>
    </row>
    <row r="880" spans="1:3" ht="12.45" x14ac:dyDescent="0.3">
      <c r="A880" s="7"/>
      <c r="B880" s="7"/>
      <c r="C880" s="7"/>
    </row>
    <row r="881" spans="1:3" ht="12.45" x14ac:dyDescent="0.3">
      <c r="A881" s="7"/>
      <c r="B881" s="7"/>
      <c r="C881" s="7"/>
    </row>
    <row r="882" spans="1:3" ht="12.45" x14ac:dyDescent="0.3">
      <c r="A882" s="7"/>
      <c r="B882" s="7"/>
      <c r="C882" s="7"/>
    </row>
    <row r="883" spans="1:3" ht="12.45" x14ac:dyDescent="0.3">
      <c r="A883" s="7"/>
      <c r="B883" s="7"/>
      <c r="C883" s="7"/>
    </row>
    <row r="884" spans="1:3" ht="12.45" x14ac:dyDescent="0.3">
      <c r="A884" s="7"/>
      <c r="B884" s="7"/>
      <c r="C884" s="7"/>
    </row>
    <row r="885" spans="1:3" ht="12.45" x14ac:dyDescent="0.3">
      <c r="A885" s="7"/>
      <c r="B885" s="7"/>
      <c r="C885" s="7"/>
    </row>
    <row r="886" spans="1:3" ht="12.45" x14ac:dyDescent="0.3">
      <c r="A886" s="7"/>
      <c r="B886" s="7"/>
      <c r="C886" s="7"/>
    </row>
    <row r="887" spans="1:3" ht="12.45" x14ac:dyDescent="0.3">
      <c r="A887" s="7"/>
      <c r="B887" s="7"/>
      <c r="C887" s="7"/>
    </row>
    <row r="888" spans="1:3" ht="12.45" x14ac:dyDescent="0.3">
      <c r="A888" s="7"/>
      <c r="B888" s="7"/>
      <c r="C888" s="7"/>
    </row>
    <row r="889" spans="1:3" ht="12.45" x14ac:dyDescent="0.3">
      <c r="A889" s="7"/>
      <c r="B889" s="7"/>
      <c r="C889" s="7"/>
    </row>
    <row r="890" spans="1:3" ht="12.45" x14ac:dyDescent="0.3">
      <c r="A890" s="7"/>
      <c r="B890" s="7"/>
      <c r="C890" s="7"/>
    </row>
    <row r="891" spans="1:3" ht="12.45" x14ac:dyDescent="0.3">
      <c r="A891" s="7"/>
      <c r="B891" s="7"/>
      <c r="C891" s="7"/>
    </row>
    <row r="892" spans="1:3" ht="12.45" x14ac:dyDescent="0.3">
      <c r="A892" s="7"/>
      <c r="B892" s="7"/>
      <c r="C892" s="7"/>
    </row>
    <row r="893" spans="1:3" ht="12.45" x14ac:dyDescent="0.3">
      <c r="A893" s="7"/>
      <c r="B893" s="7"/>
      <c r="C893" s="7"/>
    </row>
    <row r="894" spans="1:3" ht="12.45" x14ac:dyDescent="0.3">
      <c r="A894" s="7"/>
      <c r="B894" s="7"/>
      <c r="C894" s="7"/>
    </row>
    <row r="895" spans="1:3" ht="12.45" x14ac:dyDescent="0.3">
      <c r="A895" s="7"/>
      <c r="B895" s="7"/>
      <c r="C895" s="7"/>
    </row>
    <row r="896" spans="1:3" ht="12.45" x14ac:dyDescent="0.3">
      <c r="A896" s="7"/>
      <c r="B896" s="7"/>
      <c r="C896" s="7"/>
    </row>
    <row r="897" spans="1:3" ht="12.45" x14ac:dyDescent="0.3">
      <c r="A897" s="7"/>
      <c r="B897" s="7"/>
      <c r="C897" s="7"/>
    </row>
    <row r="898" spans="1:3" ht="12.45" x14ac:dyDescent="0.3">
      <c r="A898" s="7"/>
      <c r="B898" s="7"/>
      <c r="C898" s="7"/>
    </row>
    <row r="899" spans="1:3" ht="12.45" x14ac:dyDescent="0.3">
      <c r="A899" s="7"/>
      <c r="B899" s="7"/>
      <c r="C899" s="7"/>
    </row>
    <row r="900" spans="1:3" ht="12.45" x14ac:dyDescent="0.3">
      <c r="A900" s="7"/>
      <c r="B900" s="7"/>
      <c r="C900" s="7"/>
    </row>
    <row r="901" spans="1:3" ht="12.45" x14ac:dyDescent="0.3">
      <c r="A901" s="7"/>
      <c r="B901" s="7"/>
      <c r="C901" s="7"/>
    </row>
    <row r="902" spans="1:3" ht="12.45" x14ac:dyDescent="0.3">
      <c r="A902" s="7"/>
      <c r="B902" s="7"/>
      <c r="C902" s="7"/>
    </row>
    <row r="903" spans="1:3" ht="12.45" x14ac:dyDescent="0.3">
      <c r="A903" s="7"/>
      <c r="B903" s="7"/>
      <c r="C903" s="7"/>
    </row>
    <row r="904" spans="1:3" ht="12.45" x14ac:dyDescent="0.3">
      <c r="A904" s="7"/>
      <c r="B904" s="7"/>
      <c r="C904" s="7"/>
    </row>
    <row r="905" spans="1:3" ht="12.45" x14ac:dyDescent="0.3">
      <c r="A905" s="7"/>
      <c r="B905" s="7"/>
      <c r="C905" s="7"/>
    </row>
    <row r="906" spans="1:3" ht="12.45" x14ac:dyDescent="0.3">
      <c r="A906" s="7"/>
      <c r="B906" s="7"/>
      <c r="C906" s="7"/>
    </row>
    <row r="907" spans="1:3" ht="12.45" x14ac:dyDescent="0.3">
      <c r="A907" s="7"/>
      <c r="B907" s="7"/>
      <c r="C907" s="7"/>
    </row>
    <row r="908" spans="1:3" ht="12.45" x14ac:dyDescent="0.3">
      <c r="A908" s="7"/>
      <c r="B908" s="7"/>
      <c r="C908" s="7"/>
    </row>
    <row r="909" spans="1:3" ht="12.45" x14ac:dyDescent="0.3">
      <c r="A909" s="7"/>
      <c r="B909" s="7"/>
      <c r="C909" s="7"/>
    </row>
    <row r="910" spans="1:3" ht="12.45" x14ac:dyDescent="0.3">
      <c r="A910" s="7"/>
      <c r="B910" s="7"/>
      <c r="C910" s="7"/>
    </row>
    <row r="911" spans="1:3" ht="12.45" x14ac:dyDescent="0.3">
      <c r="A911" s="7"/>
      <c r="B911" s="7"/>
      <c r="C911" s="7"/>
    </row>
    <row r="912" spans="1:3" ht="12.45" x14ac:dyDescent="0.3">
      <c r="A912" s="7"/>
      <c r="B912" s="7"/>
      <c r="C912" s="7"/>
    </row>
    <row r="913" spans="1:3" ht="12.45" x14ac:dyDescent="0.3">
      <c r="A913" s="7"/>
      <c r="B913" s="7"/>
      <c r="C913" s="7"/>
    </row>
    <row r="914" spans="1:3" ht="12.45" x14ac:dyDescent="0.3">
      <c r="A914" s="7"/>
      <c r="B914" s="7"/>
      <c r="C914" s="7"/>
    </row>
    <row r="915" spans="1:3" ht="12.45" x14ac:dyDescent="0.3">
      <c r="A915" s="7"/>
      <c r="B915" s="7"/>
      <c r="C915" s="7"/>
    </row>
    <row r="916" spans="1:3" ht="12.45" x14ac:dyDescent="0.3">
      <c r="A916" s="7"/>
      <c r="B916" s="7"/>
      <c r="C916" s="7"/>
    </row>
    <row r="917" spans="1:3" ht="12.45" x14ac:dyDescent="0.3">
      <c r="A917" s="7"/>
      <c r="B917" s="7"/>
      <c r="C917" s="7"/>
    </row>
    <row r="918" spans="1:3" ht="12.45" x14ac:dyDescent="0.3">
      <c r="A918" s="7"/>
      <c r="B918" s="7"/>
      <c r="C918" s="7"/>
    </row>
    <row r="919" spans="1:3" ht="12.45" x14ac:dyDescent="0.3">
      <c r="A919" s="7"/>
      <c r="B919" s="7"/>
      <c r="C919" s="7"/>
    </row>
    <row r="920" spans="1:3" ht="12.45" x14ac:dyDescent="0.3">
      <c r="A920" s="7"/>
      <c r="B920" s="7"/>
      <c r="C920" s="7"/>
    </row>
    <row r="921" spans="1:3" ht="12.45" x14ac:dyDescent="0.3">
      <c r="A921" s="7"/>
      <c r="B921" s="7"/>
      <c r="C921" s="7"/>
    </row>
    <row r="922" spans="1:3" ht="12.45" x14ac:dyDescent="0.3">
      <c r="A922" s="7"/>
      <c r="B922" s="7"/>
      <c r="C922" s="7"/>
    </row>
    <row r="923" spans="1:3" ht="12.45" x14ac:dyDescent="0.3">
      <c r="A923" s="7"/>
      <c r="B923" s="7"/>
      <c r="C923" s="7"/>
    </row>
    <row r="924" spans="1:3" ht="12.45" x14ac:dyDescent="0.3">
      <c r="A924" s="7"/>
      <c r="B924" s="7"/>
      <c r="C924" s="7"/>
    </row>
    <row r="925" spans="1:3" ht="12.45" x14ac:dyDescent="0.3">
      <c r="A925" s="7"/>
      <c r="B925" s="7"/>
      <c r="C925" s="7"/>
    </row>
    <row r="926" spans="1:3" ht="12.45" x14ac:dyDescent="0.3">
      <c r="A926" s="7"/>
      <c r="B926" s="7"/>
      <c r="C926" s="7"/>
    </row>
    <row r="927" spans="1:3" ht="12.45" x14ac:dyDescent="0.3">
      <c r="A927" s="7"/>
      <c r="B927" s="7"/>
      <c r="C927" s="7"/>
    </row>
    <row r="928" spans="1:3" ht="12.45" x14ac:dyDescent="0.3">
      <c r="A928" s="7"/>
      <c r="B928" s="7"/>
      <c r="C928" s="7"/>
    </row>
    <row r="929" spans="1:3" ht="12.45" x14ac:dyDescent="0.3">
      <c r="A929" s="7"/>
      <c r="B929" s="7"/>
      <c r="C929" s="7"/>
    </row>
    <row r="930" spans="1:3" ht="12.45" x14ac:dyDescent="0.3">
      <c r="A930" s="7"/>
      <c r="B930" s="7"/>
      <c r="C930" s="7"/>
    </row>
    <row r="931" spans="1:3" ht="12.45" x14ac:dyDescent="0.3">
      <c r="A931" s="7"/>
      <c r="B931" s="7"/>
      <c r="C931" s="7"/>
    </row>
    <row r="932" spans="1:3" ht="12.45" x14ac:dyDescent="0.3">
      <c r="A932" s="7"/>
      <c r="B932" s="7"/>
      <c r="C932" s="7"/>
    </row>
    <row r="933" spans="1:3" ht="12.45" x14ac:dyDescent="0.3">
      <c r="A933" s="7"/>
      <c r="B933" s="7"/>
      <c r="C933" s="7"/>
    </row>
    <row r="934" spans="1:3" ht="12.45" x14ac:dyDescent="0.3">
      <c r="A934" s="7"/>
      <c r="B934" s="7"/>
      <c r="C934" s="7"/>
    </row>
    <row r="935" spans="1:3" ht="12.45" x14ac:dyDescent="0.3">
      <c r="A935" s="7"/>
      <c r="B935" s="7"/>
      <c r="C935" s="7"/>
    </row>
    <row r="936" spans="1:3" ht="12.45" x14ac:dyDescent="0.3">
      <c r="A936" s="7"/>
      <c r="B936" s="7"/>
      <c r="C936" s="7"/>
    </row>
    <row r="937" spans="1:3" ht="12.45" x14ac:dyDescent="0.3">
      <c r="A937" s="7"/>
      <c r="B937" s="7"/>
      <c r="C937" s="7"/>
    </row>
    <row r="938" spans="1:3" ht="12.45" x14ac:dyDescent="0.3">
      <c r="A938" s="7"/>
      <c r="B938" s="7"/>
      <c r="C938" s="7"/>
    </row>
    <row r="939" spans="1:3" ht="12.45" x14ac:dyDescent="0.3">
      <c r="A939" s="7"/>
      <c r="B939" s="7"/>
      <c r="C939" s="7"/>
    </row>
    <row r="940" spans="1:3" ht="12.45" x14ac:dyDescent="0.3">
      <c r="A940" s="7"/>
      <c r="B940" s="7"/>
      <c r="C940" s="7"/>
    </row>
    <row r="941" spans="1:3" ht="12.45" x14ac:dyDescent="0.3">
      <c r="A941" s="7"/>
      <c r="B941" s="7"/>
      <c r="C941" s="7"/>
    </row>
    <row r="942" spans="1:3" ht="12.45" x14ac:dyDescent="0.3">
      <c r="A942" s="7"/>
      <c r="B942" s="7"/>
      <c r="C942" s="7"/>
    </row>
    <row r="943" spans="1:3" ht="12.45" x14ac:dyDescent="0.3">
      <c r="A943" s="7"/>
      <c r="B943" s="7"/>
      <c r="C943" s="7"/>
    </row>
    <row r="944" spans="1:3" ht="12.45" x14ac:dyDescent="0.3">
      <c r="A944" s="7"/>
      <c r="B944" s="7"/>
      <c r="C944" s="7"/>
    </row>
    <row r="945" spans="1:3" ht="12.45" x14ac:dyDescent="0.3">
      <c r="A945" s="7"/>
      <c r="B945" s="7"/>
      <c r="C945" s="7"/>
    </row>
    <row r="946" spans="1:3" ht="12.45" x14ac:dyDescent="0.3">
      <c r="A946" s="7"/>
      <c r="B946" s="7"/>
      <c r="C946" s="7"/>
    </row>
    <row r="947" spans="1:3" ht="12.45" x14ac:dyDescent="0.3">
      <c r="A947" s="7"/>
      <c r="B947" s="7"/>
      <c r="C947" s="7"/>
    </row>
    <row r="948" spans="1:3" ht="12.45" x14ac:dyDescent="0.3">
      <c r="A948" s="7"/>
      <c r="B948" s="7"/>
      <c r="C948" s="7"/>
    </row>
    <row r="949" spans="1:3" ht="12.45" x14ac:dyDescent="0.3">
      <c r="A949" s="7"/>
      <c r="B949" s="7"/>
      <c r="C949" s="7"/>
    </row>
    <row r="950" spans="1:3" ht="12.45" x14ac:dyDescent="0.3">
      <c r="A950" s="7"/>
      <c r="B950" s="7"/>
      <c r="C950" s="7"/>
    </row>
    <row r="951" spans="1:3" ht="12.45" x14ac:dyDescent="0.3">
      <c r="A951" s="7"/>
      <c r="B951" s="7"/>
      <c r="C951" s="7"/>
    </row>
    <row r="952" spans="1:3" ht="12.45" x14ac:dyDescent="0.3">
      <c r="A952" s="7"/>
      <c r="B952" s="7"/>
      <c r="C952" s="7"/>
    </row>
    <row r="953" spans="1:3" ht="12.45" x14ac:dyDescent="0.3">
      <c r="A953" s="7"/>
      <c r="B953" s="7"/>
      <c r="C953" s="7"/>
    </row>
    <row r="954" spans="1:3" ht="12.45" x14ac:dyDescent="0.3">
      <c r="A954" s="7"/>
      <c r="B954" s="7"/>
      <c r="C954" s="7"/>
    </row>
    <row r="955" spans="1:3" ht="12.45" x14ac:dyDescent="0.3">
      <c r="A955" s="7"/>
      <c r="B955" s="7"/>
      <c r="C955" s="7"/>
    </row>
    <row r="956" spans="1:3" ht="12.45" x14ac:dyDescent="0.3">
      <c r="A956" s="7"/>
      <c r="B956" s="7"/>
      <c r="C956" s="7"/>
    </row>
    <row r="957" spans="1:3" ht="12.45" x14ac:dyDescent="0.3">
      <c r="A957" s="7"/>
      <c r="B957" s="7"/>
      <c r="C957" s="7"/>
    </row>
    <row r="958" spans="1:3" ht="12.45" x14ac:dyDescent="0.3">
      <c r="A958" s="7"/>
      <c r="B958" s="7"/>
      <c r="C958" s="7"/>
    </row>
    <row r="959" spans="1:3" ht="12.45" x14ac:dyDescent="0.3">
      <c r="A959" s="7"/>
      <c r="B959" s="7"/>
      <c r="C959" s="7"/>
    </row>
    <row r="960" spans="1:3" ht="12.45" x14ac:dyDescent="0.3">
      <c r="A960" s="7"/>
      <c r="B960" s="7"/>
      <c r="C960" s="7"/>
    </row>
    <row r="961" spans="1:3" ht="12.45" x14ac:dyDescent="0.3">
      <c r="A961" s="7"/>
      <c r="B961" s="7"/>
      <c r="C961" s="7"/>
    </row>
    <row r="962" spans="1:3" ht="12.45" x14ac:dyDescent="0.3">
      <c r="A962" s="7"/>
      <c r="B962" s="7"/>
      <c r="C962" s="7"/>
    </row>
    <row r="963" spans="1:3" ht="12.45" x14ac:dyDescent="0.3">
      <c r="A963" s="7"/>
      <c r="B963" s="7"/>
      <c r="C963" s="7"/>
    </row>
    <row r="964" spans="1:3" ht="12.45" x14ac:dyDescent="0.3">
      <c r="A964" s="7"/>
      <c r="B964" s="7"/>
      <c r="C964" s="7"/>
    </row>
    <row r="965" spans="1:3" ht="12.45" x14ac:dyDescent="0.3">
      <c r="A965" s="7"/>
      <c r="B965" s="7"/>
      <c r="C965" s="7"/>
    </row>
    <row r="966" spans="1:3" ht="12.45" x14ac:dyDescent="0.3">
      <c r="A966" s="7"/>
      <c r="B966" s="7"/>
      <c r="C966" s="7"/>
    </row>
    <row r="967" spans="1:3" ht="12.45" x14ac:dyDescent="0.3">
      <c r="A967" s="7"/>
      <c r="B967" s="7"/>
      <c r="C967" s="7"/>
    </row>
    <row r="968" spans="1:3" ht="12.45" x14ac:dyDescent="0.3">
      <c r="A968" s="7"/>
      <c r="B968" s="7"/>
      <c r="C968" s="7"/>
    </row>
    <row r="969" spans="1:3" ht="12.45" x14ac:dyDescent="0.3">
      <c r="A969" s="7"/>
      <c r="B969" s="7"/>
      <c r="C969" s="7"/>
    </row>
    <row r="970" spans="1:3" ht="12.45" x14ac:dyDescent="0.3">
      <c r="A970" s="7"/>
      <c r="B970" s="7"/>
      <c r="C970" s="7"/>
    </row>
    <row r="971" spans="1:3" ht="12.45" x14ac:dyDescent="0.3">
      <c r="A971" s="7"/>
      <c r="B971" s="7"/>
      <c r="C971" s="7"/>
    </row>
    <row r="972" spans="1:3" ht="12.45" x14ac:dyDescent="0.3">
      <c r="A972" s="7"/>
      <c r="B972" s="7"/>
      <c r="C972" s="7"/>
    </row>
    <row r="973" spans="1:3" ht="12.45" x14ac:dyDescent="0.3">
      <c r="A973" s="7"/>
      <c r="B973" s="7"/>
      <c r="C973" s="7"/>
    </row>
    <row r="974" spans="1:3" ht="12.45" x14ac:dyDescent="0.3">
      <c r="A974" s="7"/>
      <c r="B974" s="7"/>
      <c r="C974" s="7"/>
    </row>
    <row r="975" spans="1:3" ht="12.45" x14ac:dyDescent="0.3">
      <c r="A975" s="7"/>
      <c r="B975" s="7"/>
      <c r="C975" s="7"/>
    </row>
    <row r="976" spans="1:3" ht="12.45" x14ac:dyDescent="0.3">
      <c r="A976" s="7"/>
      <c r="B976" s="7"/>
      <c r="C976" s="7"/>
    </row>
    <row r="977" spans="1:3" ht="12.45" x14ac:dyDescent="0.3">
      <c r="A977" s="7"/>
      <c r="B977" s="7"/>
      <c r="C977" s="7"/>
    </row>
    <row r="978" spans="1:3" ht="12.45" x14ac:dyDescent="0.3">
      <c r="A978" s="7"/>
      <c r="B978" s="7"/>
      <c r="C978" s="7"/>
    </row>
    <row r="979" spans="1:3" ht="12.45" x14ac:dyDescent="0.3">
      <c r="A979" s="7"/>
      <c r="B979" s="7"/>
      <c r="C979" s="7"/>
    </row>
    <row r="980" spans="1:3" ht="12.45" x14ac:dyDescent="0.3">
      <c r="A980" s="7"/>
      <c r="B980" s="7"/>
      <c r="C980" s="7"/>
    </row>
    <row r="981" spans="1:3" ht="12.45" x14ac:dyDescent="0.3">
      <c r="A981" s="7"/>
      <c r="B981" s="7"/>
      <c r="C981" s="7"/>
    </row>
    <row r="982" spans="1:3" ht="12.45" x14ac:dyDescent="0.3">
      <c r="A982" s="7"/>
      <c r="B982" s="7"/>
      <c r="C982" s="7"/>
    </row>
    <row r="983" spans="1:3" ht="12.45" x14ac:dyDescent="0.3">
      <c r="A983" s="7"/>
      <c r="B983" s="7"/>
      <c r="C983" s="7"/>
    </row>
    <row r="984" spans="1:3" ht="12.45" x14ac:dyDescent="0.3">
      <c r="A984" s="7"/>
      <c r="B984" s="7"/>
      <c r="C984" s="7"/>
    </row>
    <row r="985" spans="1:3" ht="12.45" x14ac:dyDescent="0.3">
      <c r="A985" s="7"/>
      <c r="B985" s="7"/>
      <c r="C985" s="7"/>
    </row>
    <row r="986" spans="1:3" ht="12.45" x14ac:dyDescent="0.3">
      <c r="A986" s="7"/>
      <c r="B986" s="7"/>
      <c r="C986" s="7"/>
    </row>
    <row r="987" spans="1:3" ht="12.45" x14ac:dyDescent="0.3">
      <c r="A987" s="7"/>
      <c r="B987" s="7"/>
      <c r="C987" s="7"/>
    </row>
    <row r="988" spans="1:3" ht="12.45" x14ac:dyDescent="0.3">
      <c r="A988" s="7"/>
      <c r="B988" s="7"/>
      <c r="C988" s="7"/>
    </row>
    <row r="989" spans="1:3" ht="12.45" x14ac:dyDescent="0.3">
      <c r="A989" s="7"/>
      <c r="B989" s="7"/>
      <c r="C989" s="7"/>
    </row>
    <row r="990" spans="1:3" ht="12.45" x14ac:dyDescent="0.3">
      <c r="A990" s="7"/>
      <c r="B990" s="7"/>
      <c r="C990" s="7"/>
    </row>
    <row r="991" spans="1:3" ht="12.45" x14ac:dyDescent="0.3">
      <c r="A991" s="7"/>
      <c r="B991" s="7"/>
      <c r="C991" s="7"/>
    </row>
    <row r="992" spans="1:3" ht="12.45" x14ac:dyDescent="0.3">
      <c r="A992" s="7"/>
      <c r="B992" s="7"/>
      <c r="C992" s="7"/>
    </row>
    <row r="993" spans="1:3" ht="12.45" x14ac:dyDescent="0.3">
      <c r="A993" s="7"/>
      <c r="B993" s="7"/>
      <c r="C993" s="7"/>
    </row>
    <row r="994" spans="1:3" ht="12.45" x14ac:dyDescent="0.3">
      <c r="A994" s="7"/>
      <c r="B994" s="7"/>
      <c r="C994" s="7"/>
    </row>
    <row r="995" spans="1:3" ht="12.45" x14ac:dyDescent="0.3">
      <c r="A995" s="7"/>
      <c r="B995" s="7"/>
      <c r="C995" s="7"/>
    </row>
    <row r="996" spans="1:3" ht="12.45" x14ac:dyDescent="0.3">
      <c r="A996" s="7"/>
      <c r="B996" s="7"/>
      <c r="C996" s="7"/>
    </row>
    <row r="997" spans="1:3" ht="12.45" x14ac:dyDescent="0.3">
      <c r="A997" s="7"/>
      <c r="B997" s="7"/>
      <c r="C997" s="7"/>
    </row>
    <row r="998" spans="1:3" ht="12.45" x14ac:dyDescent="0.3">
      <c r="A998" s="7"/>
      <c r="B998" s="7"/>
      <c r="C998" s="7"/>
    </row>
    <row r="999" spans="1:3" ht="12.45" x14ac:dyDescent="0.3">
      <c r="A999" s="7"/>
      <c r="B999" s="7"/>
      <c r="C999" s="7"/>
    </row>
    <row r="1000" spans="1:3" ht="12.45" x14ac:dyDescent="0.3">
      <c r="A1000" s="7"/>
      <c r="B1000" s="7"/>
      <c r="C1000"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heetViews>
  <sheetFormatPr defaultColWidth="12.61328125" defaultRowHeight="15.75" customHeight="1" x14ac:dyDescent="0.3"/>
  <cols>
    <col min="1" max="1" width="9.61328125" customWidth="1"/>
    <col min="2" max="2" width="52.4609375" customWidth="1"/>
    <col min="3" max="3" width="9.61328125" customWidth="1"/>
    <col min="4" max="4" width="5.23046875" customWidth="1"/>
    <col min="5" max="5" width="24.4609375" customWidth="1"/>
    <col min="6" max="26" width="7.61328125" customWidth="1"/>
  </cols>
  <sheetData>
    <row r="1" spans="1:5" ht="15.75" customHeight="1" x14ac:dyDescent="0.3">
      <c r="A1" s="11" t="s">
        <v>1561</v>
      </c>
      <c r="B1" s="11" t="s">
        <v>1562</v>
      </c>
      <c r="C1" s="11" t="s">
        <v>1563</v>
      </c>
      <c r="D1" s="11" t="s">
        <v>1564</v>
      </c>
      <c r="E1" s="11" t="s">
        <v>1565</v>
      </c>
    </row>
    <row r="2" spans="1:5" ht="15.75" customHeight="1" x14ac:dyDescent="0.3">
      <c r="A2" s="10" t="s">
        <v>61</v>
      </c>
      <c r="B2" s="10" t="s">
        <v>62</v>
      </c>
      <c r="C2" s="10" t="s">
        <v>1566</v>
      </c>
      <c r="D2" s="10" t="s">
        <v>1567</v>
      </c>
      <c r="E2" s="10" t="s">
        <v>9</v>
      </c>
    </row>
    <row r="3" spans="1:5" ht="15.75" customHeight="1" x14ac:dyDescent="0.3">
      <c r="A3" s="10" t="s">
        <v>102</v>
      </c>
      <c r="B3" s="10" t="s">
        <v>103</v>
      </c>
      <c r="C3" s="10" t="s">
        <v>1568</v>
      </c>
      <c r="D3" s="10" t="s">
        <v>1567</v>
      </c>
      <c r="E3" s="10" t="s">
        <v>52</v>
      </c>
    </row>
    <row r="4" spans="1:5" ht="15.75" customHeight="1" x14ac:dyDescent="0.3">
      <c r="A4" s="10" t="s">
        <v>111</v>
      </c>
      <c r="B4" s="10" t="s">
        <v>112</v>
      </c>
      <c r="C4" s="10" t="s">
        <v>1566</v>
      </c>
      <c r="D4" s="10" t="s">
        <v>1567</v>
      </c>
      <c r="E4" s="10" t="s">
        <v>58</v>
      </c>
    </row>
    <row r="5" spans="1:5" ht="15.75" customHeight="1" x14ac:dyDescent="0.3">
      <c r="A5" s="10" t="s">
        <v>115</v>
      </c>
      <c r="B5" s="10" t="s">
        <v>116</v>
      </c>
      <c r="C5" s="10" t="s">
        <v>1569</v>
      </c>
      <c r="D5" s="10" t="s">
        <v>1567</v>
      </c>
      <c r="E5" s="10" t="s">
        <v>55</v>
      </c>
    </row>
    <row r="6" spans="1:5" ht="15.75" customHeight="1" x14ac:dyDescent="0.3">
      <c r="A6" s="10" t="s">
        <v>125</v>
      </c>
      <c r="B6" s="10" t="s">
        <v>126</v>
      </c>
      <c r="C6" s="10" t="s">
        <v>1569</v>
      </c>
      <c r="D6" s="10" t="s">
        <v>1567</v>
      </c>
      <c r="E6" s="10" t="s">
        <v>15</v>
      </c>
    </row>
    <row r="7" spans="1:5" ht="15.75" customHeight="1" x14ac:dyDescent="0.3">
      <c r="A7" s="10" t="s">
        <v>150</v>
      </c>
      <c r="B7" s="10" t="s">
        <v>151</v>
      </c>
      <c r="C7" s="10" t="s">
        <v>1569</v>
      </c>
      <c r="D7" s="10" t="s">
        <v>1567</v>
      </c>
      <c r="E7" s="10" t="s">
        <v>9</v>
      </c>
    </row>
    <row r="8" spans="1:5" ht="15.75" customHeight="1" x14ac:dyDescent="0.3">
      <c r="A8" s="10" t="s">
        <v>179</v>
      </c>
      <c r="B8" s="10" t="s">
        <v>180</v>
      </c>
      <c r="C8" s="10" t="s">
        <v>1570</v>
      </c>
      <c r="D8" s="10" t="s">
        <v>1567</v>
      </c>
      <c r="E8" s="10" t="s">
        <v>18</v>
      </c>
    </row>
    <row r="9" spans="1:5" ht="15.75" customHeight="1" x14ac:dyDescent="0.3">
      <c r="A9" s="10" t="s">
        <v>198</v>
      </c>
      <c r="B9" s="10" t="s">
        <v>191</v>
      </c>
      <c r="C9" s="10" t="s">
        <v>1569</v>
      </c>
      <c r="D9" s="10" t="s">
        <v>1567</v>
      </c>
      <c r="E9" s="10" t="s">
        <v>65</v>
      </c>
    </row>
    <row r="10" spans="1:5" ht="15.75" customHeight="1" x14ac:dyDescent="0.3">
      <c r="A10" s="10" t="s">
        <v>1362</v>
      </c>
      <c r="B10" s="10" t="s">
        <v>1357</v>
      </c>
      <c r="C10" s="10" t="s">
        <v>1569</v>
      </c>
      <c r="D10" s="10" t="s">
        <v>1571</v>
      </c>
      <c r="E10" s="10" t="s">
        <v>65</v>
      </c>
    </row>
    <row r="11" spans="1:5" ht="15.75" customHeight="1" x14ac:dyDescent="0.3">
      <c r="A11" s="10" t="s">
        <v>1413</v>
      </c>
      <c r="B11" s="10" t="s">
        <v>1355</v>
      </c>
      <c r="C11" s="10" t="s">
        <v>1569</v>
      </c>
      <c r="D11" s="10" t="s">
        <v>1567</v>
      </c>
      <c r="E11" s="10" t="s">
        <v>68</v>
      </c>
    </row>
    <row r="12" spans="1:5" ht="15.75" customHeight="1" x14ac:dyDescent="0.3">
      <c r="A12" s="10" t="s">
        <v>1418</v>
      </c>
      <c r="B12" s="10" t="s">
        <v>1355</v>
      </c>
      <c r="C12" s="10" t="s">
        <v>1569</v>
      </c>
      <c r="D12" s="10" t="s">
        <v>1567</v>
      </c>
      <c r="E12" s="10" t="s">
        <v>34</v>
      </c>
    </row>
    <row r="13" spans="1:5" ht="15.75" customHeight="1" x14ac:dyDescent="0.3">
      <c r="A13" s="10" t="s">
        <v>1426</v>
      </c>
      <c r="B13" s="10" t="s">
        <v>1427</v>
      </c>
      <c r="C13" s="10" t="s">
        <v>1569</v>
      </c>
      <c r="D13" s="10" t="s">
        <v>1567</v>
      </c>
      <c r="E13" s="10" t="s">
        <v>15</v>
      </c>
    </row>
    <row r="14" spans="1:5" ht="15.75" customHeight="1" x14ac:dyDescent="0.3">
      <c r="A14" s="10" t="s">
        <v>1440</v>
      </c>
      <c r="B14" s="10" t="s">
        <v>1427</v>
      </c>
      <c r="C14" s="10" t="s">
        <v>1569</v>
      </c>
      <c r="D14" s="10" t="s">
        <v>1567</v>
      </c>
      <c r="E14" s="10" t="s">
        <v>68</v>
      </c>
    </row>
    <row r="15" spans="1:5" ht="15.75" customHeight="1" x14ac:dyDescent="0.3">
      <c r="A15" s="10" t="s">
        <v>217</v>
      </c>
      <c r="B15" s="10" t="s">
        <v>5</v>
      </c>
      <c r="C15" s="10" t="s">
        <v>1566</v>
      </c>
      <c r="D15" s="10" t="s">
        <v>1567</v>
      </c>
      <c r="E15" s="10" t="s">
        <v>47</v>
      </c>
    </row>
    <row r="16" spans="1:5" ht="15.75" customHeight="1" x14ac:dyDescent="0.3">
      <c r="A16" s="10" t="s">
        <v>1443</v>
      </c>
      <c r="B16" s="10" t="s">
        <v>1429</v>
      </c>
      <c r="C16" s="10" t="s">
        <v>1569</v>
      </c>
      <c r="D16" s="10" t="s">
        <v>1567</v>
      </c>
      <c r="E16" s="10" t="s">
        <v>15</v>
      </c>
    </row>
    <row r="17" spans="1:5" ht="15.75" customHeight="1" x14ac:dyDescent="0.3">
      <c r="A17" s="10" t="s">
        <v>1477</v>
      </c>
      <c r="B17" s="10" t="s">
        <v>1478</v>
      </c>
      <c r="C17" s="10" t="s">
        <v>1572</v>
      </c>
      <c r="D17" s="10" t="s">
        <v>1567</v>
      </c>
      <c r="E17" s="10" t="s">
        <v>9</v>
      </c>
    </row>
    <row r="18" spans="1:5" ht="15.75" customHeight="1" x14ac:dyDescent="0.3">
      <c r="A18" s="10" t="s">
        <v>1479</v>
      </c>
      <c r="B18" s="10" t="s">
        <v>1480</v>
      </c>
      <c r="C18" s="10" t="s">
        <v>1569</v>
      </c>
      <c r="D18" s="10" t="s">
        <v>1567</v>
      </c>
      <c r="E18" s="10" t="s">
        <v>68</v>
      </c>
    </row>
    <row r="19" spans="1:5" ht="15.75" customHeight="1" x14ac:dyDescent="0.3">
      <c r="A19" s="10" t="s">
        <v>1508</v>
      </c>
      <c r="B19" s="10" t="s">
        <v>1505</v>
      </c>
      <c r="C19" s="10" t="s">
        <v>1569</v>
      </c>
      <c r="D19" s="10" t="s">
        <v>1567</v>
      </c>
      <c r="E19" s="10" t="s">
        <v>65</v>
      </c>
    </row>
    <row r="20" spans="1:5" ht="15.75" customHeight="1" x14ac:dyDescent="0.3">
      <c r="A20" s="10" t="s">
        <v>304</v>
      </c>
      <c r="B20" s="10" t="s">
        <v>305</v>
      </c>
      <c r="C20" s="10" t="s">
        <v>1570</v>
      </c>
      <c r="D20" s="10" t="s">
        <v>1567</v>
      </c>
      <c r="E20" s="10" t="s">
        <v>55</v>
      </c>
    </row>
    <row r="21" spans="1:5" ht="15.75" customHeight="1" x14ac:dyDescent="0.3">
      <c r="A21" s="10" t="s">
        <v>325</v>
      </c>
      <c r="B21" s="10" t="s">
        <v>300</v>
      </c>
      <c r="C21" s="10" t="s">
        <v>1570</v>
      </c>
      <c r="D21" s="10" t="s">
        <v>1567</v>
      </c>
      <c r="E21" s="10" t="s">
        <v>47</v>
      </c>
    </row>
    <row r="22" spans="1:5" ht="15.75" customHeight="1" x14ac:dyDescent="0.3">
      <c r="A22" s="10" t="s">
        <v>330</v>
      </c>
      <c r="B22" s="10" t="s">
        <v>20</v>
      </c>
      <c r="C22" s="10" t="s">
        <v>1568</v>
      </c>
      <c r="D22" s="10" t="s">
        <v>1567</v>
      </c>
      <c r="E22" s="10" t="s">
        <v>24</v>
      </c>
    </row>
    <row r="23" spans="1:5" ht="15.75" customHeight="1" x14ac:dyDescent="0.3">
      <c r="A23" s="10" t="s">
        <v>384</v>
      </c>
      <c r="B23" s="10" t="s">
        <v>363</v>
      </c>
      <c r="C23" s="10" t="s">
        <v>1569</v>
      </c>
      <c r="D23" s="10" t="s">
        <v>1567</v>
      </c>
      <c r="E23" s="10" t="s">
        <v>18</v>
      </c>
    </row>
    <row r="24" spans="1:5" ht="15.75" customHeight="1" x14ac:dyDescent="0.3">
      <c r="A24" s="10" t="s">
        <v>385</v>
      </c>
      <c r="B24" s="10" t="s">
        <v>252</v>
      </c>
      <c r="C24" s="10" t="s">
        <v>1569</v>
      </c>
      <c r="D24" s="10" t="s">
        <v>1567</v>
      </c>
      <c r="E24" s="10" t="s">
        <v>29</v>
      </c>
    </row>
    <row r="25" spans="1:5" ht="15.75" customHeight="1" x14ac:dyDescent="0.3">
      <c r="A25" s="10" t="s">
        <v>396</v>
      </c>
      <c r="B25" s="10" t="s">
        <v>164</v>
      </c>
      <c r="C25" s="10" t="s">
        <v>1566</v>
      </c>
      <c r="D25" s="10" t="s">
        <v>1567</v>
      </c>
      <c r="E25" s="10" t="s">
        <v>15</v>
      </c>
    </row>
    <row r="26" spans="1:5" ht="15.75" customHeight="1" x14ac:dyDescent="0.3">
      <c r="A26" s="10" t="s">
        <v>431</v>
      </c>
      <c r="B26" s="10" t="s">
        <v>40</v>
      </c>
      <c r="C26" s="10" t="s">
        <v>1569</v>
      </c>
      <c r="D26" s="10" t="s">
        <v>1567</v>
      </c>
      <c r="E26" s="10" t="s">
        <v>34</v>
      </c>
    </row>
    <row r="27" spans="1:5" ht="15.75" customHeight="1" x14ac:dyDescent="0.3">
      <c r="A27" s="10" t="s">
        <v>466</v>
      </c>
      <c r="B27" s="10" t="s">
        <v>467</v>
      </c>
      <c r="C27" s="10" t="s">
        <v>1573</v>
      </c>
      <c r="D27" s="10" t="s">
        <v>1567</v>
      </c>
      <c r="E27" s="10" t="s">
        <v>6</v>
      </c>
    </row>
    <row r="28" spans="1:5" ht="15.75" customHeight="1" x14ac:dyDescent="0.3">
      <c r="A28" s="10" t="s">
        <v>502</v>
      </c>
      <c r="B28" s="10" t="s">
        <v>322</v>
      </c>
      <c r="C28" s="10" t="s">
        <v>1570</v>
      </c>
      <c r="D28" s="10" t="s">
        <v>1567</v>
      </c>
      <c r="E28" s="10" t="s">
        <v>24</v>
      </c>
    </row>
    <row r="29" spans="1:5" ht="15.75" customHeight="1" x14ac:dyDescent="0.3">
      <c r="A29" s="10" t="s">
        <v>509</v>
      </c>
      <c r="B29" s="10" t="s">
        <v>176</v>
      </c>
      <c r="C29" s="10" t="s">
        <v>1566</v>
      </c>
      <c r="D29" s="10" t="s">
        <v>1567</v>
      </c>
      <c r="E29" s="10" t="s">
        <v>47</v>
      </c>
    </row>
    <row r="30" spans="1:5" ht="15.75" customHeight="1" x14ac:dyDescent="0.3">
      <c r="A30" s="10" t="s">
        <v>517</v>
      </c>
      <c r="B30" s="10" t="s">
        <v>202</v>
      </c>
      <c r="C30" s="10" t="s">
        <v>1566</v>
      </c>
      <c r="D30" s="10" t="s">
        <v>1567</v>
      </c>
      <c r="E30" s="10" t="s">
        <v>55</v>
      </c>
    </row>
    <row r="31" spans="1:5" ht="15.75" customHeight="1" x14ac:dyDescent="0.3">
      <c r="A31" s="10" t="s">
        <v>520</v>
      </c>
      <c r="B31" s="10" t="s">
        <v>98</v>
      </c>
      <c r="C31" s="10" t="s">
        <v>1568</v>
      </c>
      <c r="D31" s="10" t="s">
        <v>1567</v>
      </c>
      <c r="E31" s="10" t="s">
        <v>9</v>
      </c>
    </row>
    <row r="32" spans="1:5" ht="15.75" customHeight="1" x14ac:dyDescent="0.3">
      <c r="A32" s="10" t="s">
        <v>538</v>
      </c>
      <c r="B32" s="10" t="s">
        <v>539</v>
      </c>
      <c r="C32" s="10" t="s">
        <v>1570</v>
      </c>
      <c r="D32" s="10" t="s">
        <v>1567</v>
      </c>
      <c r="E32" s="10" t="s">
        <v>68</v>
      </c>
    </row>
    <row r="33" spans="1:5" ht="15.75" customHeight="1" x14ac:dyDescent="0.3">
      <c r="A33" s="10" t="s">
        <v>546</v>
      </c>
      <c r="B33" s="10" t="s">
        <v>259</v>
      </c>
      <c r="C33" s="10" t="s">
        <v>1569</v>
      </c>
      <c r="D33" s="10" t="s">
        <v>1567</v>
      </c>
      <c r="E33" s="10" t="s">
        <v>18</v>
      </c>
    </row>
    <row r="34" spans="1:5" ht="15.75" customHeight="1" x14ac:dyDescent="0.3">
      <c r="A34" s="10" t="s">
        <v>553</v>
      </c>
      <c r="B34" s="10" t="s">
        <v>554</v>
      </c>
      <c r="C34" s="10" t="s">
        <v>1568</v>
      </c>
      <c r="D34" s="10" t="s">
        <v>1567</v>
      </c>
      <c r="E34" s="10" t="s">
        <v>12</v>
      </c>
    </row>
    <row r="35" spans="1:5" ht="15.75" customHeight="1" x14ac:dyDescent="0.3">
      <c r="A35" s="10" t="s">
        <v>558</v>
      </c>
      <c r="B35" s="10" t="s">
        <v>14</v>
      </c>
      <c r="C35" s="10" t="s">
        <v>1569</v>
      </c>
      <c r="D35" s="10" t="s">
        <v>1567</v>
      </c>
      <c r="E35" s="10" t="s">
        <v>9</v>
      </c>
    </row>
    <row r="36" spans="1:5" ht="15.75" customHeight="1" x14ac:dyDescent="0.3">
      <c r="A36" s="10" t="s">
        <v>580</v>
      </c>
      <c r="B36" s="10" t="s">
        <v>545</v>
      </c>
      <c r="C36" s="10" t="s">
        <v>1568</v>
      </c>
      <c r="D36" s="10" t="s">
        <v>1567</v>
      </c>
      <c r="E36" s="10" t="s">
        <v>18</v>
      </c>
    </row>
    <row r="37" spans="1:5" ht="12.45" x14ac:dyDescent="0.3">
      <c r="A37" s="10" t="s">
        <v>630</v>
      </c>
      <c r="B37" s="10" t="s">
        <v>631</v>
      </c>
      <c r="C37" s="10" t="s">
        <v>1570</v>
      </c>
      <c r="D37" s="10" t="s">
        <v>1567</v>
      </c>
      <c r="E37" s="10" t="s">
        <v>68</v>
      </c>
    </row>
    <row r="38" spans="1:5" ht="12.45" x14ac:dyDescent="0.3">
      <c r="A38" s="10" t="s">
        <v>676</v>
      </c>
      <c r="B38" s="10" t="s">
        <v>98</v>
      </c>
      <c r="C38" s="10" t="s">
        <v>1568</v>
      </c>
      <c r="D38" s="10" t="s">
        <v>1567</v>
      </c>
      <c r="E38" s="10" t="s">
        <v>18</v>
      </c>
    </row>
    <row r="39" spans="1:5" ht="12.45" x14ac:dyDescent="0.3">
      <c r="A39" s="10" t="s">
        <v>689</v>
      </c>
      <c r="B39" s="10" t="s">
        <v>690</v>
      </c>
      <c r="C39" s="10" t="s">
        <v>1569</v>
      </c>
      <c r="D39" s="10" t="s">
        <v>1567</v>
      </c>
      <c r="E39" s="10" t="s">
        <v>34</v>
      </c>
    </row>
    <row r="40" spans="1:5" ht="12.45" x14ac:dyDescent="0.3">
      <c r="A40" s="10" t="s">
        <v>691</v>
      </c>
      <c r="B40" s="10" t="s">
        <v>603</v>
      </c>
      <c r="C40" s="10" t="s">
        <v>1569</v>
      </c>
      <c r="D40" s="10" t="s">
        <v>1567</v>
      </c>
      <c r="E40" s="10" t="s">
        <v>55</v>
      </c>
    </row>
    <row r="41" spans="1:5" ht="12.45" x14ac:dyDescent="0.3">
      <c r="A41" s="10" t="s">
        <v>711</v>
      </c>
      <c r="B41" s="10" t="s">
        <v>448</v>
      </c>
      <c r="C41" s="10" t="s">
        <v>1570</v>
      </c>
      <c r="D41" s="10" t="s">
        <v>1567</v>
      </c>
      <c r="E41" s="10" t="s">
        <v>47</v>
      </c>
    </row>
    <row r="42" spans="1:5" ht="12.45" x14ac:dyDescent="0.3">
      <c r="A42" s="10" t="s">
        <v>734</v>
      </c>
      <c r="B42" s="10" t="s">
        <v>118</v>
      </c>
      <c r="C42" s="10" t="s">
        <v>1570</v>
      </c>
      <c r="D42" s="10" t="s">
        <v>1567</v>
      </c>
      <c r="E42" s="10" t="s">
        <v>34</v>
      </c>
    </row>
    <row r="43" spans="1:5" ht="12.45" x14ac:dyDescent="0.3">
      <c r="A43" s="10" t="s">
        <v>752</v>
      </c>
      <c r="B43" s="10" t="s">
        <v>40</v>
      </c>
      <c r="C43" s="10" t="s">
        <v>1569</v>
      </c>
      <c r="D43" s="10" t="s">
        <v>1567</v>
      </c>
      <c r="E43" s="10" t="s">
        <v>12</v>
      </c>
    </row>
    <row r="44" spans="1:5" ht="12.45" x14ac:dyDescent="0.3">
      <c r="A44" s="10" t="s">
        <v>774</v>
      </c>
      <c r="B44" s="10" t="s">
        <v>775</v>
      </c>
      <c r="C44" s="10" t="s">
        <v>1570</v>
      </c>
      <c r="D44" s="10" t="s">
        <v>1567</v>
      </c>
      <c r="E44" s="10" t="s">
        <v>65</v>
      </c>
    </row>
    <row r="45" spans="1:5" ht="12.45" x14ac:dyDescent="0.3">
      <c r="A45" s="10" t="s">
        <v>781</v>
      </c>
      <c r="B45" s="10" t="s">
        <v>23</v>
      </c>
      <c r="C45" s="10" t="s">
        <v>1573</v>
      </c>
      <c r="D45" s="10" t="s">
        <v>1567</v>
      </c>
      <c r="E45" s="10" t="s">
        <v>52</v>
      </c>
    </row>
    <row r="46" spans="1:5" ht="12.45" x14ac:dyDescent="0.3">
      <c r="A46" s="10" t="s">
        <v>810</v>
      </c>
      <c r="B46" s="10" t="s">
        <v>811</v>
      </c>
      <c r="C46" s="10" t="s">
        <v>1570</v>
      </c>
      <c r="D46" s="10" t="s">
        <v>1567</v>
      </c>
      <c r="E46" s="10" t="s">
        <v>12</v>
      </c>
    </row>
    <row r="47" spans="1:5" ht="12.45" x14ac:dyDescent="0.3">
      <c r="A47" s="10" t="s">
        <v>812</v>
      </c>
      <c r="B47" s="10" t="s">
        <v>232</v>
      </c>
      <c r="C47" s="10" t="s">
        <v>1570</v>
      </c>
      <c r="D47" s="10" t="s">
        <v>1567</v>
      </c>
      <c r="E47" s="10" t="s">
        <v>6</v>
      </c>
    </row>
    <row r="48" spans="1:5" ht="12.45" x14ac:dyDescent="0.3">
      <c r="A48" s="10" t="s">
        <v>814</v>
      </c>
      <c r="B48" s="10" t="s">
        <v>259</v>
      </c>
      <c r="C48" s="10" t="s">
        <v>1569</v>
      </c>
      <c r="D48" s="10" t="s">
        <v>1567</v>
      </c>
      <c r="E48" s="10" t="s">
        <v>18</v>
      </c>
    </row>
    <row r="49" spans="1:5" ht="12.45" x14ac:dyDescent="0.3">
      <c r="A49" s="10" t="s">
        <v>820</v>
      </c>
      <c r="B49" s="10" t="s">
        <v>144</v>
      </c>
      <c r="C49" s="10" t="s">
        <v>1569</v>
      </c>
      <c r="D49" s="10" t="s">
        <v>1567</v>
      </c>
      <c r="E49" s="10" t="s">
        <v>15</v>
      </c>
    </row>
    <row r="50" spans="1:5" ht="12.45" x14ac:dyDescent="0.3">
      <c r="A50" s="10" t="s">
        <v>825</v>
      </c>
      <c r="B50" s="10" t="s">
        <v>426</v>
      </c>
      <c r="C50" s="10" t="s">
        <v>1570</v>
      </c>
      <c r="D50" s="10" t="s">
        <v>1567</v>
      </c>
      <c r="E50" s="10" t="s">
        <v>21</v>
      </c>
    </row>
    <row r="51" spans="1:5" ht="12.45" x14ac:dyDescent="0.3">
      <c r="A51" s="10" t="s">
        <v>832</v>
      </c>
      <c r="B51" s="10" t="s">
        <v>578</v>
      </c>
      <c r="C51" s="10" t="s">
        <v>1569</v>
      </c>
      <c r="D51" s="10" t="s">
        <v>1567</v>
      </c>
      <c r="E51" s="10" t="s">
        <v>68</v>
      </c>
    </row>
    <row r="52" spans="1:5" ht="12.45" x14ac:dyDescent="0.3">
      <c r="A52" s="10" t="s">
        <v>846</v>
      </c>
      <c r="B52" s="10" t="s">
        <v>160</v>
      </c>
      <c r="C52" s="10" t="s">
        <v>1568</v>
      </c>
      <c r="D52" s="10" t="s">
        <v>1567</v>
      </c>
      <c r="E52" s="10" t="s">
        <v>12</v>
      </c>
    </row>
    <row r="53" spans="1:5" ht="12.45" x14ac:dyDescent="0.3">
      <c r="A53" s="10" t="s">
        <v>853</v>
      </c>
      <c r="B53" s="10" t="s">
        <v>552</v>
      </c>
      <c r="C53" s="10" t="s">
        <v>1569</v>
      </c>
      <c r="D53" s="10" t="s">
        <v>1567</v>
      </c>
      <c r="E53" s="10" t="s">
        <v>34</v>
      </c>
    </row>
    <row r="54" spans="1:5" ht="12.45" x14ac:dyDescent="0.3">
      <c r="A54" s="10" t="s">
        <v>905</v>
      </c>
      <c r="B54" s="10" t="s">
        <v>221</v>
      </c>
      <c r="C54" s="10" t="s">
        <v>1566</v>
      </c>
      <c r="D54" s="10" t="s">
        <v>1567</v>
      </c>
      <c r="E54" s="10" t="s">
        <v>12</v>
      </c>
    </row>
    <row r="55" spans="1:5" ht="12.45" x14ac:dyDescent="0.3">
      <c r="A55" s="10" t="s">
        <v>906</v>
      </c>
      <c r="B55" s="10" t="s">
        <v>182</v>
      </c>
      <c r="C55" s="10" t="s">
        <v>1570</v>
      </c>
      <c r="D55" s="10" t="s">
        <v>1567</v>
      </c>
      <c r="E55" s="10" t="s">
        <v>65</v>
      </c>
    </row>
    <row r="56" spans="1:5" ht="12.45" x14ac:dyDescent="0.3">
      <c r="A56" s="10" t="s">
        <v>924</v>
      </c>
      <c r="B56" s="10" t="s">
        <v>694</v>
      </c>
      <c r="C56" s="10" t="s">
        <v>1569</v>
      </c>
      <c r="D56" s="10" t="s">
        <v>1567</v>
      </c>
      <c r="E56" s="10" t="s">
        <v>29</v>
      </c>
    </row>
    <row r="57" spans="1:5" ht="12.45" x14ac:dyDescent="0.3">
      <c r="A57" s="10" t="s">
        <v>946</v>
      </c>
      <c r="B57" s="10" t="s">
        <v>93</v>
      </c>
      <c r="C57" s="10" t="s">
        <v>1573</v>
      </c>
      <c r="D57" s="10" t="s">
        <v>1567</v>
      </c>
      <c r="E57" s="10" t="s">
        <v>12</v>
      </c>
    </row>
    <row r="58" spans="1:5" ht="12.45" x14ac:dyDescent="0.3">
      <c r="A58" s="10" t="s">
        <v>958</v>
      </c>
      <c r="B58" s="10" t="s">
        <v>259</v>
      </c>
      <c r="C58" s="10" t="s">
        <v>1569</v>
      </c>
      <c r="D58" s="10" t="s">
        <v>1567</v>
      </c>
      <c r="E58" s="10" t="s">
        <v>21</v>
      </c>
    </row>
    <row r="59" spans="1:5" ht="12.45" x14ac:dyDescent="0.3">
      <c r="A59" s="10" t="s">
        <v>964</v>
      </c>
      <c r="B59" s="10" t="s">
        <v>428</v>
      </c>
      <c r="C59" s="10" t="s">
        <v>1566</v>
      </c>
      <c r="D59" s="10" t="s">
        <v>1567</v>
      </c>
      <c r="E59" s="10" t="s">
        <v>6</v>
      </c>
    </row>
    <row r="60" spans="1:5" ht="12.45" x14ac:dyDescent="0.3">
      <c r="A60" s="10" t="s">
        <v>967</v>
      </c>
      <c r="B60" s="10" t="s">
        <v>252</v>
      </c>
      <c r="C60" s="10" t="s">
        <v>1569</v>
      </c>
      <c r="D60" s="10" t="s">
        <v>1567</v>
      </c>
      <c r="E60" s="10" t="s">
        <v>55</v>
      </c>
    </row>
    <row r="61" spans="1:5" ht="12.45" x14ac:dyDescent="0.3">
      <c r="A61" s="10" t="s">
        <v>1042</v>
      </c>
      <c r="B61" s="10" t="s">
        <v>1038</v>
      </c>
      <c r="C61" s="10" t="s">
        <v>1569</v>
      </c>
      <c r="D61" s="10" t="s">
        <v>1567</v>
      </c>
      <c r="E61" s="10" t="s">
        <v>9</v>
      </c>
    </row>
    <row r="62" spans="1:5" ht="12.45" x14ac:dyDescent="0.3">
      <c r="A62" s="10" t="s">
        <v>1061</v>
      </c>
      <c r="B62" s="10" t="s">
        <v>1062</v>
      </c>
      <c r="C62" s="10" t="s">
        <v>1569</v>
      </c>
      <c r="D62" s="10" t="s">
        <v>1567</v>
      </c>
      <c r="E62" s="10" t="s">
        <v>24</v>
      </c>
    </row>
    <row r="63" spans="1:5" ht="12.45" x14ac:dyDescent="0.3">
      <c r="A63" s="10" t="s">
        <v>1071</v>
      </c>
      <c r="B63" s="10" t="s">
        <v>1047</v>
      </c>
      <c r="C63" s="10" t="s">
        <v>1570</v>
      </c>
      <c r="D63" s="10" t="s">
        <v>1567</v>
      </c>
      <c r="E63" s="10" t="s">
        <v>52</v>
      </c>
    </row>
    <row r="64" spans="1:5" ht="12.45" x14ac:dyDescent="0.3">
      <c r="A64" s="10" t="s">
        <v>1079</v>
      </c>
      <c r="B64" s="10" t="s">
        <v>1080</v>
      </c>
      <c r="C64" s="10" t="s">
        <v>1572</v>
      </c>
      <c r="D64" s="10" t="s">
        <v>1567</v>
      </c>
      <c r="E64" s="10" t="s">
        <v>12</v>
      </c>
    </row>
    <row r="65" spans="1:5" ht="12.45" x14ac:dyDescent="0.3">
      <c r="A65" s="10" t="s">
        <v>1111</v>
      </c>
      <c r="B65" s="10" t="s">
        <v>1029</v>
      </c>
      <c r="C65" s="10" t="s">
        <v>1572</v>
      </c>
      <c r="D65" s="10" t="s">
        <v>1567</v>
      </c>
      <c r="E65" s="10" t="s">
        <v>58</v>
      </c>
    </row>
    <row r="66" spans="1:5" ht="12.45" x14ac:dyDescent="0.3">
      <c r="A66" s="10" t="s">
        <v>1133</v>
      </c>
      <c r="B66" s="10" t="s">
        <v>1080</v>
      </c>
      <c r="C66" s="10" t="s">
        <v>1572</v>
      </c>
      <c r="D66" s="10" t="s">
        <v>1567</v>
      </c>
      <c r="E66" s="10" t="s">
        <v>47</v>
      </c>
    </row>
    <row r="67" spans="1:5" ht="12.45" x14ac:dyDescent="0.3">
      <c r="A67" s="10" t="s">
        <v>1136</v>
      </c>
      <c r="B67" s="10" t="s">
        <v>1074</v>
      </c>
      <c r="C67" s="10" t="s">
        <v>1569</v>
      </c>
      <c r="D67" s="10" t="s">
        <v>1567</v>
      </c>
      <c r="E67" s="10" t="s">
        <v>15</v>
      </c>
    </row>
    <row r="68" spans="1:5" ht="12.45" x14ac:dyDescent="0.3">
      <c r="A68" s="10" t="s">
        <v>1184</v>
      </c>
      <c r="B68" s="10" t="s">
        <v>1183</v>
      </c>
      <c r="C68" s="10" t="s">
        <v>1569</v>
      </c>
      <c r="D68" s="10" t="s">
        <v>1567</v>
      </c>
      <c r="E68" s="10" t="s">
        <v>21</v>
      </c>
    </row>
    <row r="69" spans="1:5" ht="12.45" x14ac:dyDescent="0.3">
      <c r="A69" s="10" t="s">
        <v>1186</v>
      </c>
      <c r="B69" s="10" t="s">
        <v>1167</v>
      </c>
      <c r="C69" s="10" t="s">
        <v>1574</v>
      </c>
      <c r="D69" s="10" t="s">
        <v>1571</v>
      </c>
      <c r="E69" s="10" t="s">
        <v>65</v>
      </c>
    </row>
    <row r="70" spans="1:5" ht="12.45" x14ac:dyDescent="0.3">
      <c r="A70" s="10" t="s">
        <v>1199</v>
      </c>
      <c r="B70" s="10" t="s">
        <v>1200</v>
      </c>
      <c r="C70" s="10" t="s">
        <v>1570</v>
      </c>
      <c r="D70" s="10" t="s">
        <v>1567</v>
      </c>
      <c r="E70" s="10" t="s">
        <v>18</v>
      </c>
    </row>
    <row r="71" spans="1:5" ht="12.45" x14ac:dyDescent="0.3">
      <c r="A71" s="10" t="s">
        <v>1207</v>
      </c>
      <c r="B71" s="10" t="s">
        <v>1156</v>
      </c>
      <c r="C71" s="10" t="s">
        <v>1570</v>
      </c>
      <c r="D71" s="10" t="s">
        <v>1567</v>
      </c>
      <c r="E71" s="10" t="s">
        <v>29</v>
      </c>
    </row>
    <row r="72" spans="1:5" ht="12.45" x14ac:dyDescent="0.3">
      <c r="A72" s="10" t="s">
        <v>1216</v>
      </c>
      <c r="B72" s="10" t="s">
        <v>1217</v>
      </c>
      <c r="C72" s="10" t="s">
        <v>1569</v>
      </c>
      <c r="D72" s="10" t="s">
        <v>1567</v>
      </c>
      <c r="E72" s="10" t="s">
        <v>18</v>
      </c>
    </row>
    <row r="73" spans="1:5" ht="12.45" x14ac:dyDescent="0.3">
      <c r="A73" s="10" t="s">
        <v>1253</v>
      </c>
      <c r="B73" s="10" t="s">
        <v>1169</v>
      </c>
      <c r="C73" s="10" t="s">
        <v>1569</v>
      </c>
      <c r="D73" s="10" t="s">
        <v>1567</v>
      </c>
      <c r="E73" s="10" t="s">
        <v>12</v>
      </c>
    </row>
    <row r="74" spans="1:5" ht="12.45" x14ac:dyDescent="0.3">
      <c r="A74" s="10" t="s">
        <v>1255</v>
      </c>
      <c r="B74" s="10" t="s">
        <v>1256</v>
      </c>
      <c r="C74" s="10" t="s">
        <v>1575</v>
      </c>
      <c r="D74" s="10" t="s">
        <v>1567</v>
      </c>
      <c r="E74" s="10" t="s">
        <v>21</v>
      </c>
    </row>
    <row r="75" spans="1:5" ht="12.45" x14ac:dyDescent="0.3">
      <c r="A75" s="10" t="s">
        <v>1274</v>
      </c>
      <c r="B75" s="10" t="s">
        <v>1258</v>
      </c>
      <c r="C75" s="10" t="s">
        <v>1570</v>
      </c>
      <c r="D75" s="10" t="s">
        <v>1567</v>
      </c>
      <c r="E75" s="10" t="s">
        <v>65</v>
      </c>
    </row>
    <row r="76" spans="1:5" ht="12.45" x14ac:dyDescent="0.3">
      <c r="A76" s="10" t="s">
        <v>1280</v>
      </c>
      <c r="B76" s="10" t="s">
        <v>1268</v>
      </c>
      <c r="C76" s="10" t="s">
        <v>1569</v>
      </c>
      <c r="D76" s="10" t="s">
        <v>1567</v>
      </c>
      <c r="E76" s="10" t="s">
        <v>18</v>
      </c>
    </row>
    <row r="77" spans="1:5" ht="12.45" x14ac:dyDescent="0.3">
      <c r="A77" s="10" t="s">
        <v>1281</v>
      </c>
      <c r="B77" s="10" t="s">
        <v>1268</v>
      </c>
      <c r="C77" s="10" t="s">
        <v>1569</v>
      </c>
      <c r="D77" s="10" t="s">
        <v>1567</v>
      </c>
      <c r="E77" s="10" t="s">
        <v>18</v>
      </c>
    </row>
    <row r="78" spans="1:5" ht="12.45" x14ac:dyDescent="0.3">
      <c r="A78" s="10" t="s">
        <v>1284</v>
      </c>
      <c r="B78" s="10" t="s">
        <v>1268</v>
      </c>
      <c r="C78" s="10" t="s">
        <v>1569</v>
      </c>
      <c r="D78" s="10" t="s">
        <v>1567</v>
      </c>
      <c r="E78" s="10" t="s">
        <v>52</v>
      </c>
    </row>
    <row r="79" spans="1:5" ht="12.45" x14ac:dyDescent="0.3">
      <c r="A79" s="10" t="s">
        <v>1290</v>
      </c>
      <c r="B79" s="10" t="s">
        <v>1256</v>
      </c>
      <c r="C79" s="10" t="s">
        <v>1575</v>
      </c>
      <c r="D79" s="10" t="s">
        <v>1567</v>
      </c>
      <c r="E79" s="10" t="s">
        <v>29</v>
      </c>
    </row>
    <row r="80" spans="1:5" ht="12.45" x14ac:dyDescent="0.3">
      <c r="A80" s="10" t="s">
        <v>1295</v>
      </c>
      <c r="B80" s="10" t="s">
        <v>1256</v>
      </c>
      <c r="C80" s="10" t="s">
        <v>1575</v>
      </c>
      <c r="D80" s="10" t="s">
        <v>1567</v>
      </c>
      <c r="E80" s="10" t="s">
        <v>21</v>
      </c>
    </row>
    <row r="81" spans="1:5" ht="12.45" x14ac:dyDescent="0.3">
      <c r="A81" s="10" t="s">
        <v>1329</v>
      </c>
      <c r="B81" s="10" t="s">
        <v>1258</v>
      </c>
      <c r="C81" s="10" t="s">
        <v>1570</v>
      </c>
      <c r="D81" s="10" t="s">
        <v>1567</v>
      </c>
      <c r="E81" s="10" t="s">
        <v>24</v>
      </c>
    </row>
    <row r="82" spans="1:5" ht="12.45" x14ac:dyDescent="0.3"/>
    <row r="83" spans="1:5" ht="12.45" x14ac:dyDescent="0.3"/>
    <row r="84" spans="1:5" ht="12.45" x14ac:dyDescent="0.3"/>
    <row r="85" spans="1:5" ht="12.45" x14ac:dyDescent="0.3"/>
    <row r="86" spans="1:5" ht="12.45" x14ac:dyDescent="0.3"/>
    <row r="87" spans="1:5" ht="12.45" x14ac:dyDescent="0.3"/>
    <row r="88" spans="1:5" ht="12.45" x14ac:dyDescent="0.3"/>
    <row r="89" spans="1:5" ht="12.45" x14ac:dyDescent="0.3"/>
    <row r="90" spans="1:5" ht="12.45" x14ac:dyDescent="0.3"/>
    <row r="91" spans="1:5" ht="12.45" x14ac:dyDescent="0.3"/>
    <row r="92" spans="1:5" ht="12.45" x14ac:dyDescent="0.3"/>
    <row r="93" spans="1:5" ht="12.45" x14ac:dyDescent="0.3"/>
    <row r="94" spans="1:5" ht="12.45" x14ac:dyDescent="0.3"/>
    <row r="95" spans="1:5" ht="12.45" x14ac:dyDescent="0.3"/>
    <row r="96" spans="1:5" ht="12.45" x14ac:dyDescent="0.3"/>
    <row r="97" ht="12.45" x14ac:dyDescent="0.3"/>
    <row r="98" ht="12.45" x14ac:dyDescent="0.3"/>
    <row r="99" ht="12.45" x14ac:dyDescent="0.3"/>
    <row r="100" ht="12.45" x14ac:dyDescent="0.3"/>
    <row r="101" ht="12.45" x14ac:dyDescent="0.3"/>
    <row r="102" ht="12.45" x14ac:dyDescent="0.3"/>
    <row r="103" ht="12.45" x14ac:dyDescent="0.3"/>
    <row r="104" ht="12.45" x14ac:dyDescent="0.3"/>
    <row r="105" ht="12.45" x14ac:dyDescent="0.3"/>
    <row r="106" ht="12.45" x14ac:dyDescent="0.3"/>
    <row r="107" ht="12.45" x14ac:dyDescent="0.3"/>
    <row r="108" ht="12.45" x14ac:dyDescent="0.3"/>
    <row r="109" ht="12.45" x14ac:dyDescent="0.3"/>
    <row r="110" ht="12.45" x14ac:dyDescent="0.3"/>
    <row r="111" ht="12.45" x14ac:dyDescent="0.3"/>
    <row r="112" ht="12.45" x14ac:dyDescent="0.3"/>
    <row r="113" ht="12.45" x14ac:dyDescent="0.3"/>
    <row r="114" ht="12.45" x14ac:dyDescent="0.3"/>
    <row r="115" ht="12.45" x14ac:dyDescent="0.3"/>
    <row r="116" ht="12.45" x14ac:dyDescent="0.3"/>
    <row r="117" ht="12.45" x14ac:dyDescent="0.3"/>
    <row r="118" ht="12.45" x14ac:dyDescent="0.3"/>
    <row r="119" ht="12.45" x14ac:dyDescent="0.3"/>
    <row r="120" ht="12.45" x14ac:dyDescent="0.3"/>
    <row r="121" ht="12.45" x14ac:dyDescent="0.3"/>
    <row r="122" ht="12.45" x14ac:dyDescent="0.3"/>
    <row r="123" ht="12.45" x14ac:dyDescent="0.3"/>
    <row r="124" ht="12.45" x14ac:dyDescent="0.3"/>
    <row r="125" ht="12.45" x14ac:dyDescent="0.3"/>
    <row r="126" ht="12.45" x14ac:dyDescent="0.3"/>
    <row r="127" ht="12.45" x14ac:dyDescent="0.3"/>
    <row r="128" ht="12.45" x14ac:dyDescent="0.3"/>
    <row r="129" ht="12.45" x14ac:dyDescent="0.3"/>
    <row r="130" ht="12.45" x14ac:dyDescent="0.3"/>
    <row r="131" ht="12.45" x14ac:dyDescent="0.3"/>
    <row r="132" ht="12.45" x14ac:dyDescent="0.3"/>
    <row r="133" ht="12.45" x14ac:dyDescent="0.3"/>
    <row r="134" ht="12.45" x14ac:dyDescent="0.3"/>
    <row r="135" ht="12.45" x14ac:dyDescent="0.3"/>
    <row r="136" ht="12.45" x14ac:dyDescent="0.3"/>
    <row r="137" ht="12.45" x14ac:dyDescent="0.3"/>
    <row r="138" ht="12.45" x14ac:dyDescent="0.3"/>
    <row r="139" ht="12.45" x14ac:dyDescent="0.3"/>
    <row r="140" ht="12.45" x14ac:dyDescent="0.3"/>
    <row r="141" ht="12.45" x14ac:dyDescent="0.3"/>
    <row r="142" ht="12.45" x14ac:dyDescent="0.3"/>
    <row r="143" ht="12.45" x14ac:dyDescent="0.3"/>
    <row r="144" ht="12.45" x14ac:dyDescent="0.3"/>
    <row r="145" ht="12.45" x14ac:dyDescent="0.3"/>
    <row r="146" ht="12.45" x14ac:dyDescent="0.3"/>
    <row r="147" ht="12.45" x14ac:dyDescent="0.3"/>
    <row r="148" ht="12.45" x14ac:dyDescent="0.3"/>
    <row r="149" ht="12.45" x14ac:dyDescent="0.3"/>
    <row r="150" ht="12.45" x14ac:dyDescent="0.3"/>
    <row r="151" ht="12.45" x14ac:dyDescent="0.3"/>
    <row r="152" ht="12.45" x14ac:dyDescent="0.3"/>
    <row r="153" ht="12.45" x14ac:dyDescent="0.3"/>
    <row r="154" ht="12.45" x14ac:dyDescent="0.3"/>
    <row r="155" ht="12.45" x14ac:dyDescent="0.3"/>
    <row r="156" ht="12.45" x14ac:dyDescent="0.3"/>
    <row r="157" ht="12.45" x14ac:dyDescent="0.3"/>
    <row r="158" ht="12.45" x14ac:dyDescent="0.3"/>
    <row r="159" ht="12.45" x14ac:dyDescent="0.3"/>
    <row r="160" ht="12.45" x14ac:dyDescent="0.3"/>
    <row r="161" ht="12.45" x14ac:dyDescent="0.3"/>
    <row r="162" ht="12.45" x14ac:dyDescent="0.3"/>
    <row r="163" ht="12.45" x14ac:dyDescent="0.3"/>
    <row r="164" ht="12.45" x14ac:dyDescent="0.3"/>
    <row r="165" ht="12.45" x14ac:dyDescent="0.3"/>
    <row r="166" ht="12.45" x14ac:dyDescent="0.3"/>
    <row r="167" ht="12.45" x14ac:dyDescent="0.3"/>
    <row r="168" ht="12.45" x14ac:dyDescent="0.3"/>
    <row r="169" ht="12.45" x14ac:dyDescent="0.3"/>
    <row r="170" ht="12.45" x14ac:dyDescent="0.3"/>
    <row r="171" ht="12.45" x14ac:dyDescent="0.3"/>
    <row r="172" ht="12.45" x14ac:dyDescent="0.3"/>
    <row r="173" ht="12.45" x14ac:dyDescent="0.3"/>
    <row r="174" ht="12.45" x14ac:dyDescent="0.3"/>
    <row r="175" ht="12.45" x14ac:dyDescent="0.3"/>
    <row r="176" ht="12.45" x14ac:dyDescent="0.3"/>
    <row r="177" ht="12.45" x14ac:dyDescent="0.3"/>
    <row r="178" ht="12.45" x14ac:dyDescent="0.3"/>
    <row r="179" ht="12.45" x14ac:dyDescent="0.3"/>
    <row r="180" ht="12.45" x14ac:dyDescent="0.3"/>
    <row r="181" ht="12.45" x14ac:dyDescent="0.3"/>
    <row r="182" ht="12.45" x14ac:dyDescent="0.3"/>
    <row r="183" ht="12.45" x14ac:dyDescent="0.3"/>
    <row r="184" ht="12.45" x14ac:dyDescent="0.3"/>
    <row r="185" ht="12.45" x14ac:dyDescent="0.3"/>
    <row r="186" ht="12.45" x14ac:dyDescent="0.3"/>
    <row r="187" ht="12.45" x14ac:dyDescent="0.3"/>
    <row r="188" ht="12.45" x14ac:dyDescent="0.3"/>
    <row r="189" ht="12.45" x14ac:dyDescent="0.3"/>
    <row r="190" ht="12.45" x14ac:dyDescent="0.3"/>
    <row r="191" ht="12.45" x14ac:dyDescent="0.3"/>
    <row r="192" ht="12.45" x14ac:dyDescent="0.3"/>
    <row r="193" ht="12.45" x14ac:dyDescent="0.3"/>
    <row r="194" ht="12.45" x14ac:dyDescent="0.3"/>
    <row r="195" ht="12.45" x14ac:dyDescent="0.3"/>
    <row r="196" ht="12.45" x14ac:dyDescent="0.3"/>
    <row r="197" ht="12.45" x14ac:dyDescent="0.3"/>
    <row r="198" ht="12.45" x14ac:dyDescent="0.3"/>
    <row r="199" ht="12.45" x14ac:dyDescent="0.3"/>
    <row r="200" ht="12.45" x14ac:dyDescent="0.3"/>
    <row r="201" ht="12.45" x14ac:dyDescent="0.3"/>
    <row r="202" ht="12.45" x14ac:dyDescent="0.3"/>
    <row r="203" ht="12.45" x14ac:dyDescent="0.3"/>
    <row r="204" ht="12.45" x14ac:dyDescent="0.3"/>
    <row r="205" ht="12.45" x14ac:dyDescent="0.3"/>
    <row r="206" ht="12.45" x14ac:dyDescent="0.3"/>
    <row r="207" ht="12.45" x14ac:dyDescent="0.3"/>
    <row r="208" ht="12.45" x14ac:dyDescent="0.3"/>
    <row r="209" ht="12.45" x14ac:dyDescent="0.3"/>
    <row r="210" ht="12.45" x14ac:dyDescent="0.3"/>
    <row r="211" ht="12.45" x14ac:dyDescent="0.3"/>
    <row r="212" ht="12.45" x14ac:dyDescent="0.3"/>
    <row r="213" ht="12.45" x14ac:dyDescent="0.3"/>
    <row r="214" ht="12.45" x14ac:dyDescent="0.3"/>
    <row r="215" ht="12.45" x14ac:dyDescent="0.3"/>
    <row r="216" ht="12.45" x14ac:dyDescent="0.3"/>
    <row r="217" ht="12.45" x14ac:dyDescent="0.3"/>
    <row r="218" ht="12.45" x14ac:dyDescent="0.3"/>
    <row r="219" ht="12.45" x14ac:dyDescent="0.3"/>
    <row r="220" ht="12.45" x14ac:dyDescent="0.3"/>
    <row r="221" ht="12.45" x14ac:dyDescent="0.3"/>
    <row r="222" ht="12.45" x14ac:dyDescent="0.3"/>
    <row r="223" ht="12.45" x14ac:dyDescent="0.3"/>
    <row r="224" ht="12.45" x14ac:dyDescent="0.3"/>
    <row r="225" ht="12.45" x14ac:dyDescent="0.3"/>
    <row r="226" ht="12.45" x14ac:dyDescent="0.3"/>
    <row r="227" ht="12.45" x14ac:dyDescent="0.3"/>
    <row r="228" ht="12.45" x14ac:dyDescent="0.3"/>
    <row r="229" ht="12.45" x14ac:dyDescent="0.3"/>
    <row r="230" ht="12.45" x14ac:dyDescent="0.3"/>
    <row r="231" ht="12.45" x14ac:dyDescent="0.3"/>
    <row r="232" ht="12.45" x14ac:dyDescent="0.3"/>
    <row r="233" ht="12.45" x14ac:dyDescent="0.3"/>
    <row r="234" ht="12.45" x14ac:dyDescent="0.3"/>
    <row r="235" ht="12.45" x14ac:dyDescent="0.3"/>
    <row r="236" ht="12.45" x14ac:dyDescent="0.3"/>
    <row r="237" ht="12.45" x14ac:dyDescent="0.3"/>
    <row r="238" ht="12.45" x14ac:dyDescent="0.3"/>
    <row r="239" ht="12.45" x14ac:dyDescent="0.3"/>
    <row r="240" ht="12.45" x14ac:dyDescent="0.3"/>
    <row r="241" ht="12.45" x14ac:dyDescent="0.3"/>
    <row r="242" ht="12.45" x14ac:dyDescent="0.3"/>
    <row r="243" ht="12.45" x14ac:dyDescent="0.3"/>
    <row r="244" ht="12.45" x14ac:dyDescent="0.3"/>
    <row r="245" ht="12.45" x14ac:dyDescent="0.3"/>
    <row r="246" ht="12.45" x14ac:dyDescent="0.3"/>
    <row r="247" ht="12.45" x14ac:dyDescent="0.3"/>
    <row r="248" ht="12.45" x14ac:dyDescent="0.3"/>
    <row r="249" ht="12.45" x14ac:dyDescent="0.3"/>
    <row r="250" ht="12.45" x14ac:dyDescent="0.3"/>
    <row r="251" ht="12.45" x14ac:dyDescent="0.3"/>
    <row r="252" ht="12.45" x14ac:dyDescent="0.3"/>
    <row r="253" ht="12.45" x14ac:dyDescent="0.3"/>
    <row r="254" ht="12.45" x14ac:dyDescent="0.3"/>
    <row r="255" ht="12.45" x14ac:dyDescent="0.3"/>
    <row r="256" ht="12.45" x14ac:dyDescent="0.3"/>
    <row r="257" ht="12.45" x14ac:dyDescent="0.3"/>
    <row r="258" ht="12.45" x14ac:dyDescent="0.3"/>
    <row r="259" ht="12.45" x14ac:dyDescent="0.3"/>
    <row r="260" ht="12.45" x14ac:dyDescent="0.3"/>
    <row r="261" ht="12.45" x14ac:dyDescent="0.3"/>
    <row r="262" ht="12.45" x14ac:dyDescent="0.3"/>
    <row r="263" ht="12.45" x14ac:dyDescent="0.3"/>
    <row r="264" ht="12.45" x14ac:dyDescent="0.3"/>
    <row r="265" ht="12.45" x14ac:dyDescent="0.3"/>
    <row r="266" ht="12.45" x14ac:dyDescent="0.3"/>
    <row r="267" ht="12.45" x14ac:dyDescent="0.3"/>
    <row r="268" ht="12.45" x14ac:dyDescent="0.3"/>
    <row r="269" ht="12.45" x14ac:dyDescent="0.3"/>
    <row r="270" ht="12.45" x14ac:dyDescent="0.3"/>
    <row r="271" ht="12.45" x14ac:dyDescent="0.3"/>
    <row r="272" ht="12.45" x14ac:dyDescent="0.3"/>
    <row r="273" ht="12.45" x14ac:dyDescent="0.3"/>
    <row r="274" ht="12.45" x14ac:dyDescent="0.3"/>
    <row r="275" ht="12.45" x14ac:dyDescent="0.3"/>
    <row r="276" ht="12.45" x14ac:dyDescent="0.3"/>
    <row r="277" ht="12.45" x14ac:dyDescent="0.3"/>
    <row r="278" ht="12.45" x14ac:dyDescent="0.3"/>
    <row r="279" ht="12.45" x14ac:dyDescent="0.3"/>
    <row r="280" ht="12.45" x14ac:dyDescent="0.3"/>
    <row r="281" ht="12.45" x14ac:dyDescent="0.3"/>
    <row r="282" ht="12.45" x14ac:dyDescent="0.3"/>
    <row r="283" ht="12.45" x14ac:dyDescent="0.3"/>
    <row r="284" ht="12.45" x14ac:dyDescent="0.3"/>
    <row r="285" ht="12.45" x14ac:dyDescent="0.3"/>
    <row r="286" ht="12.45" x14ac:dyDescent="0.3"/>
    <row r="287" ht="12.45" x14ac:dyDescent="0.3"/>
    <row r="288" ht="12.45" x14ac:dyDescent="0.3"/>
    <row r="289" ht="12.45" x14ac:dyDescent="0.3"/>
    <row r="290" ht="12.45" x14ac:dyDescent="0.3"/>
    <row r="291" ht="12.45" x14ac:dyDescent="0.3"/>
    <row r="292" ht="12.45" x14ac:dyDescent="0.3"/>
    <row r="293" ht="12.45" x14ac:dyDescent="0.3"/>
    <row r="294" ht="12.45" x14ac:dyDescent="0.3"/>
    <row r="295" ht="12.45" x14ac:dyDescent="0.3"/>
    <row r="296" ht="12.45" x14ac:dyDescent="0.3"/>
    <row r="297" ht="12.45" x14ac:dyDescent="0.3"/>
    <row r="298" ht="12.45" x14ac:dyDescent="0.3"/>
    <row r="299" ht="12.45" x14ac:dyDescent="0.3"/>
    <row r="300" ht="12.45" x14ac:dyDescent="0.3"/>
    <row r="301" ht="12.45" x14ac:dyDescent="0.3"/>
    <row r="302" ht="12.45" x14ac:dyDescent="0.3"/>
    <row r="303" ht="12.45" x14ac:dyDescent="0.3"/>
    <row r="304" ht="12.45" x14ac:dyDescent="0.3"/>
    <row r="305" ht="12.45" x14ac:dyDescent="0.3"/>
    <row r="306" ht="12.45" x14ac:dyDescent="0.3"/>
    <row r="307" ht="12.45" x14ac:dyDescent="0.3"/>
    <row r="308" ht="12.45" x14ac:dyDescent="0.3"/>
    <row r="309" ht="12.45" x14ac:dyDescent="0.3"/>
    <row r="310" ht="12.45" x14ac:dyDescent="0.3"/>
    <row r="311" ht="12.45" x14ac:dyDescent="0.3"/>
    <row r="312" ht="12.45" x14ac:dyDescent="0.3"/>
    <row r="313" ht="12.45" x14ac:dyDescent="0.3"/>
    <row r="314" ht="12.45" x14ac:dyDescent="0.3"/>
    <row r="315" ht="12.45" x14ac:dyDescent="0.3"/>
    <row r="316" ht="12.45" x14ac:dyDescent="0.3"/>
    <row r="317" ht="12.45" x14ac:dyDescent="0.3"/>
    <row r="318" ht="12.45" x14ac:dyDescent="0.3"/>
    <row r="319" ht="12.45" x14ac:dyDescent="0.3"/>
    <row r="320" ht="12.45" x14ac:dyDescent="0.3"/>
    <row r="321" ht="12.45" x14ac:dyDescent="0.3"/>
    <row r="322" ht="12.45" x14ac:dyDescent="0.3"/>
    <row r="323" ht="12.45" x14ac:dyDescent="0.3"/>
    <row r="324" ht="12.45" x14ac:dyDescent="0.3"/>
    <row r="325" ht="12.45" x14ac:dyDescent="0.3"/>
    <row r="326" ht="12.45" x14ac:dyDescent="0.3"/>
    <row r="327" ht="12.45" x14ac:dyDescent="0.3"/>
    <row r="328" ht="12.45" x14ac:dyDescent="0.3"/>
    <row r="329" ht="12.45" x14ac:dyDescent="0.3"/>
    <row r="330" ht="12.45" x14ac:dyDescent="0.3"/>
    <row r="331" ht="12.45" x14ac:dyDescent="0.3"/>
    <row r="332" ht="12.45" x14ac:dyDescent="0.3"/>
    <row r="333" ht="12.45" x14ac:dyDescent="0.3"/>
    <row r="334" ht="12.45" x14ac:dyDescent="0.3"/>
    <row r="335" ht="12.45" x14ac:dyDescent="0.3"/>
    <row r="336" ht="12.45" x14ac:dyDescent="0.3"/>
    <row r="337" ht="12.45" x14ac:dyDescent="0.3"/>
    <row r="338" ht="12.45" x14ac:dyDescent="0.3"/>
    <row r="339" ht="12.45" x14ac:dyDescent="0.3"/>
    <row r="340" ht="12.45" x14ac:dyDescent="0.3"/>
    <row r="341" ht="12.45" x14ac:dyDescent="0.3"/>
    <row r="342" ht="12.45" x14ac:dyDescent="0.3"/>
    <row r="343" ht="12.45" x14ac:dyDescent="0.3"/>
    <row r="344" ht="12.45" x14ac:dyDescent="0.3"/>
    <row r="345" ht="12.45" x14ac:dyDescent="0.3"/>
    <row r="346" ht="12.45" x14ac:dyDescent="0.3"/>
    <row r="347" ht="12.45" x14ac:dyDescent="0.3"/>
    <row r="348" ht="12.45" x14ac:dyDescent="0.3"/>
    <row r="349" ht="12.45" x14ac:dyDescent="0.3"/>
    <row r="350" ht="12.45" x14ac:dyDescent="0.3"/>
    <row r="351" ht="12.45" x14ac:dyDescent="0.3"/>
    <row r="352" ht="12.45" x14ac:dyDescent="0.3"/>
    <row r="353" ht="12.45" x14ac:dyDescent="0.3"/>
    <row r="354" ht="12.45" x14ac:dyDescent="0.3"/>
    <row r="355" ht="12.45" x14ac:dyDescent="0.3"/>
    <row r="356" ht="12.45" x14ac:dyDescent="0.3"/>
    <row r="357" ht="12.45" x14ac:dyDescent="0.3"/>
    <row r="358" ht="12.45" x14ac:dyDescent="0.3"/>
    <row r="359" ht="12.45" x14ac:dyDescent="0.3"/>
    <row r="360" ht="12.45" x14ac:dyDescent="0.3"/>
    <row r="361" ht="12.45" x14ac:dyDescent="0.3"/>
    <row r="362" ht="12.45" x14ac:dyDescent="0.3"/>
    <row r="363" ht="12.45" x14ac:dyDescent="0.3"/>
    <row r="364" ht="12.45" x14ac:dyDescent="0.3"/>
    <row r="365" ht="12.45" x14ac:dyDescent="0.3"/>
    <row r="366" ht="12.45" x14ac:dyDescent="0.3"/>
    <row r="367" ht="12.45" x14ac:dyDescent="0.3"/>
    <row r="368" ht="12.45" x14ac:dyDescent="0.3"/>
    <row r="369" ht="12.45" x14ac:dyDescent="0.3"/>
    <row r="370" ht="12.45" x14ac:dyDescent="0.3"/>
    <row r="371" ht="12.45" x14ac:dyDescent="0.3"/>
    <row r="372" ht="12.45" x14ac:dyDescent="0.3"/>
    <row r="373" ht="12.45" x14ac:dyDescent="0.3"/>
    <row r="374" ht="12.45" x14ac:dyDescent="0.3"/>
    <row r="375" ht="12.45" x14ac:dyDescent="0.3"/>
    <row r="376" ht="12.45" x14ac:dyDescent="0.3"/>
    <row r="377" ht="12.45" x14ac:dyDescent="0.3"/>
    <row r="378" ht="12.45" x14ac:dyDescent="0.3"/>
    <row r="379" ht="12.45" x14ac:dyDescent="0.3"/>
    <row r="380" ht="12.45" x14ac:dyDescent="0.3"/>
    <row r="381" ht="12.45" x14ac:dyDescent="0.3"/>
    <row r="382" ht="12.45" x14ac:dyDescent="0.3"/>
    <row r="383" ht="12.45" x14ac:dyDescent="0.3"/>
    <row r="384" ht="12.45" x14ac:dyDescent="0.3"/>
    <row r="385" ht="12.45" x14ac:dyDescent="0.3"/>
    <row r="386" ht="12.45" x14ac:dyDescent="0.3"/>
    <row r="387" ht="12.45" x14ac:dyDescent="0.3"/>
    <row r="388" ht="12.45" x14ac:dyDescent="0.3"/>
    <row r="389" ht="12.45" x14ac:dyDescent="0.3"/>
    <row r="390" ht="12.45" x14ac:dyDescent="0.3"/>
    <row r="391" ht="12.45" x14ac:dyDescent="0.3"/>
    <row r="392" ht="12.45" x14ac:dyDescent="0.3"/>
    <row r="393" ht="12.45" x14ac:dyDescent="0.3"/>
    <row r="394" ht="12.45" x14ac:dyDescent="0.3"/>
    <row r="395" ht="12.45" x14ac:dyDescent="0.3"/>
    <row r="396" ht="12.45" x14ac:dyDescent="0.3"/>
    <row r="397" ht="12.45" x14ac:dyDescent="0.3"/>
    <row r="398" ht="12.45" x14ac:dyDescent="0.3"/>
    <row r="399" ht="12.45" x14ac:dyDescent="0.3"/>
    <row r="400" ht="12.45" x14ac:dyDescent="0.3"/>
    <row r="401" ht="12.45" x14ac:dyDescent="0.3"/>
    <row r="402" ht="12.45" x14ac:dyDescent="0.3"/>
    <row r="403" ht="12.45" x14ac:dyDescent="0.3"/>
    <row r="404" ht="12.45" x14ac:dyDescent="0.3"/>
    <row r="405" ht="12.45" x14ac:dyDescent="0.3"/>
    <row r="406" ht="12.45" x14ac:dyDescent="0.3"/>
    <row r="407" ht="12.45" x14ac:dyDescent="0.3"/>
    <row r="408" ht="12.45" x14ac:dyDescent="0.3"/>
    <row r="409" ht="12.45" x14ac:dyDescent="0.3"/>
    <row r="410" ht="12.45" x14ac:dyDescent="0.3"/>
    <row r="411" ht="12.45" x14ac:dyDescent="0.3"/>
    <row r="412" ht="12.45" x14ac:dyDescent="0.3"/>
    <row r="413" ht="12.45" x14ac:dyDescent="0.3"/>
    <row r="414" ht="12.45" x14ac:dyDescent="0.3"/>
    <row r="415" ht="12.45" x14ac:dyDescent="0.3"/>
    <row r="416" ht="12.45" x14ac:dyDescent="0.3"/>
    <row r="417" ht="12.45" x14ac:dyDescent="0.3"/>
    <row r="418" ht="12.45" x14ac:dyDescent="0.3"/>
    <row r="419" ht="12.45" x14ac:dyDescent="0.3"/>
    <row r="420" ht="12.45" x14ac:dyDescent="0.3"/>
    <row r="421" ht="12.45" x14ac:dyDescent="0.3"/>
    <row r="422" ht="12.45" x14ac:dyDescent="0.3"/>
    <row r="423" ht="12.45" x14ac:dyDescent="0.3"/>
    <row r="424" ht="12.45" x14ac:dyDescent="0.3"/>
    <row r="425" ht="12.45" x14ac:dyDescent="0.3"/>
    <row r="426" ht="12.45" x14ac:dyDescent="0.3"/>
    <row r="427" ht="12.45" x14ac:dyDescent="0.3"/>
    <row r="428" ht="12.45" x14ac:dyDescent="0.3"/>
    <row r="429" ht="12.45" x14ac:dyDescent="0.3"/>
    <row r="430" ht="12.45" x14ac:dyDescent="0.3"/>
    <row r="431" ht="12.45" x14ac:dyDescent="0.3"/>
    <row r="432" ht="12.45" x14ac:dyDescent="0.3"/>
    <row r="433" ht="12.45" x14ac:dyDescent="0.3"/>
    <row r="434" ht="12.45" x14ac:dyDescent="0.3"/>
    <row r="435" ht="12.45" x14ac:dyDescent="0.3"/>
    <row r="436" ht="12.45" x14ac:dyDescent="0.3"/>
    <row r="437" ht="12.45" x14ac:dyDescent="0.3"/>
    <row r="438" ht="12.45" x14ac:dyDescent="0.3"/>
    <row r="439" ht="12.45" x14ac:dyDescent="0.3"/>
    <row r="440" ht="12.45" x14ac:dyDescent="0.3"/>
    <row r="441" ht="12.45" x14ac:dyDescent="0.3"/>
    <row r="442" ht="12.45" x14ac:dyDescent="0.3"/>
    <row r="443" ht="12.45" x14ac:dyDescent="0.3"/>
    <row r="444" ht="12.45" x14ac:dyDescent="0.3"/>
    <row r="445" ht="12.45" x14ac:dyDescent="0.3"/>
    <row r="446" ht="12.45" x14ac:dyDescent="0.3"/>
    <row r="447" ht="12.45" x14ac:dyDescent="0.3"/>
    <row r="448" ht="12.45" x14ac:dyDescent="0.3"/>
    <row r="449" ht="12.45" x14ac:dyDescent="0.3"/>
    <row r="450" ht="12.45" x14ac:dyDescent="0.3"/>
    <row r="451" ht="12.45" x14ac:dyDescent="0.3"/>
    <row r="452" ht="12.45" x14ac:dyDescent="0.3"/>
    <row r="453" ht="12.45" x14ac:dyDescent="0.3"/>
    <row r="454" ht="12.45" x14ac:dyDescent="0.3"/>
    <row r="455" ht="12.45" x14ac:dyDescent="0.3"/>
    <row r="456" ht="12.45" x14ac:dyDescent="0.3"/>
    <row r="457" ht="12.45" x14ac:dyDescent="0.3"/>
    <row r="458" ht="12.45" x14ac:dyDescent="0.3"/>
    <row r="459" ht="12.45" x14ac:dyDescent="0.3"/>
    <row r="460" ht="12.45" x14ac:dyDescent="0.3"/>
    <row r="461" ht="12.45" x14ac:dyDescent="0.3"/>
    <row r="462" ht="12.45" x14ac:dyDescent="0.3"/>
    <row r="463" ht="12.45" x14ac:dyDescent="0.3"/>
    <row r="464" ht="12.45" x14ac:dyDescent="0.3"/>
    <row r="465" ht="12.45" x14ac:dyDescent="0.3"/>
    <row r="466" ht="12.45" x14ac:dyDescent="0.3"/>
    <row r="467" ht="12.45" x14ac:dyDescent="0.3"/>
    <row r="468" ht="12.45" x14ac:dyDescent="0.3"/>
    <row r="469" ht="12.45" x14ac:dyDescent="0.3"/>
    <row r="470" ht="12.45" x14ac:dyDescent="0.3"/>
    <row r="471" ht="12.45" x14ac:dyDescent="0.3"/>
    <row r="472" ht="12.45" x14ac:dyDescent="0.3"/>
    <row r="473" ht="12.45" x14ac:dyDescent="0.3"/>
    <row r="474" ht="12.45" x14ac:dyDescent="0.3"/>
    <row r="475" ht="12.45" x14ac:dyDescent="0.3"/>
    <row r="476" ht="12.45" x14ac:dyDescent="0.3"/>
    <row r="477" ht="12.45" x14ac:dyDescent="0.3"/>
    <row r="478" ht="12.45" x14ac:dyDescent="0.3"/>
    <row r="479" ht="12.45" x14ac:dyDescent="0.3"/>
    <row r="480" ht="12.45" x14ac:dyDescent="0.3"/>
    <row r="481" ht="12.45" x14ac:dyDescent="0.3"/>
    <row r="482" ht="12.45" x14ac:dyDescent="0.3"/>
    <row r="483" ht="12.45" x14ac:dyDescent="0.3"/>
    <row r="484" ht="12.45" x14ac:dyDescent="0.3"/>
    <row r="485" ht="12.45" x14ac:dyDescent="0.3"/>
    <row r="486" ht="12.45" x14ac:dyDescent="0.3"/>
    <row r="487" ht="12.45" x14ac:dyDescent="0.3"/>
    <row r="488" ht="12.45" x14ac:dyDescent="0.3"/>
    <row r="489" ht="12.45" x14ac:dyDescent="0.3"/>
    <row r="490" ht="12.45" x14ac:dyDescent="0.3"/>
    <row r="491" ht="12.45" x14ac:dyDescent="0.3"/>
    <row r="492" ht="12.45" x14ac:dyDescent="0.3"/>
    <row r="493" ht="12.45" x14ac:dyDescent="0.3"/>
    <row r="494" ht="12.45" x14ac:dyDescent="0.3"/>
    <row r="495" ht="12.45" x14ac:dyDescent="0.3"/>
    <row r="496" ht="12.45" x14ac:dyDescent="0.3"/>
    <row r="497" ht="12.45" x14ac:dyDescent="0.3"/>
    <row r="498" ht="12.45" x14ac:dyDescent="0.3"/>
    <row r="499" ht="12.45" x14ac:dyDescent="0.3"/>
    <row r="500" ht="12.45" x14ac:dyDescent="0.3"/>
    <row r="501" ht="12.45" x14ac:dyDescent="0.3"/>
    <row r="502" ht="12.45" x14ac:dyDescent="0.3"/>
    <row r="503" ht="12.45" x14ac:dyDescent="0.3"/>
    <row r="504" ht="12.45" x14ac:dyDescent="0.3"/>
    <row r="505" ht="12.45" x14ac:dyDescent="0.3"/>
    <row r="506" ht="12.45" x14ac:dyDescent="0.3"/>
    <row r="507" ht="12.45" x14ac:dyDescent="0.3"/>
    <row r="508" ht="12.45" x14ac:dyDescent="0.3"/>
    <row r="509" ht="12.45" x14ac:dyDescent="0.3"/>
    <row r="510" ht="12.45" x14ac:dyDescent="0.3"/>
    <row r="511" ht="12.45" x14ac:dyDescent="0.3"/>
    <row r="512" ht="12.45" x14ac:dyDescent="0.3"/>
    <row r="513" ht="12.45" x14ac:dyDescent="0.3"/>
    <row r="514" ht="12.45" x14ac:dyDescent="0.3"/>
    <row r="515" ht="12.45" x14ac:dyDescent="0.3"/>
    <row r="516" ht="12.45" x14ac:dyDescent="0.3"/>
    <row r="517" ht="12.45" x14ac:dyDescent="0.3"/>
    <row r="518" ht="12.45" x14ac:dyDescent="0.3"/>
    <row r="519" ht="12.45" x14ac:dyDescent="0.3"/>
    <row r="520" ht="12.45" x14ac:dyDescent="0.3"/>
    <row r="521" ht="12.45" x14ac:dyDescent="0.3"/>
    <row r="522" ht="12.45" x14ac:dyDescent="0.3"/>
    <row r="523" ht="12.45" x14ac:dyDescent="0.3"/>
    <row r="524" ht="12.45" x14ac:dyDescent="0.3"/>
    <row r="525" ht="12.45" x14ac:dyDescent="0.3"/>
    <row r="526" ht="12.45" x14ac:dyDescent="0.3"/>
    <row r="527" ht="12.45" x14ac:dyDescent="0.3"/>
    <row r="528" ht="12.45" x14ac:dyDescent="0.3"/>
    <row r="529" ht="12.45" x14ac:dyDescent="0.3"/>
    <row r="530" ht="12.45" x14ac:dyDescent="0.3"/>
    <row r="531" ht="12.45" x14ac:dyDescent="0.3"/>
    <row r="532" ht="12.45" x14ac:dyDescent="0.3"/>
    <row r="533" ht="12.45" x14ac:dyDescent="0.3"/>
    <row r="534" ht="12.45" x14ac:dyDescent="0.3"/>
    <row r="535" ht="12.45" x14ac:dyDescent="0.3"/>
    <row r="536" ht="12.45" x14ac:dyDescent="0.3"/>
    <row r="537" ht="12.45" x14ac:dyDescent="0.3"/>
    <row r="538" ht="12.45" x14ac:dyDescent="0.3"/>
    <row r="539" ht="12.45" x14ac:dyDescent="0.3"/>
    <row r="540" ht="12.45" x14ac:dyDescent="0.3"/>
    <row r="541" ht="12.45" x14ac:dyDescent="0.3"/>
    <row r="542" ht="12.45" x14ac:dyDescent="0.3"/>
    <row r="543" ht="12.45" x14ac:dyDescent="0.3"/>
    <row r="544" ht="12.45" x14ac:dyDescent="0.3"/>
    <row r="545" ht="12.45" x14ac:dyDescent="0.3"/>
    <row r="546" ht="12.45" x14ac:dyDescent="0.3"/>
    <row r="547" ht="12.45" x14ac:dyDescent="0.3"/>
    <row r="548" ht="12.45" x14ac:dyDescent="0.3"/>
    <row r="549" ht="12.45" x14ac:dyDescent="0.3"/>
    <row r="550" ht="12.45" x14ac:dyDescent="0.3"/>
    <row r="551" ht="12.45" x14ac:dyDescent="0.3"/>
    <row r="552" ht="12.45" x14ac:dyDescent="0.3"/>
    <row r="553" ht="12.45" x14ac:dyDescent="0.3"/>
    <row r="554" ht="12.45" x14ac:dyDescent="0.3"/>
    <row r="555" ht="12.45" x14ac:dyDescent="0.3"/>
    <row r="556" ht="12.45" x14ac:dyDescent="0.3"/>
    <row r="557" ht="12.45" x14ac:dyDescent="0.3"/>
    <row r="558" ht="12.45" x14ac:dyDescent="0.3"/>
    <row r="559" ht="12.45" x14ac:dyDescent="0.3"/>
    <row r="560" ht="12.45" x14ac:dyDescent="0.3"/>
    <row r="561" ht="12.45" x14ac:dyDescent="0.3"/>
    <row r="562" ht="12.45" x14ac:dyDescent="0.3"/>
    <row r="563" ht="12.45" x14ac:dyDescent="0.3"/>
    <row r="564" ht="12.45" x14ac:dyDescent="0.3"/>
    <row r="565" ht="12.45" x14ac:dyDescent="0.3"/>
    <row r="566" ht="12.45" x14ac:dyDescent="0.3"/>
    <row r="567" ht="12.45" x14ac:dyDescent="0.3"/>
    <row r="568" ht="12.45" x14ac:dyDescent="0.3"/>
    <row r="569" ht="12.45" x14ac:dyDescent="0.3"/>
    <row r="570" ht="12.45" x14ac:dyDescent="0.3"/>
    <row r="571" ht="12.45" x14ac:dyDescent="0.3"/>
    <row r="572" ht="12.45" x14ac:dyDescent="0.3"/>
    <row r="573" ht="12.45" x14ac:dyDescent="0.3"/>
    <row r="574" ht="12.45" x14ac:dyDescent="0.3"/>
    <row r="575" ht="12.45" x14ac:dyDescent="0.3"/>
    <row r="576" ht="12.45" x14ac:dyDescent="0.3"/>
    <row r="577" ht="12.45" x14ac:dyDescent="0.3"/>
    <row r="578" ht="12.45" x14ac:dyDescent="0.3"/>
    <row r="579" ht="12.45" x14ac:dyDescent="0.3"/>
    <row r="580" ht="12.45" x14ac:dyDescent="0.3"/>
    <row r="581" ht="12.45" x14ac:dyDescent="0.3"/>
    <row r="582" ht="12.45" x14ac:dyDescent="0.3"/>
    <row r="583" ht="12.45" x14ac:dyDescent="0.3"/>
    <row r="584" ht="12.45" x14ac:dyDescent="0.3"/>
    <row r="585" ht="12.45" x14ac:dyDescent="0.3"/>
    <row r="586" ht="12.45" x14ac:dyDescent="0.3"/>
    <row r="587" ht="12.45" x14ac:dyDescent="0.3"/>
    <row r="588" ht="12.45" x14ac:dyDescent="0.3"/>
    <row r="589" ht="12.45" x14ac:dyDescent="0.3"/>
    <row r="590" ht="12.45" x14ac:dyDescent="0.3"/>
    <row r="591" ht="12.45" x14ac:dyDescent="0.3"/>
    <row r="592" ht="12.45" x14ac:dyDescent="0.3"/>
    <row r="593" ht="12.45" x14ac:dyDescent="0.3"/>
    <row r="594" ht="12.45" x14ac:dyDescent="0.3"/>
    <row r="595" ht="12.45" x14ac:dyDescent="0.3"/>
    <row r="596" ht="12.45" x14ac:dyDescent="0.3"/>
    <row r="597" ht="12.45" x14ac:dyDescent="0.3"/>
    <row r="598" ht="12.45" x14ac:dyDescent="0.3"/>
    <row r="599" ht="12.45" x14ac:dyDescent="0.3"/>
    <row r="600" ht="12.45" x14ac:dyDescent="0.3"/>
    <row r="601" ht="12.45" x14ac:dyDescent="0.3"/>
    <row r="602" ht="12.45" x14ac:dyDescent="0.3"/>
    <row r="603" ht="12.45" x14ac:dyDescent="0.3"/>
    <row r="604" ht="12.45" x14ac:dyDescent="0.3"/>
    <row r="605" ht="12.45" x14ac:dyDescent="0.3"/>
    <row r="606" ht="12.45" x14ac:dyDescent="0.3"/>
    <row r="607" ht="12.45" x14ac:dyDescent="0.3"/>
    <row r="608" ht="12.45" x14ac:dyDescent="0.3"/>
    <row r="609" ht="12.45" x14ac:dyDescent="0.3"/>
    <row r="610" ht="12.45" x14ac:dyDescent="0.3"/>
    <row r="611" ht="12.45" x14ac:dyDescent="0.3"/>
    <row r="612" ht="12.45" x14ac:dyDescent="0.3"/>
    <row r="613" ht="12.45" x14ac:dyDescent="0.3"/>
    <row r="614" ht="12.45" x14ac:dyDescent="0.3"/>
    <row r="615" ht="12.45" x14ac:dyDescent="0.3"/>
    <row r="616" ht="12.45" x14ac:dyDescent="0.3"/>
    <row r="617" ht="12.45" x14ac:dyDescent="0.3"/>
    <row r="618" ht="12.45" x14ac:dyDescent="0.3"/>
    <row r="619" ht="12.45" x14ac:dyDescent="0.3"/>
    <row r="620" ht="12.45" x14ac:dyDescent="0.3"/>
    <row r="621" ht="12.45" x14ac:dyDescent="0.3"/>
    <row r="622" ht="12.45" x14ac:dyDescent="0.3"/>
    <row r="623" ht="12.45" x14ac:dyDescent="0.3"/>
    <row r="624" ht="12.45" x14ac:dyDescent="0.3"/>
    <row r="625" ht="12.45" x14ac:dyDescent="0.3"/>
    <row r="626" ht="12.45" x14ac:dyDescent="0.3"/>
    <row r="627" ht="12.45" x14ac:dyDescent="0.3"/>
    <row r="628" ht="12.45" x14ac:dyDescent="0.3"/>
    <row r="629" ht="12.45" x14ac:dyDescent="0.3"/>
    <row r="630" ht="12.45" x14ac:dyDescent="0.3"/>
    <row r="631" ht="12.45" x14ac:dyDescent="0.3"/>
    <row r="632" ht="12.45" x14ac:dyDescent="0.3"/>
    <row r="633" ht="12.45" x14ac:dyDescent="0.3"/>
    <row r="634" ht="12.45" x14ac:dyDescent="0.3"/>
    <row r="635" ht="12.45" x14ac:dyDescent="0.3"/>
    <row r="636" ht="12.45" x14ac:dyDescent="0.3"/>
    <row r="637" ht="12.45" x14ac:dyDescent="0.3"/>
    <row r="638" ht="12.45" x14ac:dyDescent="0.3"/>
    <row r="639" ht="12.45" x14ac:dyDescent="0.3"/>
    <row r="640" ht="12.45" x14ac:dyDescent="0.3"/>
    <row r="641" ht="12.45" x14ac:dyDescent="0.3"/>
    <row r="642" ht="12.45" x14ac:dyDescent="0.3"/>
    <row r="643" ht="12.45" x14ac:dyDescent="0.3"/>
    <row r="644" ht="12.45" x14ac:dyDescent="0.3"/>
    <row r="645" ht="12.45" x14ac:dyDescent="0.3"/>
    <row r="646" ht="12.45" x14ac:dyDescent="0.3"/>
    <row r="647" ht="12.45" x14ac:dyDescent="0.3"/>
    <row r="648" ht="12.45" x14ac:dyDescent="0.3"/>
    <row r="649" ht="12.45" x14ac:dyDescent="0.3"/>
    <row r="650" ht="12.45" x14ac:dyDescent="0.3"/>
    <row r="651" ht="12.45" x14ac:dyDescent="0.3"/>
    <row r="652" ht="12.45" x14ac:dyDescent="0.3"/>
    <row r="653" ht="12.45" x14ac:dyDescent="0.3"/>
    <row r="654" ht="12.45" x14ac:dyDescent="0.3"/>
    <row r="655" ht="12.45" x14ac:dyDescent="0.3"/>
    <row r="656" ht="12.45" x14ac:dyDescent="0.3"/>
    <row r="657" ht="12.45" x14ac:dyDescent="0.3"/>
    <row r="658" ht="12.45" x14ac:dyDescent="0.3"/>
    <row r="659" ht="12.45" x14ac:dyDescent="0.3"/>
    <row r="660" ht="12.45" x14ac:dyDescent="0.3"/>
    <row r="661" ht="12.45" x14ac:dyDescent="0.3"/>
    <row r="662" ht="12.45" x14ac:dyDescent="0.3"/>
    <row r="663" ht="12.45" x14ac:dyDescent="0.3"/>
    <row r="664" ht="12.45" x14ac:dyDescent="0.3"/>
    <row r="665" ht="12.45" x14ac:dyDescent="0.3"/>
    <row r="666" ht="12.45" x14ac:dyDescent="0.3"/>
    <row r="667" ht="12.45" x14ac:dyDescent="0.3"/>
    <row r="668" ht="12.45" x14ac:dyDescent="0.3"/>
    <row r="669" ht="12.45" x14ac:dyDescent="0.3"/>
    <row r="670" ht="12.45" x14ac:dyDescent="0.3"/>
    <row r="671" ht="12.45" x14ac:dyDescent="0.3"/>
    <row r="672" ht="12.45" x14ac:dyDescent="0.3"/>
    <row r="673" ht="12.45" x14ac:dyDescent="0.3"/>
    <row r="674" ht="12.45" x14ac:dyDescent="0.3"/>
    <row r="675" ht="12.45" x14ac:dyDescent="0.3"/>
    <row r="676" ht="12.45" x14ac:dyDescent="0.3"/>
    <row r="677" ht="12.45" x14ac:dyDescent="0.3"/>
    <row r="678" ht="12.45" x14ac:dyDescent="0.3"/>
    <row r="679" ht="12.45" x14ac:dyDescent="0.3"/>
    <row r="680" ht="12.45" x14ac:dyDescent="0.3"/>
    <row r="681" ht="12.45" x14ac:dyDescent="0.3"/>
    <row r="682" ht="12.45" x14ac:dyDescent="0.3"/>
    <row r="683" ht="12.45" x14ac:dyDescent="0.3"/>
    <row r="684" ht="12.45" x14ac:dyDescent="0.3"/>
    <row r="685" ht="12.45" x14ac:dyDescent="0.3"/>
    <row r="686" ht="12.45" x14ac:dyDescent="0.3"/>
    <row r="687" ht="12.45" x14ac:dyDescent="0.3"/>
    <row r="688" ht="12.45" x14ac:dyDescent="0.3"/>
    <row r="689" ht="12.45" x14ac:dyDescent="0.3"/>
    <row r="690" ht="12.45" x14ac:dyDescent="0.3"/>
    <row r="691" ht="12.45" x14ac:dyDescent="0.3"/>
    <row r="692" ht="12.45" x14ac:dyDescent="0.3"/>
    <row r="693" ht="12.45" x14ac:dyDescent="0.3"/>
    <row r="694" ht="12.45" x14ac:dyDescent="0.3"/>
    <row r="695" ht="12.45" x14ac:dyDescent="0.3"/>
    <row r="696" ht="12.45" x14ac:dyDescent="0.3"/>
    <row r="697" ht="12.45" x14ac:dyDescent="0.3"/>
    <row r="698" ht="12.45" x14ac:dyDescent="0.3"/>
    <row r="699" ht="12.45" x14ac:dyDescent="0.3"/>
    <row r="700" ht="12.45" x14ac:dyDescent="0.3"/>
    <row r="701" ht="12.45" x14ac:dyDescent="0.3"/>
    <row r="702" ht="12.45" x14ac:dyDescent="0.3"/>
    <row r="703" ht="12.45" x14ac:dyDescent="0.3"/>
    <row r="704" ht="12.45" x14ac:dyDescent="0.3"/>
    <row r="705" ht="12.45" x14ac:dyDescent="0.3"/>
    <row r="706" ht="12.45" x14ac:dyDescent="0.3"/>
    <row r="707" ht="12.45" x14ac:dyDescent="0.3"/>
    <row r="708" ht="12.45" x14ac:dyDescent="0.3"/>
    <row r="709" ht="12.45" x14ac:dyDescent="0.3"/>
    <row r="710" ht="12.45" x14ac:dyDescent="0.3"/>
    <row r="711" ht="12.45" x14ac:dyDescent="0.3"/>
    <row r="712" ht="12.45" x14ac:dyDescent="0.3"/>
    <row r="713" ht="12.45" x14ac:dyDescent="0.3"/>
    <row r="714" ht="12.45" x14ac:dyDescent="0.3"/>
    <row r="715" ht="12.45" x14ac:dyDescent="0.3"/>
    <row r="716" ht="12.45" x14ac:dyDescent="0.3"/>
    <row r="717" ht="12.45" x14ac:dyDescent="0.3"/>
    <row r="718" ht="12.45" x14ac:dyDescent="0.3"/>
    <row r="719" ht="12.45" x14ac:dyDescent="0.3"/>
    <row r="720" ht="12.45" x14ac:dyDescent="0.3"/>
    <row r="721" ht="12.45" x14ac:dyDescent="0.3"/>
    <row r="722" ht="12.45" x14ac:dyDescent="0.3"/>
    <row r="723" ht="12.45" x14ac:dyDescent="0.3"/>
    <row r="724" ht="12.45" x14ac:dyDescent="0.3"/>
    <row r="725" ht="12.45" x14ac:dyDescent="0.3"/>
    <row r="726" ht="12.45" x14ac:dyDescent="0.3"/>
    <row r="727" ht="12.45" x14ac:dyDescent="0.3"/>
    <row r="728" ht="12.45" x14ac:dyDescent="0.3"/>
    <row r="729" ht="12.45" x14ac:dyDescent="0.3"/>
    <row r="730" ht="12.45" x14ac:dyDescent="0.3"/>
    <row r="731" ht="12.45" x14ac:dyDescent="0.3"/>
    <row r="732" ht="12.45" x14ac:dyDescent="0.3"/>
    <row r="733" ht="12.45" x14ac:dyDescent="0.3"/>
    <row r="734" ht="12.45" x14ac:dyDescent="0.3"/>
    <row r="735" ht="12.45" x14ac:dyDescent="0.3"/>
    <row r="736" ht="12.45" x14ac:dyDescent="0.3"/>
    <row r="737" ht="12.45" x14ac:dyDescent="0.3"/>
    <row r="738" ht="12.45" x14ac:dyDescent="0.3"/>
    <row r="739" ht="12.45" x14ac:dyDescent="0.3"/>
    <row r="740" ht="12.45" x14ac:dyDescent="0.3"/>
    <row r="741" ht="12.45" x14ac:dyDescent="0.3"/>
    <row r="742" ht="12.45" x14ac:dyDescent="0.3"/>
    <row r="743" ht="12.45" x14ac:dyDescent="0.3"/>
    <row r="744" ht="12.45" x14ac:dyDescent="0.3"/>
    <row r="745" ht="12.45" x14ac:dyDescent="0.3"/>
    <row r="746" ht="12.45" x14ac:dyDescent="0.3"/>
    <row r="747" ht="12.45" x14ac:dyDescent="0.3"/>
    <row r="748" ht="12.45" x14ac:dyDescent="0.3"/>
    <row r="749" ht="12.45" x14ac:dyDescent="0.3"/>
    <row r="750" ht="12.45" x14ac:dyDescent="0.3"/>
    <row r="751" ht="12.45" x14ac:dyDescent="0.3"/>
    <row r="752" ht="12.45" x14ac:dyDescent="0.3"/>
    <row r="753" ht="12.45" x14ac:dyDescent="0.3"/>
    <row r="754" ht="12.45" x14ac:dyDescent="0.3"/>
    <row r="755" ht="12.45" x14ac:dyDescent="0.3"/>
    <row r="756" ht="12.45" x14ac:dyDescent="0.3"/>
    <row r="757" ht="12.45" x14ac:dyDescent="0.3"/>
    <row r="758" ht="12.45" x14ac:dyDescent="0.3"/>
    <row r="759" ht="12.45" x14ac:dyDescent="0.3"/>
    <row r="760" ht="12.45" x14ac:dyDescent="0.3"/>
    <row r="761" ht="12.45" x14ac:dyDescent="0.3"/>
    <row r="762" ht="12.45" x14ac:dyDescent="0.3"/>
    <row r="763" ht="12.45" x14ac:dyDescent="0.3"/>
    <row r="764" ht="12.45" x14ac:dyDescent="0.3"/>
    <row r="765" ht="12.45" x14ac:dyDescent="0.3"/>
    <row r="766" ht="12.45" x14ac:dyDescent="0.3"/>
    <row r="767" ht="12.45" x14ac:dyDescent="0.3"/>
    <row r="768" ht="12.45" x14ac:dyDescent="0.3"/>
    <row r="769" ht="12.45" x14ac:dyDescent="0.3"/>
    <row r="770" ht="12.45" x14ac:dyDescent="0.3"/>
    <row r="771" ht="12.45" x14ac:dyDescent="0.3"/>
    <row r="772" ht="12.45" x14ac:dyDescent="0.3"/>
    <row r="773" ht="12.45" x14ac:dyDescent="0.3"/>
    <row r="774" ht="12.45" x14ac:dyDescent="0.3"/>
    <row r="775" ht="12.45" x14ac:dyDescent="0.3"/>
    <row r="776" ht="12.45" x14ac:dyDescent="0.3"/>
    <row r="777" ht="12.45" x14ac:dyDescent="0.3"/>
    <row r="778" ht="12.45" x14ac:dyDescent="0.3"/>
    <row r="779" ht="12.45" x14ac:dyDescent="0.3"/>
    <row r="780" ht="12.45" x14ac:dyDescent="0.3"/>
    <row r="781" ht="12.45" x14ac:dyDescent="0.3"/>
    <row r="782" ht="12.45" x14ac:dyDescent="0.3"/>
    <row r="783" ht="12.45" x14ac:dyDescent="0.3"/>
    <row r="784" ht="12.45" x14ac:dyDescent="0.3"/>
    <row r="785" ht="12.45" x14ac:dyDescent="0.3"/>
    <row r="786" ht="12.45" x14ac:dyDescent="0.3"/>
    <row r="787" ht="12.45" x14ac:dyDescent="0.3"/>
    <row r="788" ht="12.45" x14ac:dyDescent="0.3"/>
    <row r="789" ht="12.45" x14ac:dyDescent="0.3"/>
    <row r="790" ht="12.45" x14ac:dyDescent="0.3"/>
    <row r="791" ht="12.45" x14ac:dyDescent="0.3"/>
    <row r="792" ht="12.45" x14ac:dyDescent="0.3"/>
    <row r="793" ht="12.45" x14ac:dyDescent="0.3"/>
    <row r="794" ht="12.45" x14ac:dyDescent="0.3"/>
    <row r="795" ht="12.45" x14ac:dyDescent="0.3"/>
    <row r="796" ht="12.45" x14ac:dyDescent="0.3"/>
    <row r="797" ht="12.45" x14ac:dyDescent="0.3"/>
    <row r="798" ht="12.45" x14ac:dyDescent="0.3"/>
    <row r="799" ht="12.45" x14ac:dyDescent="0.3"/>
    <row r="800" ht="12.45" x14ac:dyDescent="0.3"/>
    <row r="801" ht="12.45" x14ac:dyDescent="0.3"/>
    <row r="802" ht="12.45" x14ac:dyDescent="0.3"/>
    <row r="803" ht="12.45" x14ac:dyDescent="0.3"/>
    <row r="804" ht="12.45" x14ac:dyDescent="0.3"/>
    <row r="805" ht="12.45" x14ac:dyDescent="0.3"/>
    <row r="806" ht="12.45" x14ac:dyDescent="0.3"/>
    <row r="807" ht="12.45" x14ac:dyDescent="0.3"/>
    <row r="808" ht="12.45" x14ac:dyDescent="0.3"/>
    <row r="809" ht="12.45" x14ac:dyDescent="0.3"/>
    <row r="810" ht="12.45" x14ac:dyDescent="0.3"/>
    <row r="811" ht="12.45" x14ac:dyDescent="0.3"/>
    <row r="812" ht="12.45" x14ac:dyDescent="0.3"/>
    <row r="813" ht="12.45" x14ac:dyDescent="0.3"/>
    <row r="814" ht="12.45" x14ac:dyDescent="0.3"/>
    <row r="815" ht="12.45" x14ac:dyDescent="0.3"/>
    <row r="816" ht="12.45" x14ac:dyDescent="0.3"/>
    <row r="817" ht="12.45" x14ac:dyDescent="0.3"/>
    <row r="818" ht="12.45" x14ac:dyDescent="0.3"/>
    <row r="819" ht="12.45" x14ac:dyDescent="0.3"/>
    <row r="820" ht="12.45" x14ac:dyDescent="0.3"/>
    <row r="821" ht="12.45" x14ac:dyDescent="0.3"/>
    <row r="822" ht="12.45" x14ac:dyDescent="0.3"/>
    <row r="823" ht="12.45" x14ac:dyDescent="0.3"/>
    <row r="824" ht="12.45" x14ac:dyDescent="0.3"/>
    <row r="825" ht="12.45" x14ac:dyDescent="0.3"/>
    <row r="826" ht="12.45" x14ac:dyDescent="0.3"/>
    <row r="827" ht="12.45" x14ac:dyDescent="0.3"/>
    <row r="828" ht="12.45" x14ac:dyDescent="0.3"/>
    <row r="829" ht="12.45" x14ac:dyDescent="0.3"/>
    <row r="830" ht="12.45" x14ac:dyDescent="0.3"/>
    <row r="831" ht="12.45" x14ac:dyDescent="0.3"/>
    <row r="832" ht="12.45" x14ac:dyDescent="0.3"/>
    <row r="833" ht="12.45" x14ac:dyDescent="0.3"/>
    <row r="834" ht="12.45" x14ac:dyDescent="0.3"/>
    <row r="835" ht="12.45" x14ac:dyDescent="0.3"/>
    <row r="836" ht="12.45" x14ac:dyDescent="0.3"/>
    <row r="837" ht="12.45" x14ac:dyDescent="0.3"/>
    <row r="838" ht="12.45" x14ac:dyDescent="0.3"/>
    <row r="839" ht="12.45" x14ac:dyDescent="0.3"/>
    <row r="840" ht="12.45" x14ac:dyDescent="0.3"/>
    <row r="841" ht="12.45" x14ac:dyDescent="0.3"/>
    <row r="842" ht="12.45" x14ac:dyDescent="0.3"/>
    <row r="843" ht="12.45" x14ac:dyDescent="0.3"/>
    <row r="844" ht="12.45" x14ac:dyDescent="0.3"/>
    <row r="845" ht="12.45" x14ac:dyDescent="0.3"/>
    <row r="846" ht="12.45" x14ac:dyDescent="0.3"/>
    <row r="847" ht="12.45" x14ac:dyDescent="0.3"/>
    <row r="848" ht="12.45" x14ac:dyDescent="0.3"/>
    <row r="849" ht="12.45" x14ac:dyDescent="0.3"/>
    <row r="850" ht="12.45" x14ac:dyDescent="0.3"/>
    <row r="851" ht="12.45" x14ac:dyDescent="0.3"/>
    <row r="852" ht="12.45" x14ac:dyDescent="0.3"/>
    <row r="853" ht="12.45" x14ac:dyDescent="0.3"/>
    <row r="854" ht="12.45" x14ac:dyDescent="0.3"/>
    <row r="855" ht="12.45" x14ac:dyDescent="0.3"/>
    <row r="856" ht="12.45" x14ac:dyDescent="0.3"/>
    <row r="857" ht="12.45" x14ac:dyDescent="0.3"/>
    <row r="858" ht="12.45" x14ac:dyDescent="0.3"/>
    <row r="859" ht="12.45" x14ac:dyDescent="0.3"/>
    <row r="860" ht="12.45" x14ac:dyDescent="0.3"/>
    <row r="861" ht="12.45" x14ac:dyDescent="0.3"/>
    <row r="862" ht="12.45" x14ac:dyDescent="0.3"/>
    <row r="863" ht="12.45" x14ac:dyDescent="0.3"/>
    <row r="864" ht="12.45" x14ac:dyDescent="0.3"/>
    <row r="865" ht="12.45" x14ac:dyDescent="0.3"/>
    <row r="866" ht="12.45" x14ac:dyDescent="0.3"/>
    <row r="867" ht="12.45" x14ac:dyDescent="0.3"/>
    <row r="868" ht="12.45" x14ac:dyDescent="0.3"/>
    <row r="869" ht="12.45" x14ac:dyDescent="0.3"/>
    <row r="870" ht="12.45" x14ac:dyDescent="0.3"/>
    <row r="871" ht="12.45" x14ac:dyDescent="0.3"/>
    <row r="872" ht="12.45" x14ac:dyDescent="0.3"/>
    <row r="873" ht="12.45" x14ac:dyDescent="0.3"/>
    <row r="874" ht="12.45" x14ac:dyDescent="0.3"/>
    <row r="875" ht="12.45" x14ac:dyDescent="0.3"/>
    <row r="876" ht="12.45" x14ac:dyDescent="0.3"/>
    <row r="877" ht="12.45" x14ac:dyDescent="0.3"/>
    <row r="878" ht="12.45" x14ac:dyDescent="0.3"/>
    <row r="879" ht="12.45" x14ac:dyDescent="0.3"/>
    <row r="880" ht="12.45" x14ac:dyDescent="0.3"/>
    <row r="881" ht="12.45" x14ac:dyDescent="0.3"/>
    <row r="882" ht="12.45" x14ac:dyDescent="0.3"/>
    <row r="883" ht="12.45" x14ac:dyDescent="0.3"/>
    <row r="884" ht="12.45" x14ac:dyDescent="0.3"/>
    <row r="885" ht="12.45" x14ac:dyDescent="0.3"/>
    <row r="886" ht="12.45" x14ac:dyDescent="0.3"/>
    <row r="887" ht="12.45" x14ac:dyDescent="0.3"/>
    <row r="888" ht="12.45" x14ac:dyDescent="0.3"/>
    <row r="889" ht="12.45" x14ac:dyDescent="0.3"/>
    <row r="890" ht="12.45" x14ac:dyDescent="0.3"/>
    <row r="891" ht="12.45" x14ac:dyDescent="0.3"/>
    <row r="892" ht="12.45" x14ac:dyDescent="0.3"/>
    <row r="893" ht="12.45" x14ac:dyDescent="0.3"/>
    <row r="894" ht="12.45" x14ac:dyDescent="0.3"/>
    <row r="895" ht="12.45" x14ac:dyDescent="0.3"/>
    <row r="896" ht="12.45" x14ac:dyDescent="0.3"/>
    <row r="897" ht="12.45" x14ac:dyDescent="0.3"/>
    <row r="898" ht="12.45" x14ac:dyDescent="0.3"/>
    <row r="899" ht="12.45" x14ac:dyDescent="0.3"/>
    <row r="900" ht="12.45" x14ac:dyDescent="0.3"/>
    <row r="901" ht="12.45" x14ac:dyDescent="0.3"/>
    <row r="902" ht="12.45" x14ac:dyDescent="0.3"/>
    <row r="903" ht="12.45" x14ac:dyDescent="0.3"/>
    <row r="904" ht="12.45" x14ac:dyDescent="0.3"/>
    <row r="905" ht="12.45" x14ac:dyDescent="0.3"/>
    <row r="906" ht="12.45" x14ac:dyDescent="0.3"/>
    <row r="907" ht="12.45" x14ac:dyDescent="0.3"/>
    <row r="908" ht="12.45" x14ac:dyDescent="0.3"/>
    <row r="909" ht="12.45" x14ac:dyDescent="0.3"/>
    <row r="910" ht="12.45" x14ac:dyDescent="0.3"/>
    <row r="911" ht="12.45" x14ac:dyDescent="0.3"/>
    <row r="912" ht="12.45" x14ac:dyDescent="0.3"/>
    <row r="913" ht="12.45" x14ac:dyDescent="0.3"/>
    <row r="914" ht="12.45" x14ac:dyDescent="0.3"/>
    <row r="915" ht="12.45" x14ac:dyDescent="0.3"/>
    <row r="916" ht="12.45" x14ac:dyDescent="0.3"/>
    <row r="917" ht="12.45" x14ac:dyDescent="0.3"/>
    <row r="918" ht="12.45" x14ac:dyDescent="0.3"/>
    <row r="919" ht="12.45" x14ac:dyDescent="0.3"/>
    <row r="920" ht="12.45" x14ac:dyDescent="0.3"/>
    <row r="921" ht="12.45" x14ac:dyDescent="0.3"/>
    <row r="922" ht="12.45" x14ac:dyDescent="0.3"/>
    <row r="923" ht="12.45" x14ac:dyDescent="0.3"/>
    <row r="924" ht="12.45" x14ac:dyDescent="0.3"/>
    <row r="925" ht="12.45" x14ac:dyDescent="0.3"/>
    <row r="926" ht="12.45" x14ac:dyDescent="0.3"/>
    <row r="927" ht="12.45" x14ac:dyDescent="0.3"/>
    <row r="928" ht="12.45" x14ac:dyDescent="0.3"/>
    <row r="929" ht="12.45" x14ac:dyDescent="0.3"/>
    <row r="930" ht="12.45" x14ac:dyDescent="0.3"/>
    <row r="931" ht="12.45" x14ac:dyDescent="0.3"/>
    <row r="932" ht="12.45" x14ac:dyDescent="0.3"/>
    <row r="933" ht="12.45" x14ac:dyDescent="0.3"/>
    <row r="934" ht="12.45" x14ac:dyDescent="0.3"/>
    <row r="935" ht="12.45" x14ac:dyDescent="0.3"/>
    <row r="936" ht="12.45" x14ac:dyDescent="0.3"/>
    <row r="937" ht="12.45" x14ac:dyDescent="0.3"/>
    <row r="938" ht="12.45" x14ac:dyDescent="0.3"/>
    <row r="939" ht="12.45" x14ac:dyDescent="0.3"/>
    <row r="940" ht="12.45" x14ac:dyDescent="0.3"/>
    <row r="941" ht="12.45" x14ac:dyDescent="0.3"/>
    <row r="942" ht="12.45" x14ac:dyDescent="0.3"/>
    <row r="943" ht="12.45" x14ac:dyDescent="0.3"/>
    <row r="944" ht="12.45" x14ac:dyDescent="0.3"/>
    <row r="945" ht="12.45" x14ac:dyDescent="0.3"/>
    <row r="946" ht="12.45" x14ac:dyDescent="0.3"/>
    <row r="947" ht="12.45" x14ac:dyDescent="0.3"/>
    <row r="948" ht="12.45" x14ac:dyDescent="0.3"/>
    <row r="949" ht="12.45" x14ac:dyDescent="0.3"/>
    <row r="950" ht="12.45" x14ac:dyDescent="0.3"/>
    <row r="951" ht="12.45" x14ac:dyDescent="0.3"/>
    <row r="952" ht="12.45" x14ac:dyDescent="0.3"/>
    <row r="953" ht="12.45" x14ac:dyDescent="0.3"/>
    <row r="954" ht="12.45" x14ac:dyDescent="0.3"/>
    <row r="955" ht="12.45" x14ac:dyDescent="0.3"/>
    <row r="956" ht="12.45" x14ac:dyDescent="0.3"/>
    <row r="957" ht="12.45" x14ac:dyDescent="0.3"/>
    <row r="958" ht="12.45" x14ac:dyDescent="0.3"/>
    <row r="959" ht="12.45" x14ac:dyDescent="0.3"/>
    <row r="960" ht="12.45" x14ac:dyDescent="0.3"/>
    <row r="961" ht="12.45" x14ac:dyDescent="0.3"/>
    <row r="962" ht="12.45" x14ac:dyDescent="0.3"/>
    <row r="963" ht="12.45" x14ac:dyDescent="0.3"/>
    <row r="964" ht="12.45" x14ac:dyDescent="0.3"/>
    <row r="965" ht="12.45" x14ac:dyDescent="0.3"/>
    <row r="966" ht="12.45" x14ac:dyDescent="0.3"/>
    <row r="967" ht="12.45" x14ac:dyDescent="0.3"/>
    <row r="968" ht="12.45" x14ac:dyDescent="0.3"/>
    <row r="969" ht="12.45" x14ac:dyDescent="0.3"/>
    <row r="970" ht="12.45" x14ac:dyDescent="0.3"/>
    <row r="971" ht="12.45" x14ac:dyDescent="0.3"/>
    <row r="972" ht="12.45" x14ac:dyDescent="0.3"/>
    <row r="973" ht="12.45" x14ac:dyDescent="0.3"/>
    <row r="974" ht="12.45" x14ac:dyDescent="0.3"/>
    <row r="975" ht="12.45" x14ac:dyDescent="0.3"/>
    <row r="976" ht="12.45" x14ac:dyDescent="0.3"/>
    <row r="977" ht="12.45" x14ac:dyDescent="0.3"/>
    <row r="978" ht="12.45" x14ac:dyDescent="0.3"/>
    <row r="979" ht="12.45" x14ac:dyDescent="0.3"/>
    <row r="980" ht="12.45" x14ac:dyDescent="0.3"/>
    <row r="981" ht="12.45" x14ac:dyDescent="0.3"/>
    <row r="982" ht="12.45" x14ac:dyDescent="0.3"/>
    <row r="983" ht="12.45" x14ac:dyDescent="0.3"/>
    <row r="984" ht="12.45" x14ac:dyDescent="0.3"/>
    <row r="985" ht="12.45" x14ac:dyDescent="0.3"/>
    <row r="986" ht="12.45" x14ac:dyDescent="0.3"/>
    <row r="987" ht="12.45" x14ac:dyDescent="0.3"/>
    <row r="988" ht="12.45" x14ac:dyDescent="0.3"/>
    <row r="989" ht="12.45" x14ac:dyDescent="0.3"/>
    <row r="990" ht="12.45" x14ac:dyDescent="0.3"/>
    <row r="991" ht="12.45" x14ac:dyDescent="0.3"/>
    <row r="992" ht="12.45" x14ac:dyDescent="0.3"/>
    <row r="993" ht="12.45" x14ac:dyDescent="0.3"/>
    <row r="994" ht="12.45" x14ac:dyDescent="0.3"/>
    <row r="995" ht="12.45" x14ac:dyDescent="0.3"/>
    <row r="996" ht="12.45" x14ac:dyDescent="0.3"/>
    <row r="997" ht="12.45" x14ac:dyDescent="0.3"/>
    <row r="998" ht="12.45" x14ac:dyDescent="0.3"/>
    <row r="999" ht="12.45" x14ac:dyDescent="0.3"/>
    <row r="1000" ht="12.45" x14ac:dyDescent="0.3"/>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81"/>
  <sheetViews>
    <sheetView tabSelected="1" topLeftCell="A64" workbookViewId="0">
      <selection activeCell="E81" sqref="E81"/>
    </sheetView>
  </sheetViews>
  <sheetFormatPr defaultColWidth="12.61328125" defaultRowHeight="15.75" customHeight="1" x14ac:dyDescent="0.3"/>
  <cols>
    <col min="1" max="2" width="46.84375" customWidth="1"/>
    <col min="3" max="3" width="33.15234375" customWidth="1"/>
    <col min="4" max="4" width="15.84375" customWidth="1"/>
    <col min="5" max="5" width="46.84375" customWidth="1"/>
  </cols>
  <sheetData>
    <row r="1" spans="1:25" ht="15.75" customHeight="1" x14ac:dyDescent="0.4">
      <c r="A1" s="5" t="s">
        <v>0</v>
      </c>
      <c r="B1" s="5" t="s">
        <v>1</v>
      </c>
      <c r="C1" s="5" t="s">
        <v>2</v>
      </c>
      <c r="D1" s="6" t="s">
        <v>1518</v>
      </c>
      <c r="E1" s="6" t="s">
        <v>1519</v>
      </c>
      <c r="F1" s="2"/>
      <c r="G1" s="2"/>
      <c r="H1" s="2"/>
      <c r="I1" s="2"/>
      <c r="J1" s="2"/>
      <c r="K1" s="2"/>
      <c r="L1" s="2"/>
      <c r="M1" s="2"/>
      <c r="N1" s="2"/>
      <c r="O1" s="2"/>
      <c r="P1" s="2"/>
      <c r="Q1" s="2"/>
      <c r="R1" s="2"/>
      <c r="S1" s="2"/>
      <c r="T1" s="2"/>
      <c r="U1" s="2"/>
      <c r="V1" s="2"/>
      <c r="W1" s="2"/>
      <c r="X1" s="2"/>
      <c r="Y1" s="2"/>
    </row>
    <row r="2" spans="1:25" ht="15.75" customHeight="1" x14ac:dyDescent="0.4">
      <c r="A2" s="7" t="s">
        <v>61</v>
      </c>
      <c r="B2" s="4" t="s">
        <v>62</v>
      </c>
      <c r="C2" s="4" t="s">
        <v>9</v>
      </c>
      <c r="D2" s="8" t="s">
        <v>1522</v>
      </c>
      <c r="E2" s="8" t="s">
        <v>1527</v>
      </c>
    </row>
    <row r="3" spans="1:25" ht="15.75" customHeight="1" x14ac:dyDescent="0.4">
      <c r="A3" s="7" t="s">
        <v>102</v>
      </c>
      <c r="B3" s="4" t="s">
        <v>103</v>
      </c>
      <c r="C3" s="4" t="s">
        <v>52</v>
      </c>
      <c r="D3" s="8" t="s">
        <v>1522</v>
      </c>
      <c r="E3" s="8" t="s">
        <v>2014</v>
      </c>
    </row>
    <row r="4" spans="1:25" ht="15.75" customHeight="1" x14ac:dyDescent="0.4">
      <c r="A4" s="7" t="s">
        <v>111</v>
      </c>
      <c r="B4" s="4" t="s">
        <v>112</v>
      </c>
      <c r="C4" s="4" t="s">
        <v>58</v>
      </c>
      <c r="D4" s="4" t="s">
        <v>1520</v>
      </c>
      <c r="E4" s="4" t="s">
        <v>1528</v>
      </c>
    </row>
    <row r="5" spans="1:25" ht="15.75" customHeight="1" x14ac:dyDescent="0.4">
      <c r="A5" s="7" t="s">
        <v>115</v>
      </c>
      <c r="B5" s="4" t="s">
        <v>116</v>
      </c>
      <c r="C5" s="4" t="s">
        <v>55</v>
      </c>
      <c r="D5" s="8" t="s">
        <v>1522</v>
      </c>
      <c r="E5" s="8" t="s">
        <v>2015</v>
      </c>
    </row>
    <row r="6" spans="1:25" ht="15.75" customHeight="1" x14ac:dyDescent="0.4">
      <c r="A6" s="7" t="s">
        <v>125</v>
      </c>
      <c r="B6" s="4" t="s">
        <v>126</v>
      </c>
      <c r="C6" s="4" t="s">
        <v>15</v>
      </c>
      <c r="D6" s="8" t="s">
        <v>1520</v>
      </c>
      <c r="E6" s="8" t="s">
        <v>1528</v>
      </c>
    </row>
    <row r="7" spans="1:25" ht="15.75" customHeight="1" x14ac:dyDescent="0.4">
      <c r="A7" s="7" t="s">
        <v>150</v>
      </c>
      <c r="B7" s="4" t="s">
        <v>151</v>
      </c>
      <c r="C7" s="4" t="s">
        <v>9</v>
      </c>
      <c r="D7" s="8" t="s">
        <v>1520</v>
      </c>
      <c r="E7" s="8" t="s">
        <v>1528</v>
      </c>
    </row>
    <row r="8" spans="1:25" ht="15.75" customHeight="1" x14ac:dyDescent="0.4">
      <c r="A8" s="7" t="s">
        <v>179</v>
      </c>
      <c r="B8" s="4" t="s">
        <v>180</v>
      </c>
      <c r="C8" s="4" t="s">
        <v>18</v>
      </c>
      <c r="D8" s="8" t="s">
        <v>1522</v>
      </c>
      <c r="E8" s="8" t="s">
        <v>2016</v>
      </c>
    </row>
    <row r="9" spans="1:25" ht="15.75" customHeight="1" x14ac:dyDescent="0.4">
      <c r="A9" s="7" t="s">
        <v>198</v>
      </c>
      <c r="B9" s="4" t="s">
        <v>191</v>
      </c>
      <c r="C9" s="4" t="s">
        <v>65</v>
      </c>
      <c r="D9" s="8" t="s">
        <v>1520</v>
      </c>
      <c r="E9" s="8" t="s">
        <v>1528</v>
      </c>
    </row>
    <row r="10" spans="1:25" ht="15.75" customHeight="1" x14ac:dyDescent="0.4">
      <c r="A10" s="7" t="s">
        <v>1362</v>
      </c>
      <c r="B10" s="4" t="s">
        <v>1357</v>
      </c>
      <c r="C10" s="4" t="s">
        <v>65</v>
      </c>
      <c r="D10" s="8" t="s">
        <v>1522</v>
      </c>
      <c r="E10" s="8" t="s">
        <v>2017</v>
      </c>
    </row>
    <row r="11" spans="1:25" ht="15.75" customHeight="1" x14ac:dyDescent="0.4">
      <c r="A11" s="7" t="s">
        <v>1413</v>
      </c>
      <c r="B11" s="4" t="s">
        <v>1355</v>
      </c>
      <c r="C11" s="4" t="s">
        <v>68</v>
      </c>
      <c r="D11" s="8" t="s">
        <v>1520</v>
      </c>
      <c r="E11" s="8" t="s">
        <v>1528</v>
      </c>
    </row>
    <row r="12" spans="1:25" ht="15.75" customHeight="1" x14ac:dyDescent="0.4">
      <c r="A12" s="7" t="s">
        <v>1418</v>
      </c>
      <c r="B12" s="4" t="s">
        <v>1355</v>
      </c>
      <c r="C12" s="4" t="s">
        <v>34</v>
      </c>
      <c r="D12" s="8" t="s">
        <v>1522</v>
      </c>
      <c r="E12" s="8" t="s">
        <v>2018</v>
      </c>
    </row>
    <row r="13" spans="1:25" ht="15.75" customHeight="1" x14ac:dyDescent="0.4">
      <c r="A13" s="7" t="s">
        <v>1426</v>
      </c>
      <c r="B13" s="4" t="s">
        <v>1427</v>
      </c>
      <c r="C13" s="4" t="s">
        <v>15</v>
      </c>
      <c r="D13" s="8" t="s">
        <v>1520</v>
      </c>
      <c r="E13" s="8" t="s">
        <v>1528</v>
      </c>
    </row>
    <row r="14" spans="1:25" ht="15.75" customHeight="1" x14ac:dyDescent="0.4">
      <c r="A14" s="7" t="s">
        <v>1440</v>
      </c>
      <c r="B14" s="4" t="s">
        <v>1427</v>
      </c>
      <c r="C14" s="4" t="s">
        <v>68</v>
      </c>
      <c r="D14" s="8" t="s">
        <v>1520</v>
      </c>
      <c r="E14" s="8" t="s">
        <v>1528</v>
      </c>
    </row>
    <row r="15" spans="1:25" ht="15.75" customHeight="1" x14ac:dyDescent="0.4">
      <c r="A15" s="7" t="s">
        <v>217</v>
      </c>
      <c r="B15" s="4" t="s">
        <v>5</v>
      </c>
      <c r="C15" s="4" t="s">
        <v>47</v>
      </c>
      <c r="D15" s="8" t="s">
        <v>1520</v>
      </c>
      <c r="E15" s="8" t="s">
        <v>1528</v>
      </c>
      <c r="F15" s="7"/>
      <c r="G15" s="7"/>
      <c r="H15" s="7"/>
      <c r="I15" s="7"/>
      <c r="J15" s="7"/>
      <c r="K15" s="7"/>
      <c r="L15" s="7"/>
      <c r="M15" s="7"/>
      <c r="N15" s="7"/>
      <c r="O15" s="7"/>
      <c r="P15" s="7"/>
      <c r="Q15" s="7"/>
      <c r="R15" s="7"/>
      <c r="S15" s="7"/>
      <c r="T15" s="7"/>
      <c r="U15" s="7"/>
      <c r="V15" s="7"/>
      <c r="W15" s="7"/>
      <c r="X15" s="7"/>
      <c r="Y15" s="7"/>
    </row>
    <row r="16" spans="1:25" ht="15.75" customHeight="1" x14ac:dyDescent="0.4">
      <c r="A16" s="7" t="s">
        <v>1443</v>
      </c>
      <c r="B16" s="4" t="s">
        <v>1429</v>
      </c>
      <c r="C16" s="4" t="s">
        <v>15</v>
      </c>
      <c r="D16" s="8" t="s">
        <v>1520</v>
      </c>
      <c r="E16" s="8" t="s">
        <v>1528</v>
      </c>
    </row>
    <row r="17" spans="1:25" ht="15.75" customHeight="1" x14ac:dyDescent="0.4">
      <c r="A17" s="7" t="s">
        <v>1477</v>
      </c>
      <c r="B17" s="4" t="s">
        <v>1478</v>
      </c>
      <c r="C17" s="4" t="s">
        <v>9</v>
      </c>
      <c r="D17" s="8" t="s">
        <v>1520</v>
      </c>
      <c r="E17" s="8" t="s">
        <v>1528</v>
      </c>
    </row>
    <row r="18" spans="1:25" ht="15.75" customHeight="1" x14ac:dyDescent="0.4">
      <c r="A18" s="7" t="s">
        <v>1479</v>
      </c>
      <c r="B18" s="4" t="s">
        <v>1480</v>
      </c>
      <c r="C18" s="4" t="s">
        <v>68</v>
      </c>
      <c r="D18" s="8" t="s">
        <v>1520</v>
      </c>
      <c r="E18" s="8" t="s">
        <v>1528</v>
      </c>
    </row>
    <row r="19" spans="1:25" ht="15.75" customHeight="1" x14ac:dyDescent="0.4">
      <c r="A19" s="7" t="s">
        <v>1508</v>
      </c>
      <c r="B19" s="4" t="s">
        <v>1505</v>
      </c>
      <c r="C19" s="4" t="s">
        <v>65</v>
      </c>
      <c r="D19" s="8" t="s">
        <v>1520</v>
      </c>
      <c r="E19" s="8" t="s">
        <v>1528</v>
      </c>
    </row>
    <row r="20" spans="1:25" ht="15.75" customHeight="1" x14ac:dyDescent="0.4">
      <c r="A20" s="7" t="s">
        <v>304</v>
      </c>
      <c r="B20" s="4" t="s">
        <v>305</v>
      </c>
      <c r="C20" s="4" t="s">
        <v>55</v>
      </c>
      <c r="D20" s="8" t="s">
        <v>1520</v>
      </c>
      <c r="E20" s="8" t="s">
        <v>1528</v>
      </c>
    </row>
    <row r="21" spans="1:25" ht="15.75" customHeight="1" x14ac:dyDescent="0.4">
      <c r="A21" s="7" t="s">
        <v>325</v>
      </c>
      <c r="B21" s="4" t="s">
        <v>300</v>
      </c>
      <c r="C21" s="4" t="s">
        <v>47</v>
      </c>
      <c r="D21" s="8" t="s">
        <v>1522</v>
      </c>
      <c r="E21" s="8" t="s">
        <v>2019</v>
      </c>
    </row>
    <row r="22" spans="1:25" ht="15.75" customHeight="1" x14ac:dyDescent="0.4">
      <c r="A22" s="7" t="s">
        <v>330</v>
      </c>
      <c r="B22" s="4" t="s">
        <v>20</v>
      </c>
      <c r="C22" s="4" t="s">
        <v>24</v>
      </c>
      <c r="D22" s="8" t="s">
        <v>1522</v>
      </c>
      <c r="E22" s="8" t="s">
        <v>1523</v>
      </c>
    </row>
    <row r="23" spans="1:25" ht="15.75" customHeight="1" x14ac:dyDescent="0.4">
      <c r="A23" s="7" t="s">
        <v>384</v>
      </c>
      <c r="B23" s="4" t="s">
        <v>363</v>
      </c>
      <c r="C23" s="4" t="s">
        <v>18</v>
      </c>
      <c r="D23" s="8" t="s">
        <v>1520</v>
      </c>
      <c r="E23" s="8" t="s">
        <v>1528</v>
      </c>
    </row>
    <row r="24" spans="1:25" ht="15.75" customHeight="1" x14ac:dyDescent="0.4">
      <c r="A24" s="7" t="s">
        <v>385</v>
      </c>
      <c r="B24" s="4" t="s">
        <v>252</v>
      </c>
      <c r="C24" s="4" t="s">
        <v>29</v>
      </c>
      <c r="D24" s="8" t="s">
        <v>1520</v>
      </c>
      <c r="E24" s="8" t="s">
        <v>1528</v>
      </c>
      <c r="F24" s="7"/>
      <c r="G24" s="7"/>
      <c r="H24" s="7"/>
      <c r="I24" s="7"/>
      <c r="J24" s="7"/>
      <c r="K24" s="7"/>
      <c r="L24" s="7"/>
      <c r="M24" s="7"/>
      <c r="N24" s="7"/>
      <c r="O24" s="7"/>
      <c r="P24" s="7"/>
      <c r="Q24" s="7"/>
      <c r="R24" s="7"/>
      <c r="S24" s="7"/>
      <c r="T24" s="7"/>
      <c r="U24" s="7"/>
      <c r="V24" s="7"/>
      <c r="W24" s="7"/>
      <c r="X24" s="7"/>
      <c r="Y24" s="7"/>
    </row>
    <row r="25" spans="1:25" ht="15.75" customHeight="1" x14ac:dyDescent="0.4">
      <c r="A25" s="7" t="s">
        <v>396</v>
      </c>
      <c r="B25" s="4" t="s">
        <v>164</v>
      </c>
      <c r="C25" s="4" t="s">
        <v>15</v>
      </c>
      <c r="D25" s="8" t="s">
        <v>1520</v>
      </c>
      <c r="E25" s="8" t="s">
        <v>1528</v>
      </c>
    </row>
    <row r="26" spans="1:25" ht="15.75" customHeight="1" x14ac:dyDescent="0.4">
      <c r="A26" s="7" t="s">
        <v>431</v>
      </c>
      <c r="B26" s="4" t="s">
        <v>40</v>
      </c>
      <c r="C26" s="4" t="s">
        <v>34</v>
      </c>
      <c r="D26" s="8" t="s">
        <v>1520</v>
      </c>
      <c r="E26" s="8" t="s">
        <v>1528</v>
      </c>
    </row>
    <row r="27" spans="1:25" ht="15.75" customHeight="1" x14ac:dyDescent="0.4">
      <c r="A27" s="7" t="s">
        <v>466</v>
      </c>
      <c r="B27" s="4" t="s">
        <v>467</v>
      </c>
      <c r="C27" s="4" t="s">
        <v>6</v>
      </c>
      <c r="D27" s="8" t="s">
        <v>1520</v>
      </c>
      <c r="E27" s="8" t="s">
        <v>1528</v>
      </c>
    </row>
    <row r="28" spans="1:25" ht="15.75" customHeight="1" x14ac:dyDescent="0.4">
      <c r="A28" s="7" t="s">
        <v>502</v>
      </c>
      <c r="B28" s="4" t="s">
        <v>322</v>
      </c>
      <c r="C28" s="4" t="s">
        <v>24</v>
      </c>
      <c r="D28" s="8" t="s">
        <v>1520</v>
      </c>
      <c r="E28" s="8" t="s">
        <v>1528</v>
      </c>
    </row>
    <row r="29" spans="1:25" ht="15.75" customHeight="1" x14ac:dyDescent="0.4">
      <c r="A29" s="7" t="s">
        <v>509</v>
      </c>
      <c r="B29" s="4" t="s">
        <v>176</v>
      </c>
      <c r="C29" s="4" t="s">
        <v>47</v>
      </c>
      <c r="D29" s="8" t="s">
        <v>1520</v>
      </c>
      <c r="E29" s="8" t="s">
        <v>1528</v>
      </c>
    </row>
    <row r="30" spans="1:25" ht="15.75" customHeight="1" x14ac:dyDescent="0.4">
      <c r="A30" s="7" t="s">
        <v>517</v>
      </c>
      <c r="B30" s="4" t="s">
        <v>202</v>
      </c>
      <c r="C30" s="4" t="s">
        <v>55</v>
      </c>
      <c r="D30" s="8" t="s">
        <v>1522</v>
      </c>
      <c r="E30" s="8" t="s">
        <v>1527</v>
      </c>
    </row>
    <row r="31" spans="1:25" ht="15.75" customHeight="1" x14ac:dyDescent="0.4">
      <c r="A31" s="7" t="s">
        <v>520</v>
      </c>
      <c r="B31" s="4" t="s">
        <v>98</v>
      </c>
      <c r="C31" s="4" t="s">
        <v>9</v>
      </c>
      <c r="D31" s="4" t="s">
        <v>1522</v>
      </c>
      <c r="E31" s="4" t="s">
        <v>2020</v>
      </c>
    </row>
    <row r="32" spans="1:25" ht="15.75" customHeight="1" x14ac:dyDescent="0.4">
      <c r="A32" s="7" t="s">
        <v>538</v>
      </c>
      <c r="B32" s="4" t="s">
        <v>539</v>
      </c>
      <c r="C32" s="4" t="s">
        <v>68</v>
      </c>
      <c r="D32" s="8" t="s">
        <v>1522</v>
      </c>
      <c r="E32" s="8" t="s">
        <v>1532</v>
      </c>
    </row>
    <row r="33" spans="1:5" ht="15.75" customHeight="1" x14ac:dyDescent="0.4">
      <c r="A33" s="7" t="s">
        <v>546</v>
      </c>
      <c r="B33" s="4" t="s">
        <v>259</v>
      </c>
      <c r="C33" s="4" t="s">
        <v>18</v>
      </c>
      <c r="D33" s="8" t="s">
        <v>1520</v>
      </c>
      <c r="E33" s="8" t="s">
        <v>1528</v>
      </c>
    </row>
    <row r="34" spans="1:5" ht="15.75" customHeight="1" x14ac:dyDescent="0.4">
      <c r="A34" s="7" t="s">
        <v>553</v>
      </c>
      <c r="B34" s="4" t="s">
        <v>554</v>
      </c>
      <c r="C34" s="4" t="s">
        <v>12</v>
      </c>
      <c r="D34" s="8" t="s">
        <v>1520</v>
      </c>
      <c r="E34" s="8" t="s">
        <v>1528</v>
      </c>
    </row>
    <row r="35" spans="1:5" ht="15.75" customHeight="1" x14ac:dyDescent="0.4">
      <c r="A35" s="7" t="s">
        <v>558</v>
      </c>
      <c r="B35" s="4" t="s">
        <v>14</v>
      </c>
      <c r="C35" s="4" t="s">
        <v>9</v>
      </c>
      <c r="D35" s="8" t="s">
        <v>1520</v>
      </c>
      <c r="E35" s="8" t="s">
        <v>1528</v>
      </c>
    </row>
    <row r="36" spans="1:5" ht="15.75" customHeight="1" x14ac:dyDescent="0.4">
      <c r="A36" s="7" t="s">
        <v>580</v>
      </c>
      <c r="B36" s="4" t="s">
        <v>545</v>
      </c>
      <c r="C36" s="4" t="s">
        <v>18</v>
      </c>
      <c r="D36" s="8" t="s">
        <v>1520</v>
      </c>
      <c r="E36" s="8" t="s">
        <v>1528</v>
      </c>
    </row>
    <row r="37" spans="1:5" ht="14.6" x14ac:dyDescent="0.4">
      <c r="A37" s="7" t="s">
        <v>630</v>
      </c>
      <c r="B37" s="4" t="s">
        <v>631</v>
      </c>
      <c r="C37" s="4" t="s">
        <v>68</v>
      </c>
      <c r="D37" s="8" t="s">
        <v>1520</v>
      </c>
      <c r="E37" s="8" t="s">
        <v>1528</v>
      </c>
    </row>
    <row r="38" spans="1:5" ht="14.6" x14ac:dyDescent="0.4">
      <c r="A38" s="7" t="s">
        <v>676</v>
      </c>
      <c r="B38" s="4" t="s">
        <v>98</v>
      </c>
      <c r="C38" s="4" t="s">
        <v>18</v>
      </c>
      <c r="D38" s="8" t="s">
        <v>1520</v>
      </c>
      <c r="E38" s="8" t="s">
        <v>1528</v>
      </c>
    </row>
    <row r="39" spans="1:5" ht="14.6" x14ac:dyDescent="0.4">
      <c r="A39" s="7" t="s">
        <v>689</v>
      </c>
      <c r="B39" s="4" t="s">
        <v>690</v>
      </c>
      <c r="C39" s="4" t="s">
        <v>34</v>
      </c>
      <c r="D39" s="8" t="s">
        <v>1520</v>
      </c>
      <c r="E39" s="8" t="s">
        <v>1528</v>
      </c>
    </row>
    <row r="40" spans="1:5" ht="14.6" x14ac:dyDescent="0.4">
      <c r="A40" s="7" t="s">
        <v>691</v>
      </c>
      <c r="B40" s="4" t="s">
        <v>603</v>
      </c>
      <c r="C40" s="4" t="s">
        <v>55</v>
      </c>
      <c r="D40" s="8" t="s">
        <v>1522</v>
      </c>
      <c r="E40" s="8" t="s">
        <v>1527</v>
      </c>
    </row>
    <row r="41" spans="1:5" ht="14.6" x14ac:dyDescent="0.4">
      <c r="A41" s="7" t="s">
        <v>711</v>
      </c>
      <c r="B41" s="4" t="s">
        <v>448</v>
      </c>
      <c r="C41" s="4" t="s">
        <v>47</v>
      </c>
      <c r="D41" s="8" t="s">
        <v>1520</v>
      </c>
      <c r="E41" s="8" t="s">
        <v>1528</v>
      </c>
    </row>
    <row r="42" spans="1:5" ht="14.6" x14ac:dyDescent="0.4">
      <c r="A42" s="7" t="s">
        <v>734</v>
      </c>
      <c r="B42" s="4" t="s">
        <v>118</v>
      </c>
      <c r="C42" s="4" t="s">
        <v>34</v>
      </c>
      <c r="D42" s="8" t="s">
        <v>1520</v>
      </c>
      <c r="E42" s="8" t="s">
        <v>1528</v>
      </c>
    </row>
    <row r="43" spans="1:5" ht="14.6" x14ac:dyDescent="0.4">
      <c r="A43" s="7" t="s">
        <v>752</v>
      </c>
      <c r="B43" s="4" t="s">
        <v>40</v>
      </c>
      <c r="C43" s="4" t="s">
        <v>12</v>
      </c>
      <c r="D43" s="8" t="s">
        <v>1522</v>
      </c>
      <c r="E43" s="8" t="s">
        <v>2021</v>
      </c>
    </row>
    <row r="44" spans="1:5" ht="14.6" x14ac:dyDescent="0.4">
      <c r="A44" s="7" t="s">
        <v>774</v>
      </c>
      <c r="B44" s="4" t="s">
        <v>775</v>
      </c>
      <c r="C44" s="4" t="s">
        <v>65</v>
      </c>
      <c r="D44" s="8" t="s">
        <v>1520</v>
      </c>
      <c r="E44" s="8" t="s">
        <v>1528</v>
      </c>
    </row>
    <row r="45" spans="1:5" ht="14.6" x14ac:dyDescent="0.4">
      <c r="A45" s="7" t="s">
        <v>781</v>
      </c>
      <c r="B45" s="4" t="s">
        <v>23</v>
      </c>
      <c r="C45" s="4" t="s">
        <v>52</v>
      </c>
      <c r="D45" s="8" t="s">
        <v>1520</v>
      </c>
      <c r="E45" s="8" t="s">
        <v>1528</v>
      </c>
    </row>
    <row r="46" spans="1:5" ht="14.6" x14ac:dyDescent="0.4">
      <c r="A46" s="7" t="s">
        <v>810</v>
      </c>
      <c r="B46" s="4" t="s">
        <v>811</v>
      </c>
      <c r="C46" s="4" t="s">
        <v>12</v>
      </c>
      <c r="D46" s="8" t="s">
        <v>1522</v>
      </c>
      <c r="E46" s="8" t="s">
        <v>2019</v>
      </c>
    </row>
    <row r="47" spans="1:5" ht="14.6" x14ac:dyDescent="0.4">
      <c r="A47" s="7" t="s">
        <v>812</v>
      </c>
      <c r="B47" s="4" t="s">
        <v>232</v>
      </c>
      <c r="C47" s="4" t="s">
        <v>6</v>
      </c>
      <c r="D47" s="8" t="s">
        <v>1520</v>
      </c>
      <c r="E47" s="8" t="s">
        <v>1528</v>
      </c>
    </row>
    <row r="48" spans="1:5" ht="14.6" x14ac:dyDescent="0.4">
      <c r="A48" s="7" t="s">
        <v>814</v>
      </c>
      <c r="B48" s="4" t="s">
        <v>259</v>
      </c>
      <c r="C48" s="4" t="s">
        <v>18</v>
      </c>
      <c r="D48" s="8" t="s">
        <v>1522</v>
      </c>
      <c r="E48" s="8" t="s">
        <v>1527</v>
      </c>
    </row>
    <row r="49" spans="1:5" ht="14.6" x14ac:dyDescent="0.4">
      <c r="A49" s="7" t="s">
        <v>820</v>
      </c>
      <c r="B49" s="4" t="s">
        <v>144</v>
      </c>
      <c r="C49" s="4" t="s">
        <v>15</v>
      </c>
      <c r="D49" s="8" t="s">
        <v>1522</v>
      </c>
      <c r="E49" s="8" t="s">
        <v>1523</v>
      </c>
    </row>
    <row r="50" spans="1:5" ht="14.6" x14ac:dyDescent="0.4">
      <c r="A50" s="7" t="s">
        <v>825</v>
      </c>
      <c r="B50" s="4" t="s">
        <v>426</v>
      </c>
      <c r="C50" s="4" t="s">
        <v>21</v>
      </c>
      <c r="D50" s="8" t="s">
        <v>1520</v>
      </c>
      <c r="E50" s="8" t="s">
        <v>1528</v>
      </c>
    </row>
    <row r="51" spans="1:5" ht="14.6" x14ac:dyDescent="0.4">
      <c r="A51" s="7" t="s">
        <v>832</v>
      </c>
      <c r="B51" s="4" t="s">
        <v>578</v>
      </c>
      <c r="C51" s="4" t="s">
        <v>68</v>
      </c>
      <c r="D51" s="8" t="s">
        <v>1520</v>
      </c>
      <c r="E51" s="8" t="s">
        <v>1528</v>
      </c>
    </row>
    <row r="52" spans="1:5" ht="14.6" x14ac:dyDescent="0.4">
      <c r="A52" s="7" t="s">
        <v>846</v>
      </c>
      <c r="B52" s="4" t="s">
        <v>160</v>
      </c>
      <c r="C52" s="4" t="s">
        <v>12</v>
      </c>
      <c r="D52" s="8" t="s">
        <v>1522</v>
      </c>
      <c r="E52" s="8" t="s">
        <v>2022</v>
      </c>
    </row>
    <row r="53" spans="1:5" ht="14.6" x14ac:dyDescent="0.4">
      <c r="A53" s="7" t="s">
        <v>853</v>
      </c>
      <c r="B53" s="4" t="s">
        <v>552</v>
      </c>
      <c r="C53" s="4" t="s">
        <v>34</v>
      </c>
      <c r="D53" s="8" t="s">
        <v>1520</v>
      </c>
      <c r="E53" s="8" t="s">
        <v>1528</v>
      </c>
    </row>
    <row r="54" spans="1:5" ht="14.6" x14ac:dyDescent="0.4">
      <c r="A54" s="7" t="s">
        <v>905</v>
      </c>
      <c r="B54" s="4" t="s">
        <v>221</v>
      </c>
      <c r="C54" s="4" t="s">
        <v>12</v>
      </c>
      <c r="D54" s="8" t="s">
        <v>1522</v>
      </c>
      <c r="E54" s="8" t="s">
        <v>1525</v>
      </c>
    </row>
    <row r="55" spans="1:5" ht="14.6" x14ac:dyDescent="0.4">
      <c r="A55" s="7" t="s">
        <v>906</v>
      </c>
      <c r="B55" s="4" t="s">
        <v>182</v>
      </c>
      <c r="C55" s="4" t="s">
        <v>65</v>
      </c>
      <c r="D55" s="8" t="s">
        <v>1520</v>
      </c>
      <c r="E55" s="8" t="s">
        <v>1528</v>
      </c>
    </row>
    <row r="56" spans="1:5" ht="14.6" x14ac:dyDescent="0.4">
      <c r="A56" s="7" t="s">
        <v>924</v>
      </c>
      <c r="B56" s="4" t="s">
        <v>694</v>
      </c>
      <c r="C56" s="4" t="s">
        <v>29</v>
      </c>
      <c r="D56" s="8" t="s">
        <v>1520</v>
      </c>
      <c r="E56" s="8" t="s">
        <v>1528</v>
      </c>
    </row>
    <row r="57" spans="1:5" ht="14.6" x14ac:dyDescent="0.4">
      <c r="A57" s="7" t="s">
        <v>946</v>
      </c>
      <c r="B57" s="4" t="s">
        <v>93</v>
      </c>
      <c r="C57" s="4" t="s">
        <v>12</v>
      </c>
      <c r="D57" s="8" t="s">
        <v>1522</v>
      </c>
      <c r="E57" s="8" t="s">
        <v>2023</v>
      </c>
    </row>
    <row r="58" spans="1:5" ht="14.6" x14ac:dyDescent="0.4">
      <c r="A58" s="7" t="s">
        <v>958</v>
      </c>
      <c r="B58" s="4" t="s">
        <v>259</v>
      </c>
      <c r="C58" s="4" t="s">
        <v>21</v>
      </c>
      <c r="D58" s="8" t="s">
        <v>1520</v>
      </c>
      <c r="E58" s="8" t="s">
        <v>1528</v>
      </c>
    </row>
    <row r="59" spans="1:5" ht="14.6" x14ac:dyDescent="0.4">
      <c r="A59" s="7" t="s">
        <v>964</v>
      </c>
      <c r="B59" s="4" t="s">
        <v>428</v>
      </c>
      <c r="C59" s="4" t="s">
        <v>6</v>
      </c>
      <c r="D59" s="8" t="s">
        <v>1520</v>
      </c>
      <c r="E59" s="8" t="s">
        <v>1528</v>
      </c>
    </row>
    <row r="60" spans="1:5" ht="14.6" x14ac:dyDescent="0.4">
      <c r="A60" s="7" t="s">
        <v>967</v>
      </c>
      <c r="B60" s="4" t="s">
        <v>252</v>
      </c>
      <c r="C60" s="4" t="s">
        <v>55</v>
      </c>
      <c r="D60" s="8" t="s">
        <v>1522</v>
      </c>
      <c r="E60" s="8" t="s">
        <v>1527</v>
      </c>
    </row>
    <row r="61" spans="1:5" ht="14.6" x14ac:dyDescent="0.4">
      <c r="A61" s="7" t="s">
        <v>1042</v>
      </c>
      <c r="B61" s="4" t="s">
        <v>1038</v>
      </c>
      <c r="C61" s="4" t="s">
        <v>9</v>
      </c>
      <c r="D61" s="8" t="s">
        <v>1522</v>
      </c>
      <c r="E61" s="8" t="s">
        <v>2024</v>
      </c>
    </row>
    <row r="62" spans="1:5" ht="14.6" x14ac:dyDescent="0.4">
      <c r="A62" s="7" t="s">
        <v>1061</v>
      </c>
      <c r="B62" s="4" t="s">
        <v>1062</v>
      </c>
      <c r="C62" s="4" t="s">
        <v>24</v>
      </c>
      <c r="D62" s="8" t="s">
        <v>1520</v>
      </c>
      <c r="E62" s="8" t="s">
        <v>1528</v>
      </c>
    </row>
    <row r="63" spans="1:5" ht="14.6" x14ac:dyDescent="0.4">
      <c r="A63" s="7" t="s">
        <v>1071</v>
      </c>
      <c r="B63" s="4" t="s">
        <v>1047</v>
      </c>
      <c r="C63" s="4" t="s">
        <v>52</v>
      </c>
      <c r="D63" s="8" t="s">
        <v>1520</v>
      </c>
      <c r="E63" s="8" t="s">
        <v>1528</v>
      </c>
    </row>
    <row r="64" spans="1:5" ht="14.6" x14ac:dyDescent="0.4">
      <c r="A64" s="7" t="s">
        <v>1079</v>
      </c>
      <c r="B64" s="4" t="s">
        <v>1080</v>
      </c>
      <c r="C64" s="4" t="s">
        <v>12</v>
      </c>
      <c r="D64" s="8" t="s">
        <v>1520</v>
      </c>
      <c r="E64" s="8" t="s">
        <v>1528</v>
      </c>
    </row>
    <row r="65" spans="1:5" ht="14.6" x14ac:dyDescent="0.4">
      <c r="A65" s="7" t="s">
        <v>1111</v>
      </c>
      <c r="B65" s="4" t="s">
        <v>1029</v>
      </c>
      <c r="C65" s="4" t="s">
        <v>58</v>
      </c>
      <c r="D65" s="8" t="s">
        <v>1522</v>
      </c>
      <c r="E65" s="8" t="s">
        <v>2025</v>
      </c>
    </row>
    <row r="66" spans="1:5" ht="14.6" x14ac:dyDescent="0.4">
      <c r="A66" s="7" t="s">
        <v>1133</v>
      </c>
      <c r="B66" s="4" t="s">
        <v>1080</v>
      </c>
      <c r="C66" s="4" t="s">
        <v>47</v>
      </c>
      <c r="D66" s="8" t="s">
        <v>1520</v>
      </c>
      <c r="E66" s="8" t="s">
        <v>1528</v>
      </c>
    </row>
    <row r="67" spans="1:5" ht="14.6" x14ac:dyDescent="0.4">
      <c r="A67" s="7" t="s">
        <v>1136</v>
      </c>
      <c r="B67" s="4" t="s">
        <v>1074</v>
      </c>
      <c r="C67" s="4" t="s">
        <v>15</v>
      </c>
      <c r="D67" s="8" t="s">
        <v>1522</v>
      </c>
      <c r="E67" s="8" t="s">
        <v>2024</v>
      </c>
    </row>
    <row r="68" spans="1:5" ht="14.6" x14ac:dyDescent="0.4">
      <c r="A68" s="7" t="s">
        <v>1184</v>
      </c>
      <c r="B68" s="4" t="s">
        <v>1183</v>
      </c>
      <c r="C68" s="4" t="s">
        <v>21</v>
      </c>
      <c r="D68" s="8" t="s">
        <v>1520</v>
      </c>
      <c r="E68" s="8" t="s">
        <v>1528</v>
      </c>
    </row>
    <row r="69" spans="1:5" ht="14.6" x14ac:dyDescent="0.4">
      <c r="A69" s="7" t="s">
        <v>1186</v>
      </c>
      <c r="B69" s="4" t="s">
        <v>1167</v>
      </c>
      <c r="C69" s="4" t="s">
        <v>65</v>
      </c>
      <c r="D69" s="8" t="s">
        <v>1520</v>
      </c>
      <c r="E69" s="8" t="s">
        <v>1528</v>
      </c>
    </row>
    <row r="70" spans="1:5" ht="14.6" x14ac:dyDescent="0.4">
      <c r="A70" s="7" t="s">
        <v>1199</v>
      </c>
      <c r="B70" s="4" t="s">
        <v>1200</v>
      </c>
      <c r="C70" s="4" t="s">
        <v>18</v>
      </c>
      <c r="D70" s="8" t="s">
        <v>1522</v>
      </c>
      <c r="E70" s="8" t="s">
        <v>2026</v>
      </c>
    </row>
    <row r="71" spans="1:5" ht="14.6" x14ac:dyDescent="0.4">
      <c r="A71" s="7" t="s">
        <v>1207</v>
      </c>
      <c r="B71" s="4" t="s">
        <v>1156</v>
      </c>
      <c r="C71" s="4" t="s">
        <v>29</v>
      </c>
      <c r="D71" s="8" t="s">
        <v>1522</v>
      </c>
      <c r="E71" s="8" t="s">
        <v>2027</v>
      </c>
    </row>
    <row r="72" spans="1:5" ht="14.6" x14ac:dyDescent="0.4">
      <c r="A72" s="7" t="s">
        <v>1216</v>
      </c>
      <c r="B72" s="4" t="s">
        <v>1217</v>
      </c>
      <c r="C72" s="4" t="s">
        <v>18</v>
      </c>
      <c r="D72" s="8" t="s">
        <v>1520</v>
      </c>
      <c r="E72" s="8" t="s">
        <v>1528</v>
      </c>
    </row>
    <row r="73" spans="1:5" ht="14.6" x14ac:dyDescent="0.4">
      <c r="A73" s="7" t="s">
        <v>1253</v>
      </c>
      <c r="B73" s="4" t="s">
        <v>1169</v>
      </c>
      <c r="C73" s="4" t="s">
        <v>12</v>
      </c>
      <c r="D73" s="8" t="s">
        <v>1522</v>
      </c>
      <c r="E73" s="8" t="s">
        <v>2028</v>
      </c>
    </row>
    <row r="74" spans="1:5" ht="14.6" x14ac:dyDescent="0.4">
      <c r="A74" s="7" t="s">
        <v>1255</v>
      </c>
      <c r="B74" s="4" t="s">
        <v>1256</v>
      </c>
      <c r="C74" s="4" t="s">
        <v>21</v>
      </c>
      <c r="D74" s="8" t="s">
        <v>1520</v>
      </c>
      <c r="E74" s="8" t="s">
        <v>1528</v>
      </c>
    </row>
    <row r="75" spans="1:5" ht="14.6" x14ac:dyDescent="0.4">
      <c r="A75" s="7" t="s">
        <v>1274</v>
      </c>
      <c r="B75" s="4" t="s">
        <v>1258</v>
      </c>
      <c r="C75" s="4" t="s">
        <v>65</v>
      </c>
      <c r="D75" s="8" t="s">
        <v>1520</v>
      </c>
      <c r="E75" s="8" t="s">
        <v>1528</v>
      </c>
    </row>
    <row r="76" spans="1:5" ht="14.6" x14ac:dyDescent="0.4">
      <c r="A76" s="7" t="s">
        <v>1280</v>
      </c>
      <c r="B76" s="4" t="s">
        <v>1268</v>
      </c>
      <c r="C76" s="4" t="s">
        <v>18</v>
      </c>
      <c r="D76" s="8" t="s">
        <v>1522</v>
      </c>
      <c r="E76" s="8" t="s">
        <v>2029</v>
      </c>
    </row>
    <row r="77" spans="1:5" ht="14.6" x14ac:dyDescent="0.4">
      <c r="A77" s="7" t="s">
        <v>1281</v>
      </c>
      <c r="B77" s="4" t="s">
        <v>1268</v>
      </c>
      <c r="C77" s="4" t="s">
        <v>18</v>
      </c>
      <c r="D77" s="8" t="s">
        <v>1520</v>
      </c>
      <c r="E77" s="8" t="s">
        <v>1528</v>
      </c>
    </row>
    <row r="78" spans="1:5" ht="14.6" x14ac:dyDescent="0.4">
      <c r="A78" s="7" t="s">
        <v>1284</v>
      </c>
      <c r="B78" s="4" t="s">
        <v>1268</v>
      </c>
      <c r="C78" s="4" t="s">
        <v>52</v>
      </c>
      <c r="D78" s="8" t="s">
        <v>1522</v>
      </c>
      <c r="E78" s="8" t="s">
        <v>2029</v>
      </c>
    </row>
    <row r="79" spans="1:5" ht="14.6" x14ac:dyDescent="0.4">
      <c r="A79" s="7" t="s">
        <v>1290</v>
      </c>
      <c r="B79" s="4" t="s">
        <v>1256</v>
      </c>
      <c r="C79" s="4" t="s">
        <v>29</v>
      </c>
      <c r="D79" s="8" t="s">
        <v>1522</v>
      </c>
      <c r="E79" s="8" t="s">
        <v>2030</v>
      </c>
    </row>
    <row r="80" spans="1:5" ht="14.6" x14ac:dyDescent="0.4">
      <c r="A80" s="7" t="s">
        <v>1295</v>
      </c>
      <c r="B80" s="4" t="s">
        <v>1256</v>
      </c>
      <c r="C80" s="4" t="s">
        <v>21</v>
      </c>
      <c r="D80" s="8" t="s">
        <v>1522</v>
      </c>
      <c r="E80" s="8" t="s">
        <v>2030</v>
      </c>
    </row>
    <row r="81" spans="1:5" ht="14.6" x14ac:dyDescent="0.4">
      <c r="A81" s="7" t="s">
        <v>1329</v>
      </c>
      <c r="B81" s="4" t="s">
        <v>1258</v>
      </c>
      <c r="C81" s="4" t="s">
        <v>24</v>
      </c>
      <c r="D81" s="8" t="s">
        <v>1522</v>
      </c>
      <c r="E81" s="8" t="s">
        <v>2031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81"/>
  <sheetViews>
    <sheetView workbookViewId="0">
      <selection activeCell="A73" sqref="A73:XFD73"/>
    </sheetView>
  </sheetViews>
  <sheetFormatPr defaultColWidth="12.61328125" defaultRowHeight="15.75" customHeight="1" x14ac:dyDescent="0.3"/>
  <cols>
    <col min="1" max="1" width="15.15234375" customWidth="1"/>
    <col min="2" max="2" width="50" customWidth="1"/>
    <col min="5" max="5" width="23.84375" customWidth="1"/>
    <col min="6" max="6" width="236" customWidth="1"/>
  </cols>
  <sheetData>
    <row r="1" spans="1:25" ht="15.75" customHeight="1" x14ac:dyDescent="0.4">
      <c r="A1" s="12" t="s">
        <v>1561</v>
      </c>
      <c r="B1" s="12" t="s">
        <v>1562</v>
      </c>
      <c r="C1" s="12" t="s">
        <v>1576</v>
      </c>
      <c r="D1" s="12" t="s">
        <v>1518</v>
      </c>
      <c r="E1" s="12" t="s">
        <v>1577</v>
      </c>
      <c r="F1" s="12" t="s">
        <v>1578</v>
      </c>
      <c r="G1" s="12" t="s">
        <v>1579</v>
      </c>
      <c r="H1" s="13"/>
      <c r="I1" s="13"/>
      <c r="J1" s="13"/>
      <c r="K1" s="13"/>
      <c r="L1" s="13"/>
      <c r="M1" s="13"/>
      <c r="N1" s="13"/>
      <c r="O1" s="13"/>
      <c r="P1" s="13"/>
      <c r="Q1" s="13"/>
      <c r="R1" s="13"/>
      <c r="S1" s="13"/>
      <c r="T1" s="13"/>
      <c r="U1" s="13"/>
      <c r="V1" s="13"/>
      <c r="W1" s="13"/>
      <c r="X1" s="13"/>
      <c r="Y1" s="13"/>
    </row>
    <row r="2" spans="1:25" ht="15.75" customHeight="1" x14ac:dyDescent="0.3">
      <c r="A2" s="3" t="s">
        <v>61</v>
      </c>
      <c r="B2" s="3" t="s">
        <v>62</v>
      </c>
      <c r="C2" s="3" t="s">
        <v>1569</v>
      </c>
      <c r="D2" s="3" t="s">
        <v>1580</v>
      </c>
      <c r="E2" s="3" t="s">
        <v>1581</v>
      </c>
      <c r="F2" s="3" t="s">
        <v>1582</v>
      </c>
      <c r="G2" s="3" t="s">
        <v>1583</v>
      </c>
    </row>
    <row r="3" spans="1:25" ht="15.75" customHeight="1" x14ac:dyDescent="0.3">
      <c r="A3" s="3" t="s">
        <v>102</v>
      </c>
      <c r="B3" s="3" t="s">
        <v>103</v>
      </c>
      <c r="C3" s="3" t="s">
        <v>1569</v>
      </c>
      <c r="D3" s="3" t="s">
        <v>1584</v>
      </c>
      <c r="E3" s="3" t="s">
        <v>1585</v>
      </c>
      <c r="F3" s="3" t="s">
        <v>1586</v>
      </c>
    </row>
    <row r="4" spans="1:25" ht="15.75" customHeight="1" x14ac:dyDescent="0.3">
      <c r="A4" s="3" t="s">
        <v>111</v>
      </c>
      <c r="B4" s="3" t="s">
        <v>112</v>
      </c>
      <c r="C4" s="3" t="s">
        <v>1569</v>
      </c>
      <c r="D4" s="3" t="s">
        <v>1580</v>
      </c>
      <c r="E4" s="3" t="s">
        <v>1581</v>
      </c>
      <c r="F4" s="3" t="s">
        <v>1587</v>
      </c>
      <c r="G4" s="3" t="s">
        <v>1588</v>
      </c>
    </row>
    <row r="5" spans="1:25" ht="15.75" customHeight="1" x14ac:dyDescent="0.3">
      <c r="A5" s="3" t="s">
        <v>115</v>
      </c>
      <c r="B5" s="3" t="s">
        <v>116</v>
      </c>
      <c r="C5" s="3" t="s">
        <v>1569</v>
      </c>
      <c r="D5" s="3" t="s">
        <v>1580</v>
      </c>
      <c r="E5" s="3" t="s">
        <v>1581</v>
      </c>
      <c r="F5" s="3" t="s">
        <v>1589</v>
      </c>
      <c r="G5" s="3" t="s">
        <v>1590</v>
      </c>
    </row>
    <row r="6" spans="1:25" ht="15.75" customHeight="1" x14ac:dyDescent="0.3">
      <c r="A6" s="3" t="s">
        <v>125</v>
      </c>
      <c r="B6" s="3" t="s">
        <v>126</v>
      </c>
      <c r="C6" s="3" t="s">
        <v>1569</v>
      </c>
      <c r="D6" s="3" t="s">
        <v>1580</v>
      </c>
      <c r="E6" s="3" t="s">
        <v>1581</v>
      </c>
      <c r="F6" s="3" t="s">
        <v>1591</v>
      </c>
      <c r="G6" s="3" t="s">
        <v>1592</v>
      </c>
    </row>
    <row r="7" spans="1:25" ht="15.75" customHeight="1" x14ac:dyDescent="0.3">
      <c r="A7" s="3" t="s">
        <v>150</v>
      </c>
      <c r="B7" s="3" t="s">
        <v>151</v>
      </c>
      <c r="C7" s="3" t="s">
        <v>1569</v>
      </c>
      <c r="D7" s="3" t="s">
        <v>1580</v>
      </c>
      <c r="E7" s="3" t="s">
        <v>1581</v>
      </c>
      <c r="F7" s="3" t="s">
        <v>1593</v>
      </c>
      <c r="G7" s="3" t="s">
        <v>1594</v>
      </c>
    </row>
    <row r="8" spans="1:25" ht="15.75" customHeight="1" x14ac:dyDescent="0.3">
      <c r="A8" s="3" t="s">
        <v>179</v>
      </c>
      <c r="B8" s="3" t="s">
        <v>180</v>
      </c>
      <c r="C8" s="3" t="s">
        <v>1569</v>
      </c>
      <c r="D8" s="3" t="s">
        <v>1580</v>
      </c>
      <c r="E8" s="3" t="s">
        <v>1581</v>
      </c>
      <c r="F8" s="3" t="s">
        <v>1595</v>
      </c>
      <c r="G8" s="3" t="s">
        <v>1596</v>
      </c>
    </row>
    <row r="9" spans="1:25" ht="15.75" customHeight="1" x14ac:dyDescent="0.3">
      <c r="A9" s="3" t="s">
        <v>198</v>
      </c>
      <c r="B9" s="3" t="s">
        <v>191</v>
      </c>
      <c r="C9" s="3" t="s">
        <v>1569</v>
      </c>
      <c r="D9" s="3" t="s">
        <v>1584</v>
      </c>
      <c r="E9" s="3" t="s">
        <v>1585</v>
      </c>
      <c r="F9" s="3" t="s">
        <v>1597</v>
      </c>
    </row>
    <row r="10" spans="1:25" ht="15.75" customHeight="1" x14ac:dyDescent="0.3">
      <c r="A10" s="3" t="s">
        <v>1362</v>
      </c>
      <c r="B10" s="3" t="s">
        <v>1357</v>
      </c>
      <c r="C10" s="3" t="s">
        <v>1569</v>
      </c>
      <c r="D10" s="3" t="s">
        <v>1580</v>
      </c>
      <c r="E10" s="3" t="s">
        <v>1581</v>
      </c>
      <c r="F10" s="3" t="s">
        <v>1598</v>
      </c>
      <c r="G10" s="3" t="s">
        <v>1599</v>
      </c>
    </row>
    <row r="11" spans="1:25" ht="15.75" customHeight="1" x14ac:dyDescent="0.3">
      <c r="A11" s="3" t="s">
        <v>1413</v>
      </c>
      <c r="B11" s="3" t="s">
        <v>1355</v>
      </c>
      <c r="C11" s="3" t="s">
        <v>1569</v>
      </c>
      <c r="D11" s="3" t="s">
        <v>1580</v>
      </c>
      <c r="E11" s="3" t="s">
        <v>1581</v>
      </c>
      <c r="F11" s="3" t="s">
        <v>1600</v>
      </c>
      <c r="G11" s="3" t="s">
        <v>1601</v>
      </c>
    </row>
    <row r="12" spans="1:25" ht="15.75" customHeight="1" x14ac:dyDescent="0.3">
      <c r="A12" s="3" t="s">
        <v>1418</v>
      </c>
      <c r="B12" s="3" t="s">
        <v>1355</v>
      </c>
      <c r="C12" s="3" t="s">
        <v>1569</v>
      </c>
      <c r="D12" s="3" t="s">
        <v>1580</v>
      </c>
      <c r="E12" s="3" t="s">
        <v>1581</v>
      </c>
      <c r="F12" s="3" t="s">
        <v>1602</v>
      </c>
      <c r="G12" s="3" t="s">
        <v>1603</v>
      </c>
    </row>
    <row r="13" spans="1:25" ht="15.75" customHeight="1" x14ac:dyDescent="0.3">
      <c r="A13" s="3" t="s">
        <v>1426</v>
      </c>
      <c r="B13" s="3" t="s">
        <v>1427</v>
      </c>
      <c r="C13" s="3" t="s">
        <v>1569</v>
      </c>
      <c r="D13" s="3" t="s">
        <v>1580</v>
      </c>
      <c r="E13" s="3" t="s">
        <v>1581</v>
      </c>
      <c r="F13" s="3" t="s">
        <v>1604</v>
      </c>
      <c r="G13" s="3" t="s">
        <v>1605</v>
      </c>
    </row>
    <row r="14" spans="1:25" ht="15.75" customHeight="1" x14ac:dyDescent="0.3">
      <c r="A14" s="3" t="s">
        <v>1440</v>
      </c>
      <c r="B14" s="3" t="s">
        <v>1427</v>
      </c>
      <c r="C14" s="3" t="s">
        <v>1569</v>
      </c>
      <c r="D14" s="3" t="s">
        <v>1580</v>
      </c>
      <c r="E14" s="3" t="s">
        <v>1581</v>
      </c>
      <c r="F14" s="3" t="s">
        <v>1606</v>
      </c>
      <c r="G14" s="3" t="s">
        <v>1607</v>
      </c>
    </row>
    <row r="15" spans="1:25" ht="15.75" customHeight="1" x14ac:dyDescent="0.3">
      <c r="A15" s="3" t="s">
        <v>217</v>
      </c>
      <c r="B15" s="3" t="s">
        <v>5</v>
      </c>
      <c r="C15" s="3" t="s">
        <v>1569</v>
      </c>
      <c r="D15" s="3" t="s">
        <v>1580</v>
      </c>
      <c r="E15" s="3" t="s">
        <v>1581</v>
      </c>
      <c r="F15" s="3" t="s">
        <v>1608</v>
      </c>
      <c r="G15" s="3" t="s">
        <v>1609</v>
      </c>
    </row>
    <row r="16" spans="1:25" ht="15.75" customHeight="1" x14ac:dyDescent="0.3">
      <c r="A16" s="3" t="s">
        <v>1443</v>
      </c>
      <c r="B16" s="3" t="s">
        <v>1429</v>
      </c>
      <c r="C16" s="3" t="s">
        <v>1569</v>
      </c>
      <c r="D16" s="3" t="s">
        <v>1580</v>
      </c>
      <c r="E16" s="3" t="s">
        <v>1581</v>
      </c>
      <c r="F16" s="3" t="s">
        <v>1610</v>
      </c>
      <c r="G16" s="3" t="s">
        <v>1611</v>
      </c>
    </row>
    <row r="17" spans="1:7" ht="15.75" customHeight="1" x14ac:dyDescent="0.3">
      <c r="A17" s="3" t="s">
        <v>1477</v>
      </c>
      <c r="B17" s="3" t="s">
        <v>1478</v>
      </c>
      <c r="C17" s="3" t="s">
        <v>1569</v>
      </c>
      <c r="D17" s="3" t="s">
        <v>1580</v>
      </c>
      <c r="E17" s="3" t="s">
        <v>1581</v>
      </c>
      <c r="F17" s="3" t="s">
        <v>1612</v>
      </c>
      <c r="G17" s="3" t="s">
        <v>1613</v>
      </c>
    </row>
    <row r="18" spans="1:7" ht="15.75" customHeight="1" x14ac:dyDescent="0.3">
      <c r="A18" s="3" t="s">
        <v>1479</v>
      </c>
      <c r="B18" s="3" t="s">
        <v>1480</v>
      </c>
      <c r="C18" s="3" t="s">
        <v>1569</v>
      </c>
      <c r="D18" s="3" t="s">
        <v>1580</v>
      </c>
      <c r="E18" s="3" t="s">
        <v>1581</v>
      </c>
      <c r="F18" s="3" t="s">
        <v>1614</v>
      </c>
      <c r="G18" s="3" t="s">
        <v>1615</v>
      </c>
    </row>
    <row r="19" spans="1:7" ht="15.75" customHeight="1" x14ac:dyDescent="0.3">
      <c r="A19" s="3" t="s">
        <v>1508</v>
      </c>
      <c r="B19" s="3" t="s">
        <v>1505</v>
      </c>
      <c r="C19" s="3" t="s">
        <v>1569</v>
      </c>
      <c r="D19" s="3" t="s">
        <v>1580</v>
      </c>
      <c r="E19" s="3" t="s">
        <v>1581</v>
      </c>
      <c r="F19" s="3" t="s">
        <v>1616</v>
      </c>
      <c r="G19" s="3" t="s">
        <v>1617</v>
      </c>
    </row>
    <row r="20" spans="1:7" ht="15.75" customHeight="1" x14ac:dyDescent="0.3">
      <c r="A20" s="3" t="s">
        <v>304</v>
      </c>
      <c r="B20" s="3" t="s">
        <v>305</v>
      </c>
      <c r="C20" s="3" t="s">
        <v>1569</v>
      </c>
      <c r="D20" s="3" t="s">
        <v>1580</v>
      </c>
      <c r="E20" s="3" t="s">
        <v>1581</v>
      </c>
      <c r="F20" s="3" t="s">
        <v>1618</v>
      </c>
      <c r="G20" s="3" t="s">
        <v>1619</v>
      </c>
    </row>
    <row r="21" spans="1:7" ht="15.75" customHeight="1" x14ac:dyDescent="0.3">
      <c r="A21" s="3" t="s">
        <v>325</v>
      </c>
      <c r="B21" s="3" t="s">
        <v>300</v>
      </c>
      <c r="C21" s="3" t="s">
        <v>1569</v>
      </c>
      <c r="D21" s="3" t="s">
        <v>1580</v>
      </c>
      <c r="E21" s="3" t="s">
        <v>1581</v>
      </c>
      <c r="F21" s="3" t="s">
        <v>1620</v>
      </c>
      <c r="G21" s="3" t="s">
        <v>1621</v>
      </c>
    </row>
    <row r="22" spans="1:7" ht="15.75" customHeight="1" x14ac:dyDescent="0.3">
      <c r="A22" s="3" t="s">
        <v>330</v>
      </c>
      <c r="B22" s="3" t="s">
        <v>20</v>
      </c>
      <c r="C22" s="3" t="s">
        <v>1569</v>
      </c>
      <c r="D22" s="3" t="s">
        <v>1580</v>
      </c>
      <c r="E22" s="3" t="s">
        <v>1581</v>
      </c>
      <c r="F22" s="3" t="s">
        <v>1622</v>
      </c>
      <c r="G22" s="3" t="s">
        <v>1623</v>
      </c>
    </row>
    <row r="23" spans="1:7" ht="15.75" customHeight="1" x14ac:dyDescent="0.3">
      <c r="A23" s="3" t="s">
        <v>384</v>
      </c>
      <c r="B23" s="3" t="s">
        <v>363</v>
      </c>
      <c r="C23" s="3" t="s">
        <v>1569</v>
      </c>
      <c r="D23" s="3" t="s">
        <v>1580</v>
      </c>
      <c r="E23" s="3" t="s">
        <v>1581</v>
      </c>
      <c r="F23" s="3" t="s">
        <v>1624</v>
      </c>
      <c r="G23" s="3" t="s">
        <v>1625</v>
      </c>
    </row>
    <row r="24" spans="1:7" ht="15.75" customHeight="1" x14ac:dyDescent="0.3">
      <c r="A24" s="3" t="s">
        <v>385</v>
      </c>
      <c r="B24" s="3" t="s">
        <v>252</v>
      </c>
      <c r="C24" s="3" t="s">
        <v>1569</v>
      </c>
      <c r="D24" s="3" t="s">
        <v>1580</v>
      </c>
      <c r="E24" s="3" t="s">
        <v>1581</v>
      </c>
      <c r="F24" s="3" t="s">
        <v>1626</v>
      </c>
      <c r="G24" s="3" t="s">
        <v>1627</v>
      </c>
    </row>
    <row r="25" spans="1:7" ht="15.75" customHeight="1" x14ac:dyDescent="0.3">
      <c r="A25" s="3" t="s">
        <v>396</v>
      </c>
      <c r="B25" s="3" t="s">
        <v>164</v>
      </c>
      <c r="C25" s="3" t="s">
        <v>1569</v>
      </c>
      <c r="D25" s="3" t="s">
        <v>1580</v>
      </c>
      <c r="E25" s="3" t="s">
        <v>1581</v>
      </c>
      <c r="F25" s="3" t="s">
        <v>1628</v>
      </c>
      <c r="G25" s="3" t="s">
        <v>1629</v>
      </c>
    </row>
    <row r="26" spans="1:7" ht="15.75" customHeight="1" x14ac:dyDescent="0.3">
      <c r="A26" s="3" t="s">
        <v>431</v>
      </c>
      <c r="B26" s="3" t="s">
        <v>40</v>
      </c>
      <c r="C26" s="3" t="s">
        <v>1569</v>
      </c>
      <c r="D26" s="3" t="s">
        <v>1580</v>
      </c>
      <c r="E26" s="3" t="s">
        <v>1581</v>
      </c>
      <c r="F26" s="3" t="s">
        <v>1630</v>
      </c>
      <c r="G26" s="3" t="s">
        <v>1631</v>
      </c>
    </row>
    <row r="27" spans="1:7" ht="15.75" customHeight="1" x14ac:dyDescent="0.3">
      <c r="A27" s="3" t="s">
        <v>466</v>
      </c>
      <c r="B27" s="3" t="s">
        <v>467</v>
      </c>
      <c r="C27" s="3" t="s">
        <v>1569</v>
      </c>
      <c r="D27" s="3" t="s">
        <v>1580</v>
      </c>
      <c r="E27" s="3" t="s">
        <v>1581</v>
      </c>
      <c r="F27" s="3" t="s">
        <v>1632</v>
      </c>
      <c r="G27" s="3" t="s">
        <v>1633</v>
      </c>
    </row>
    <row r="28" spans="1:7" ht="15.75" customHeight="1" x14ac:dyDescent="0.3">
      <c r="A28" s="3" t="s">
        <v>502</v>
      </c>
      <c r="B28" s="3" t="s">
        <v>322</v>
      </c>
      <c r="C28" s="3" t="s">
        <v>1569</v>
      </c>
      <c r="D28" s="3" t="s">
        <v>1580</v>
      </c>
      <c r="E28" s="3" t="s">
        <v>1581</v>
      </c>
      <c r="F28" s="3" t="s">
        <v>1634</v>
      </c>
      <c r="G28" s="3" t="s">
        <v>1635</v>
      </c>
    </row>
    <row r="29" spans="1:7" ht="15.75" customHeight="1" x14ac:dyDescent="0.3">
      <c r="A29" s="3" t="s">
        <v>509</v>
      </c>
      <c r="B29" s="3" t="s">
        <v>176</v>
      </c>
      <c r="C29" s="3" t="s">
        <v>1569</v>
      </c>
      <c r="D29" s="3" t="s">
        <v>1580</v>
      </c>
      <c r="E29" s="3" t="s">
        <v>1585</v>
      </c>
      <c r="F29" s="3" t="s">
        <v>1636</v>
      </c>
      <c r="G29" s="3" t="s">
        <v>1637</v>
      </c>
    </row>
    <row r="30" spans="1:7" ht="15.75" customHeight="1" x14ac:dyDescent="0.3">
      <c r="A30" s="3" t="s">
        <v>517</v>
      </c>
      <c r="B30" s="3" t="s">
        <v>202</v>
      </c>
      <c r="C30" s="3" t="s">
        <v>1569</v>
      </c>
      <c r="D30" s="3" t="s">
        <v>1580</v>
      </c>
      <c r="E30" s="3" t="s">
        <v>1581</v>
      </c>
      <c r="F30" s="3" t="s">
        <v>1638</v>
      </c>
      <c r="G30" s="3" t="s">
        <v>1639</v>
      </c>
    </row>
    <row r="31" spans="1:7" ht="15.75" customHeight="1" x14ac:dyDescent="0.3">
      <c r="A31" s="3" t="s">
        <v>520</v>
      </c>
      <c r="B31" s="3" t="s">
        <v>98</v>
      </c>
      <c r="C31" s="3" t="s">
        <v>1569</v>
      </c>
      <c r="D31" s="3" t="s">
        <v>1580</v>
      </c>
      <c r="E31" s="3" t="s">
        <v>1581</v>
      </c>
      <c r="F31" s="3" t="s">
        <v>1640</v>
      </c>
      <c r="G31" s="3" t="s">
        <v>1641</v>
      </c>
    </row>
    <row r="32" spans="1:7" ht="15.75" customHeight="1" x14ac:dyDescent="0.3">
      <c r="A32" s="3" t="s">
        <v>538</v>
      </c>
      <c r="B32" s="3" t="s">
        <v>539</v>
      </c>
      <c r="C32" s="3" t="s">
        <v>1569</v>
      </c>
      <c r="D32" s="3" t="s">
        <v>1584</v>
      </c>
      <c r="E32" s="3" t="s">
        <v>1585</v>
      </c>
      <c r="F32" s="3" t="s">
        <v>1642</v>
      </c>
    </row>
    <row r="33" spans="1:7" ht="15.75" customHeight="1" x14ac:dyDescent="0.3">
      <c r="A33" s="3" t="s">
        <v>546</v>
      </c>
      <c r="B33" s="3" t="s">
        <v>259</v>
      </c>
      <c r="C33" s="3" t="s">
        <v>1569</v>
      </c>
      <c r="D33" s="3" t="s">
        <v>1580</v>
      </c>
      <c r="E33" s="3" t="s">
        <v>1581</v>
      </c>
      <c r="F33" s="3" t="s">
        <v>1643</v>
      </c>
      <c r="G33" s="3" t="s">
        <v>1644</v>
      </c>
    </row>
    <row r="34" spans="1:7" ht="15.75" customHeight="1" x14ac:dyDescent="0.3">
      <c r="A34" s="3" t="s">
        <v>553</v>
      </c>
      <c r="B34" s="3" t="s">
        <v>554</v>
      </c>
      <c r="C34" s="3" t="s">
        <v>1569</v>
      </c>
      <c r="D34" s="3" t="s">
        <v>1580</v>
      </c>
      <c r="E34" s="3" t="s">
        <v>1581</v>
      </c>
      <c r="F34" s="3" t="s">
        <v>1645</v>
      </c>
      <c r="G34" s="3" t="s">
        <v>1646</v>
      </c>
    </row>
    <row r="35" spans="1:7" ht="15.75" customHeight="1" x14ac:dyDescent="0.3">
      <c r="A35" s="3" t="s">
        <v>558</v>
      </c>
      <c r="B35" s="3" t="s">
        <v>14</v>
      </c>
      <c r="C35" s="3" t="s">
        <v>1569</v>
      </c>
      <c r="D35" s="3" t="s">
        <v>1580</v>
      </c>
      <c r="E35" s="3" t="s">
        <v>1581</v>
      </c>
      <c r="F35" s="3" t="s">
        <v>1647</v>
      </c>
      <c r="G35" s="3" t="s">
        <v>1648</v>
      </c>
    </row>
    <row r="36" spans="1:7" ht="15.75" customHeight="1" x14ac:dyDescent="0.3">
      <c r="A36" s="3" t="s">
        <v>580</v>
      </c>
      <c r="B36" s="3" t="s">
        <v>545</v>
      </c>
      <c r="C36" s="3" t="s">
        <v>1569</v>
      </c>
      <c r="D36" s="3" t="s">
        <v>1580</v>
      </c>
      <c r="E36" s="3" t="s">
        <v>1581</v>
      </c>
      <c r="F36" s="3" t="s">
        <v>1649</v>
      </c>
      <c r="G36" s="3" t="s">
        <v>1650</v>
      </c>
    </row>
    <row r="37" spans="1:7" ht="12.45" x14ac:dyDescent="0.3">
      <c r="A37" s="3" t="s">
        <v>630</v>
      </c>
      <c r="B37" s="3" t="s">
        <v>631</v>
      </c>
      <c r="C37" s="3" t="s">
        <v>1569</v>
      </c>
      <c r="D37" s="3" t="s">
        <v>1584</v>
      </c>
      <c r="E37" s="3" t="s">
        <v>1585</v>
      </c>
      <c r="F37" s="3" t="s">
        <v>1651</v>
      </c>
    </row>
    <row r="38" spans="1:7" ht="12.45" x14ac:dyDescent="0.3">
      <c r="A38" s="3" t="s">
        <v>676</v>
      </c>
      <c r="B38" s="3" t="s">
        <v>98</v>
      </c>
      <c r="C38" s="3" t="s">
        <v>1569</v>
      </c>
      <c r="D38" s="3" t="s">
        <v>1580</v>
      </c>
      <c r="E38" s="3" t="s">
        <v>1581</v>
      </c>
      <c r="F38" s="3" t="s">
        <v>1652</v>
      </c>
      <c r="G38" s="3" t="s">
        <v>1653</v>
      </c>
    </row>
    <row r="39" spans="1:7" ht="12.45" x14ac:dyDescent="0.3">
      <c r="A39" s="3" t="s">
        <v>689</v>
      </c>
      <c r="B39" s="3" t="s">
        <v>690</v>
      </c>
      <c r="C39" s="3" t="s">
        <v>1569</v>
      </c>
      <c r="D39" s="3" t="s">
        <v>1584</v>
      </c>
      <c r="E39" s="3" t="s">
        <v>1585</v>
      </c>
      <c r="F39" s="3" t="s">
        <v>1654</v>
      </c>
    </row>
    <row r="40" spans="1:7" ht="12.45" x14ac:dyDescent="0.3">
      <c r="A40" s="3" t="s">
        <v>691</v>
      </c>
      <c r="B40" s="3" t="s">
        <v>603</v>
      </c>
      <c r="C40" s="3" t="s">
        <v>1569</v>
      </c>
      <c r="D40" s="3" t="s">
        <v>1580</v>
      </c>
      <c r="E40" s="3" t="s">
        <v>1581</v>
      </c>
      <c r="F40" s="3" t="s">
        <v>1655</v>
      </c>
      <c r="G40" s="3" t="s">
        <v>1656</v>
      </c>
    </row>
    <row r="41" spans="1:7" ht="12.45" x14ac:dyDescent="0.3">
      <c r="A41" s="3" t="s">
        <v>711</v>
      </c>
      <c r="B41" s="3" t="s">
        <v>448</v>
      </c>
      <c r="C41" s="3" t="s">
        <v>1569</v>
      </c>
      <c r="D41" s="3" t="s">
        <v>1580</v>
      </c>
      <c r="E41" s="3" t="s">
        <v>1581</v>
      </c>
      <c r="F41" s="3" t="s">
        <v>1657</v>
      </c>
      <c r="G41" s="3" t="s">
        <v>1658</v>
      </c>
    </row>
    <row r="42" spans="1:7" ht="12.45" x14ac:dyDescent="0.3">
      <c r="A42" s="3" t="s">
        <v>734</v>
      </c>
      <c r="B42" s="3" t="s">
        <v>118</v>
      </c>
      <c r="C42" s="3" t="s">
        <v>1569</v>
      </c>
      <c r="D42" s="3" t="s">
        <v>1580</v>
      </c>
      <c r="E42" s="3" t="s">
        <v>1581</v>
      </c>
      <c r="F42" s="3" t="s">
        <v>1659</v>
      </c>
      <c r="G42" s="3" t="s">
        <v>1660</v>
      </c>
    </row>
    <row r="43" spans="1:7" ht="12.45" x14ac:dyDescent="0.3">
      <c r="A43" s="3" t="s">
        <v>752</v>
      </c>
      <c r="B43" s="3" t="s">
        <v>40</v>
      </c>
      <c r="C43" s="3" t="s">
        <v>1569</v>
      </c>
      <c r="D43" s="3" t="s">
        <v>1580</v>
      </c>
      <c r="E43" s="3" t="s">
        <v>1581</v>
      </c>
      <c r="F43" s="3" t="s">
        <v>1661</v>
      </c>
      <c r="G43" s="3" t="s">
        <v>1662</v>
      </c>
    </row>
    <row r="44" spans="1:7" ht="12.45" x14ac:dyDescent="0.3">
      <c r="A44" s="3" t="s">
        <v>774</v>
      </c>
      <c r="B44" s="3" t="s">
        <v>775</v>
      </c>
      <c r="C44" s="3" t="s">
        <v>1569</v>
      </c>
      <c r="D44" s="3" t="s">
        <v>1580</v>
      </c>
      <c r="E44" s="3" t="s">
        <v>1581</v>
      </c>
      <c r="F44" s="3" t="s">
        <v>1663</v>
      </c>
      <c r="G44" s="3" t="s">
        <v>1664</v>
      </c>
    </row>
    <row r="45" spans="1:7" ht="12.45" x14ac:dyDescent="0.3">
      <c r="A45" s="3" t="s">
        <v>781</v>
      </c>
      <c r="B45" s="3" t="s">
        <v>23</v>
      </c>
      <c r="C45" s="3" t="s">
        <v>1569</v>
      </c>
      <c r="D45" s="3" t="s">
        <v>1580</v>
      </c>
      <c r="E45" s="3" t="s">
        <v>1581</v>
      </c>
      <c r="F45" s="3" t="s">
        <v>1665</v>
      </c>
      <c r="G45" s="3" t="s">
        <v>1666</v>
      </c>
    </row>
    <row r="46" spans="1:7" ht="12.45" x14ac:dyDescent="0.3">
      <c r="A46" s="3" t="s">
        <v>810</v>
      </c>
      <c r="B46" s="3" t="s">
        <v>811</v>
      </c>
      <c r="C46" s="3" t="s">
        <v>1569</v>
      </c>
      <c r="D46" s="3" t="s">
        <v>1580</v>
      </c>
      <c r="E46" s="3" t="s">
        <v>1581</v>
      </c>
      <c r="F46" s="3" t="s">
        <v>1667</v>
      </c>
      <c r="G46" s="3" t="s">
        <v>1668</v>
      </c>
    </row>
    <row r="47" spans="1:7" ht="12.45" x14ac:dyDescent="0.3">
      <c r="A47" s="3" t="s">
        <v>812</v>
      </c>
      <c r="B47" s="3" t="s">
        <v>232</v>
      </c>
      <c r="C47" s="3" t="s">
        <v>1569</v>
      </c>
      <c r="D47" s="3" t="s">
        <v>1580</v>
      </c>
      <c r="E47" s="3" t="s">
        <v>1581</v>
      </c>
      <c r="F47" s="3" t="s">
        <v>1669</v>
      </c>
      <c r="G47" s="3" t="s">
        <v>1670</v>
      </c>
    </row>
    <row r="48" spans="1:7" ht="12.45" x14ac:dyDescent="0.3">
      <c r="A48" s="3" t="s">
        <v>814</v>
      </c>
      <c r="B48" s="3" t="s">
        <v>259</v>
      </c>
      <c r="C48" s="3" t="s">
        <v>1569</v>
      </c>
      <c r="D48" s="3" t="s">
        <v>1580</v>
      </c>
      <c r="E48" s="3" t="s">
        <v>1581</v>
      </c>
      <c r="F48" s="3" t="s">
        <v>1671</v>
      </c>
      <c r="G48" s="3" t="s">
        <v>1672</v>
      </c>
    </row>
    <row r="49" spans="1:7" ht="12.45" x14ac:dyDescent="0.3">
      <c r="A49" s="3" t="s">
        <v>820</v>
      </c>
      <c r="B49" s="3" t="s">
        <v>144</v>
      </c>
      <c r="C49" s="3" t="s">
        <v>1569</v>
      </c>
      <c r="D49" s="3" t="s">
        <v>1580</v>
      </c>
      <c r="E49" s="3" t="s">
        <v>1581</v>
      </c>
      <c r="F49" s="3" t="s">
        <v>1673</v>
      </c>
      <c r="G49" s="3" t="s">
        <v>1674</v>
      </c>
    </row>
    <row r="50" spans="1:7" ht="12.45" x14ac:dyDescent="0.3">
      <c r="A50" s="3" t="s">
        <v>825</v>
      </c>
      <c r="B50" s="3" t="s">
        <v>426</v>
      </c>
      <c r="C50" s="3" t="s">
        <v>1569</v>
      </c>
      <c r="D50" s="3" t="s">
        <v>1580</v>
      </c>
      <c r="E50" s="3" t="s">
        <v>1581</v>
      </c>
      <c r="F50" s="3" t="s">
        <v>1675</v>
      </c>
      <c r="G50" s="3" t="s">
        <v>1676</v>
      </c>
    </row>
    <row r="51" spans="1:7" ht="12.45" x14ac:dyDescent="0.3">
      <c r="A51" s="3" t="s">
        <v>832</v>
      </c>
      <c r="B51" s="3" t="s">
        <v>578</v>
      </c>
      <c r="C51" s="3" t="s">
        <v>1569</v>
      </c>
      <c r="D51" s="3" t="s">
        <v>1580</v>
      </c>
      <c r="E51" s="3" t="s">
        <v>1581</v>
      </c>
      <c r="F51" s="3" t="s">
        <v>1677</v>
      </c>
      <c r="G51" s="3" t="s">
        <v>1678</v>
      </c>
    </row>
    <row r="52" spans="1:7" ht="12.45" x14ac:dyDescent="0.3">
      <c r="A52" s="3" t="s">
        <v>846</v>
      </c>
      <c r="B52" s="3" t="s">
        <v>160</v>
      </c>
      <c r="C52" s="3" t="s">
        <v>1569</v>
      </c>
      <c r="D52" s="3" t="s">
        <v>1580</v>
      </c>
      <c r="E52" s="3" t="s">
        <v>1581</v>
      </c>
      <c r="F52" s="3" t="s">
        <v>1679</v>
      </c>
      <c r="G52" s="3" t="s">
        <v>1680</v>
      </c>
    </row>
    <row r="53" spans="1:7" ht="12.45" x14ac:dyDescent="0.3">
      <c r="A53" s="3" t="s">
        <v>853</v>
      </c>
      <c r="B53" s="3" t="s">
        <v>552</v>
      </c>
      <c r="C53" s="3" t="s">
        <v>1569</v>
      </c>
      <c r="D53" s="3" t="s">
        <v>1580</v>
      </c>
      <c r="E53" s="3" t="s">
        <v>1581</v>
      </c>
      <c r="F53" s="3" t="s">
        <v>1681</v>
      </c>
      <c r="G53" s="3" t="s">
        <v>1682</v>
      </c>
    </row>
    <row r="54" spans="1:7" ht="12.45" x14ac:dyDescent="0.3">
      <c r="A54" s="3" t="s">
        <v>905</v>
      </c>
      <c r="B54" s="3" t="s">
        <v>221</v>
      </c>
      <c r="C54" s="3" t="s">
        <v>1569</v>
      </c>
      <c r="D54" s="3" t="s">
        <v>1580</v>
      </c>
      <c r="E54" s="3" t="s">
        <v>1581</v>
      </c>
      <c r="F54" s="3" t="s">
        <v>1683</v>
      </c>
      <c r="G54" s="3" t="s">
        <v>1684</v>
      </c>
    </row>
    <row r="55" spans="1:7" ht="12.45" x14ac:dyDescent="0.3">
      <c r="A55" s="3" t="s">
        <v>906</v>
      </c>
      <c r="B55" s="3" t="s">
        <v>182</v>
      </c>
      <c r="C55" s="3" t="s">
        <v>1569</v>
      </c>
      <c r="D55" s="3" t="s">
        <v>1580</v>
      </c>
      <c r="E55" s="3" t="s">
        <v>1581</v>
      </c>
      <c r="F55" s="3" t="s">
        <v>1685</v>
      </c>
      <c r="G55" s="3" t="s">
        <v>1686</v>
      </c>
    </row>
    <row r="56" spans="1:7" ht="12.45" x14ac:dyDescent="0.3">
      <c r="A56" s="3" t="s">
        <v>924</v>
      </c>
      <c r="B56" s="3" t="s">
        <v>694</v>
      </c>
      <c r="C56" s="3" t="s">
        <v>1569</v>
      </c>
      <c r="D56" s="3" t="s">
        <v>1580</v>
      </c>
      <c r="E56" s="3" t="s">
        <v>1581</v>
      </c>
      <c r="F56" s="3" t="s">
        <v>1687</v>
      </c>
      <c r="G56" s="3" t="s">
        <v>1688</v>
      </c>
    </row>
    <row r="57" spans="1:7" ht="12.45" x14ac:dyDescent="0.3">
      <c r="A57" s="3" t="s">
        <v>946</v>
      </c>
      <c r="B57" s="3" t="s">
        <v>93</v>
      </c>
      <c r="C57" s="3" t="s">
        <v>1569</v>
      </c>
      <c r="D57" s="3" t="s">
        <v>1580</v>
      </c>
      <c r="E57" s="3" t="s">
        <v>1581</v>
      </c>
      <c r="F57" s="3" t="s">
        <v>1689</v>
      </c>
      <c r="G57" s="3" t="s">
        <v>1690</v>
      </c>
    </row>
    <row r="58" spans="1:7" ht="12.45" x14ac:dyDescent="0.3">
      <c r="A58" s="3" t="s">
        <v>958</v>
      </c>
      <c r="B58" s="3" t="s">
        <v>259</v>
      </c>
      <c r="C58" s="3" t="s">
        <v>1569</v>
      </c>
      <c r="D58" s="3" t="s">
        <v>1580</v>
      </c>
      <c r="E58" s="3" t="s">
        <v>1581</v>
      </c>
      <c r="F58" s="3" t="s">
        <v>1691</v>
      </c>
      <c r="G58" s="3" t="s">
        <v>1672</v>
      </c>
    </row>
    <row r="59" spans="1:7" ht="12.45" x14ac:dyDescent="0.3">
      <c r="A59" s="3" t="s">
        <v>964</v>
      </c>
      <c r="B59" s="3" t="s">
        <v>428</v>
      </c>
      <c r="C59" s="3" t="s">
        <v>1569</v>
      </c>
      <c r="D59" s="3" t="s">
        <v>1584</v>
      </c>
      <c r="E59" s="3" t="s">
        <v>1585</v>
      </c>
      <c r="F59" s="3" t="s">
        <v>1692</v>
      </c>
    </row>
    <row r="60" spans="1:7" ht="12.45" x14ac:dyDescent="0.3">
      <c r="A60" s="3" t="s">
        <v>967</v>
      </c>
      <c r="B60" s="3" t="s">
        <v>252</v>
      </c>
      <c r="C60" s="3" t="s">
        <v>1569</v>
      </c>
      <c r="D60" s="3" t="s">
        <v>1580</v>
      </c>
      <c r="E60" s="3" t="s">
        <v>1581</v>
      </c>
      <c r="F60" s="3" t="s">
        <v>1693</v>
      </c>
      <c r="G60" s="3" t="s">
        <v>1694</v>
      </c>
    </row>
    <row r="61" spans="1:7" ht="12.45" x14ac:dyDescent="0.3">
      <c r="A61" s="3" t="s">
        <v>1042</v>
      </c>
      <c r="B61" s="3" t="s">
        <v>1038</v>
      </c>
      <c r="C61" s="3" t="s">
        <v>1569</v>
      </c>
      <c r="D61" s="3" t="s">
        <v>1584</v>
      </c>
      <c r="E61" s="3" t="s">
        <v>1585</v>
      </c>
      <c r="F61" s="3" t="s">
        <v>1695</v>
      </c>
    </row>
    <row r="62" spans="1:7" ht="12.45" x14ac:dyDescent="0.3">
      <c r="A62" s="3" t="s">
        <v>1061</v>
      </c>
      <c r="B62" s="3" t="s">
        <v>1062</v>
      </c>
      <c r="C62" s="3" t="s">
        <v>1569</v>
      </c>
      <c r="D62" s="3" t="s">
        <v>1584</v>
      </c>
      <c r="E62" s="3" t="s">
        <v>1585</v>
      </c>
      <c r="F62" s="3" t="s">
        <v>1696</v>
      </c>
    </row>
    <row r="63" spans="1:7" ht="12.45" x14ac:dyDescent="0.3">
      <c r="A63" s="3" t="s">
        <v>1071</v>
      </c>
      <c r="B63" s="3" t="s">
        <v>1047</v>
      </c>
      <c r="C63" s="3" t="s">
        <v>1569</v>
      </c>
      <c r="D63" s="3" t="s">
        <v>1580</v>
      </c>
      <c r="E63" s="3" t="s">
        <v>1585</v>
      </c>
      <c r="F63" s="3" t="s">
        <v>1697</v>
      </c>
      <c r="G63" s="3" t="s">
        <v>1698</v>
      </c>
    </row>
    <row r="64" spans="1:7" ht="12.45" x14ac:dyDescent="0.3">
      <c r="A64" s="3" t="s">
        <v>1079</v>
      </c>
      <c r="B64" s="3" t="s">
        <v>1080</v>
      </c>
      <c r="C64" s="3" t="s">
        <v>1569</v>
      </c>
      <c r="D64" s="3" t="s">
        <v>1580</v>
      </c>
      <c r="E64" s="3" t="s">
        <v>1585</v>
      </c>
      <c r="F64" s="3" t="s">
        <v>1699</v>
      </c>
      <c r="G64" s="3" t="s">
        <v>1700</v>
      </c>
    </row>
    <row r="65" spans="1:7" ht="12.45" x14ac:dyDescent="0.3">
      <c r="A65" s="3" t="s">
        <v>1111</v>
      </c>
      <c r="B65" s="3" t="s">
        <v>1029</v>
      </c>
      <c r="C65" s="3" t="s">
        <v>1569</v>
      </c>
      <c r="D65" s="3" t="s">
        <v>1580</v>
      </c>
      <c r="E65" s="3" t="s">
        <v>1585</v>
      </c>
      <c r="F65" s="3" t="s">
        <v>1701</v>
      </c>
      <c r="G65" s="3" t="s">
        <v>1702</v>
      </c>
    </row>
    <row r="66" spans="1:7" ht="12.45" x14ac:dyDescent="0.3">
      <c r="A66" s="3" t="s">
        <v>1133</v>
      </c>
      <c r="B66" s="3" t="s">
        <v>1080</v>
      </c>
      <c r="C66" s="3" t="s">
        <v>1569</v>
      </c>
      <c r="D66" s="3" t="s">
        <v>1584</v>
      </c>
      <c r="E66" s="3" t="s">
        <v>1585</v>
      </c>
      <c r="F66" s="3" t="s">
        <v>1703</v>
      </c>
    </row>
    <row r="67" spans="1:7" ht="12.45" x14ac:dyDescent="0.3">
      <c r="A67" s="3" t="s">
        <v>1136</v>
      </c>
      <c r="B67" s="3" t="s">
        <v>1074</v>
      </c>
      <c r="C67" s="3" t="s">
        <v>1569</v>
      </c>
      <c r="D67" s="3" t="s">
        <v>1584</v>
      </c>
      <c r="E67" s="3" t="s">
        <v>1585</v>
      </c>
      <c r="F67" s="3" t="s">
        <v>1704</v>
      </c>
    </row>
    <row r="68" spans="1:7" ht="12.45" x14ac:dyDescent="0.3">
      <c r="A68" s="3" t="s">
        <v>1184</v>
      </c>
      <c r="B68" s="3" t="s">
        <v>1183</v>
      </c>
      <c r="C68" s="3" t="s">
        <v>1569</v>
      </c>
      <c r="D68" s="3" t="s">
        <v>1580</v>
      </c>
      <c r="E68" s="3" t="s">
        <v>1585</v>
      </c>
      <c r="F68" s="3" t="s">
        <v>1705</v>
      </c>
      <c r="G68" s="3" t="s">
        <v>1706</v>
      </c>
    </row>
    <row r="69" spans="1:7" ht="12.45" x14ac:dyDescent="0.3">
      <c r="A69" s="3" t="s">
        <v>1186</v>
      </c>
      <c r="B69" s="3" t="s">
        <v>1167</v>
      </c>
      <c r="C69" s="3" t="s">
        <v>1569</v>
      </c>
      <c r="D69" s="3" t="s">
        <v>1580</v>
      </c>
      <c r="E69" s="3" t="s">
        <v>1581</v>
      </c>
      <c r="F69" s="3" t="s">
        <v>1707</v>
      </c>
      <c r="G69" s="3" t="s">
        <v>1708</v>
      </c>
    </row>
    <row r="70" spans="1:7" ht="12.45" x14ac:dyDescent="0.3">
      <c r="A70" s="3" t="s">
        <v>1199</v>
      </c>
      <c r="B70" s="3" t="s">
        <v>1200</v>
      </c>
      <c r="C70" s="3" t="s">
        <v>1569</v>
      </c>
      <c r="D70" s="3" t="s">
        <v>1580</v>
      </c>
      <c r="E70" s="3" t="s">
        <v>1581</v>
      </c>
      <c r="F70" s="3" t="s">
        <v>1709</v>
      </c>
      <c r="G70" s="3" t="s">
        <v>1710</v>
      </c>
    </row>
    <row r="71" spans="1:7" ht="12.45" x14ac:dyDescent="0.3">
      <c r="A71" s="3" t="s">
        <v>1207</v>
      </c>
      <c r="B71" s="3" t="s">
        <v>1156</v>
      </c>
      <c r="C71" s="3" t="s">
        <v>1569</v>
      </c>
      <c r="D71" s="3" t="s">
        <v>1580</v>
      </c>
      <c r="E71" s="3" t="s">
        <v>1585</v>
      </c>
      <c r="F71" s="3" t="s">
        <v>1711</v>
      </c>
      <c r="G71" s="3" t="s">
        <v>1712</v>
      </c>
    </row>
    <row r="72" spans="1:7" ht="12.45" x14ac:dyDescent="0.3">
      <c r="A72" s="3" t="s">
        <v>1216</v>
      </c>
      <c r="B72" s="3" t="s">
        <v>1217</v>
      </c>
      <c r="C72" s="3" t="s">
        <v>1569</v>
      </c>
      <c r="D72" s="3" t="s">
        <v>1580</v>
      </c>
      <c r="E72" s="3" t="s">
        <v>1581</v>
      </c>
      <c r="F72" s="3" t="s">
        <v>1713</v>
      </c>
      <c r="G72" s="3" t="s">
        <v>1714</v>
      </c>
    </row>
    <row r="73" spans="1:7" ht="12.45" x14ac:dyDescent="0.3">
      <c r="A73" s="3" t="s">
        <v>1253</v>
      </c>
      <c r="B73" s="3" t="s">
        <v>1169</v>
      </c>
      <c r="C73" s="3" t="s">
        <v>1569</v>
      </c>
      <c r="D73" s="3" t="s">
        <v>1580</v>
      </c>
      <c r="E73" s="3" t="s">
        <v>1581</v>
      </c>
      <c r="F73" s="3" t="s">
        <v>1715</v>
      </c>
      <c r="G73" s="3" t="s">
        <v>1716</v>
      </c>
    </row>
    <row r="74" spans="1:7" ht="12.45" x14ac:dyDescent="0.3">
      <c r="A74" s="3" t="s">
        <v>1255</v>
      </c>
      <c r="B74" s="3" t="s">
        <v>1256</v>
      </c>
      <c r="C74" s="3" t="s">
        <v>1569</v>
      </c>
      <c r="D74" s="3" t="s">
        <v>1580</v>
      </c>
      <c r="E74" s="3" t="s">
        <v>1581</v>
      </c>
      <c r="F74" s="3" t="s">
        <v>1717</v>
      </c>
      <c r="G74" s="3" t="s">
        <v>1718</v>
      </c>
    </row>
    <row r="75" spans="1:7" ht="12.45" x14ac:dyDescent="0.3">
      <c r="A75" s="3" t="s">
        <v>1274</v>
      </c>
      <c r="B75" s="3" t="s">
        <v>1258</v>
      </c>
      <c r="C75" s="3" t="s">
        <v>1569</v>
      </c>
      <c r="D75" s="3" t="s">
        <v>1580</v>
      </c>
      <c r="E75" s="3" t="s">
        <v>1581</v>
      </c>
      <c r="F75" s="3" t="s">
        <v>1719</v>
      </c>
      <c r="G75" s="3" t="s">
        <v>1720</v>
      </c>
    </row>
    <row r="76" spans="1:7" ht="12.45" x14ac:dyDescent="0.3">
      <c r="A76" s="3" t="s">
        <v>1280</v>
      </c>
      <c r="B76" s="3" t="s">
        <v>1268</v>
      </c>
      <c r="C76" s="3" t="s">
        <v>1569</v>
      </c>
      <c r="D76" s="3" t="s">
        <v>1584</v>
      </c>
      <c r="E76" s="3" t="s">
        <v>1585</v>
      </c>
      <c r="F76" s="3" t="s">
        <v>1721</v>
      </c>
    </row>
    <row r="77" spans="1:7" ht="12.45" x14ac:dyDescent="0.3">
      <c r="A77" s="3" t="s">
        <v>1281</v>
      </c>
      <c r="B77" s="3" t="s">
        <v>1268</v>
      </c>
      <c r="C77" s="3" t="s">
        <v>1569</v>
      </c>
      <c r="D77" s="3" t="s">
        <v>1580</v>
      </c>
      <c r="E77" s="3" t="s">
        <v>1585</v>
      </c>
      <c r="F77" s="3" t="s">
        <v>1722</v>
      </c>
      <c r="G77" s="3" t="s">
        <v>1723</v>
      </c>
    </row>
    <row r="78" spans="1:7" ht="12.45" x14ac:dyDescent="0.3">
      <c r="A78" s="3" t="s">
        <v>1284</v>
      </c>
      <c r="B78" s="3" t="s">
        <v>1268</v>
      </c>
      <c r="C78" s="3" t="s">
        <v>1569</v>
      </c>
      <c r="D78" s="3" t="s">
        <v>1580</v>
      </c>
      <c r="E78" s="3" t="s">
        <v>1581</v>
      </c>
      <c r="F78" s="3" t="s">
        <v>1724</v>
      </c>
      <c r="G78" s="3" t="s">
        <v>1725</v>
      </c>
    </row>
    <row r="79" spans="1:7" ht="12.45" x14ac:dyDescent="0.3">
      <c r="A79" s="3" t="s">
        <v>1290</v>
      </c>
      <c r="B79" s="3" t="s">
        <v>1256</v>
      </c>
      <c r="C79" s="3" t="s">
        <v>1569</v>
      </c>
      <c r="D79" s="3" t="s">
        <v>1580</v>
      </c>
      <c r="E79" s="3" t="s">
        <v>1581</v>
      </c>
      <c r="F79" s="3" t="s">
        <v>1726</v>
      </c>
      <c r="G79" s="3" t="s">
        <v>1727</v>
      </c>
    </row>
    <row r="80" spans="1:7" ht="12.45" x14ac:dyDescent="0.3">
      <c r="A80" s="3" t="s">
        <v>1295</v>
      </c>
      <c r="B80" s="3" t="s">
        <v>1256</v>
      </c>
      <c r="C80" s="3" t="s">
        <v>1569</v>
      </c>
      <c r="D80" s="3" t="s">
        <v>1580</v>
      </c>
      <c r="E80" s="3" t="s">
        <v>1581</v>
      </c>
      <c r="F80" s="3" t="s">
        <v>1728</v>
      </c>
      <c r="G80" s="3" t="s">
        <v>1729</v>
      </c>
    </row>
    <row r="81" spans="1:7" ht="12.45" x14ac:dyDescent="0.3">
      <c r="A81" s="3" t="s">
        <v>1329</v>
      </c>
      <c r="B81" s="3" t="s">
        <v>1258</v>
      </c>
      <c r="C81" s="3" t="s">
        <v>1569</v>
      </c>
      <c r="D81" s="3" t="s">
        <v>1580</v>
      </c>
      <c r="E81" s="3" t="s">
        <v>1581</v>
      </c>
      <c r="F81" s="3" t="s">
        <v>1730</v>
      </c>
      <c r="G81" s="3" t="s">
        <v>1731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81"/>
  <sheetViews>
    <sheetView workbookViewId="0"/>
  </sheetViews>
  <sheetFormatPr defaultColWidth="12.61328125" defaultRowHeight="15.75" customHeight="1" x14ac:dyDescent="0.3"/>
  <cols>
    <col min="2" max="2" width="51.765625" customWidth="1"/>
    <col min="5" max="5" width="17.84375" customWidth="1"/>
    <col min="6" max="6" width="139.765625" customWidth="1"/>
    <col min="7" max="7" width="77.4609375" customWidth="1"/>
  </cols>
  <sheetData>
    <row r="1" spans="1:25" ht="15.75" customHeight="1" x14ac:dyDescent="0.5">
      <c r="A1" s="14" t="s">
        <v>1561</v>
      </c>
      <c r="B1" s="14" t="s">
        <v>1562</v>
      </c>
      <c r="C1" s="14" t="s">
        <v>1563</v>
      </c>
      <c r="D1" s="14" t="s">
        <v>1732</v>
      </c>
      <c r="E1" s="14" t="s">
        <v>1577</v>
      </c>
      <c r="F1" s="14" t="s">
        <v>1578</v>
      </c>
      <c r="G1" s="14" t="s">
        <v>1579</v>
      </c>
      <c r="H1" s="15"/>
      <c r="I1" s="15"/>
      <c r="J1" s="15"/>
      <c r="K1" s="15"/>
      <c r="L1" s="15"/>
      <c r="M1" s="15"/>
      <c r="N1" s="15"/>
      <c r="O1" s="15"/>
      <c r="P1" s="15"/>
      <c r="Q1" s="15"/>
      <c r="R1" s="15"/>
      <c r="S1" s="15"/>
      <c r="T1" s="15"/>
      <c r="U1" s="15"/>
      <c r="V1" s="15"/>
      <c r="W1" s="15"/>
      <c r="X1" s="15"/>
      <c r="Y1" s="15"/>
    </row>
    <row r="2" spans="1:25" ht="15.75" customHeight="1" x14ac:dyDescent="0.4">
      <c r="A2" s="8" t="s">
        <v>61</v>
      </c>
      <c r="B2" s="8" t="s">
        <v>62</v>
      </c>
      <c r="C2" s="8" t="s">
        <v>1566</v>
      </c>
      <c r="D2" s="8" t="s">
        <v>1580</v>
      </c>
      <c r="E2" s="8" t="s">
        <v>1581</v>
      </c>
      <c r="F2" s="8" t="s">
        <v>1733</v>
      </c>
      <c r="G2" s="8" t="s">
        <v>1734</v>
      </c>
    </row>
    <row r="3" spans="1:25" ht="15.75" customHeight="1" x14ac:dyDescent="0.4">
      <c r="A3" s="8" t="s">
        <v>102</v>
      </c>
      <c r="B3" s="8" t="s">
        <v>103</v>
      </c>
      <c r="C3" s="8" t="s">
        <v>1568</v>
      </c>
      <c r="D3" s="8" t="s">
        <v>1584</v>
      </c>
      <c r="E3" s="8" t="s">
        <v>1581</v>
      </c>
      <c r="F3" s="53" t="s">
        <v>1735</v>
      </c>
      <c r="G3" s="54"/>
    </row>
    <row r="4" spans="1:25" ht="15.75" customHeight="1" x14ac:dyDescent="0.4">
      <c r="A4" s="8" t="s">
        <v>111</v>
      </c>
      <c r="B4" s="8" t="s">
        <v>112</v>
      </c>
      <c r="C4" s="8" t="s">
        <v>1566</v>
      </c>
      <c r="D4" s="8" t="s">
        <v>1580</v>
      </c>
      <c r="E4" s="8" t="s">
        <v>1581</v>
      </c>
      <c r="F4" s="8" t="s">
        <v>1736</v>
      </c>
      <c r="G4" s="8" t="s">
        <v>1588</v>
      </c>
    </row>
    <row r="5" spans="1:25" ht="15.75" customHeight="1" x14ac:dyDescent="0.4">
      <c r="A5" s="8" t="s">
        <v>115</v>
      </c>
      <c r="B5" s="8" t="s">
        <v>116</v>
      </c>
      <c r="C5" s="8" t="s">
        <v>1569</v>
      </c>
      <c r="D5" s="8" t="s">
        <v>1580</v>
      </c>
      <c r="E5" s="8" t="s">
        <v>1581</v>
      </c>
      <c r="F5" s="8" t="s">
        <v>1737</v>
      </c>
      <c r="G5" s="8" t="s">
        <v>1738</v>
      </c>
    </row>
    <row r="6" spans="1:25" ht="15.75" customHeight="1" x14ac:dyDescent="0.4">
      <c r="A6" s="8" t="s">
        <v>125</v>
      </c>
      <c r="B6" s="8" t="s">
        <v>126</v>
      </c>
      <c r="C6" s="8" t="s">
        <v>1569</v>
      </c>
      <c r="D6" s="8" t="s">
        <v>1580</v>
      </c>
      <c r="E6" s="8" t="s">
        <v>1581</v>
      </c>
      <c r="F6" s="8" t="s">
        <v>1739</v>
      </c>
      <c r="G6" s="8" t="s">
        <v>1740</v>
      </c>
    </row>
    <row r="7" spans="1:25" ht="15.75" customHeight="1" x14ac:dyDescent="0.4">
      <c r="A7" s="8" t="s">
        <v>150</v>
      </c>
      <c r="B7" s="8" t="s">
        <v>151</v>
      </c>
      <c r="C7" s="8" t="s">
        <v>1569</v>
      </c>
      <c r="D7" s="8" t="s">
        <v>1580</v>
      </c>
      <c r="E7" s="8" t="s">
        <v>1581</v>
      </c>
      <c r="F7" s="8" t="s">
        <v>1741</v>
      </c>
      <c r="G7" s="8" t="s">
        <v>1742</v>
      </c>
    </row>
    <row r="8" spans="1:25" ht="15.75" customHeight="1" x14ac:dyDescent="0.4">
      <c r="A8" s="8" t="s">
        <v>179</v>
      </c>
      <c r="B8" s="8" t="s">
        <v>180</v>
      </c>
      <c r="C8" s="8" t="s">
        <v>1570</v>
      </c>
      <c r="D8" s="8" t="s">
        <v>1580</v>
      </c>
      <c r="E8" s="8" t="s">
        <v>1581</v>
      </c>
      <c r="F8" s="16" t="s">
        <v>1743</v>
      </c>
      <c r="G8" s="8" t="s">
        <v>1744</v>
      </c>
    </row>
    <row r="9" spans="1:25" ht="15.75" customHeight="1" x14ac:dyDescent="0.4">
      <c r="A9" s="8" t="s">
        <v>198</v>
      </c>
      <c r="B9" s="8" t="s">
        <v>191</v>
      </c>
      <c r="C9" s="8" t="s">
        <v>1569</v>
      </c>
      <c r="D9" s="8" t="s">
        <v>1584</v>
      </c>
      <c r="E9" s="8" t="s">
        <v>1581</v>
      </c>
      <c r="F9" s="53" t="s">
        <v>1745</v>
      </c>
      <c r="G9" s="54"/>
    </row>
    <row r="10" spans="1:25" ht="15.75" customHeight="1" x14ac:dyDescent="0.4">
      <c r="A10" s="8" t="s">
        <v>1362</v>
      </c>
      <c r="B10" s="8" t="s">
        <v>1357</v>
      </c>
      <c r="C10" s="8" t="s">
        <v>1569</v>
      </c>
      <c r="D10" s="8" t="s">
        <v>1580</v>
      </c>
      <c r="E10" s="8" t="s">
        <v>1581</v>
      </c>
      <c r="F10" s="8" t="s">
        <v>1746</v>
      </c>
      <c r="G10" s="8" t="s">
        <v>1747</v>
      </c>
    </row>
    <row r="11" spans="1:25" ht="15.75" customHeight="1" x14ac:dyDescent="0.4">
      <c r="A11" s="8" t="s">
        <v>1413</v>
      </c>
      <c r="B11" s="8" t="s">
        <v>1355</v>
      </c>
      <c r="C11" s="8" t="s">
        <v>1569</v>
      </c>
      <c r="D11" s="8" t="s">
        <v>1580</v>
      </c>
      <c r="E11" s="8" t="s">
        <v>1581</v>
      </c>
      <c r="F11" s="8" t="s">
        <v>1748</v>
      </c>
      <c r="G11" s="8" t="s">
        <v>1749</v>
      </c>
    </row>
    <row r="12" spans="1:25" ht="15.75" customHeight="1" x14ac:dyDescent="0.4">
      <c r="A12" s="8" t="s">
        <v>1418</v>
      </c>
      <c r="B12" s="8" t="s">
        <v>1355</v>
      </c>
      <c r="C12" s="8" t="s">
        <v>1569</v>
      </c>
      <c r="D12" s="8" t="s">
        <v>1580</v>
      </c>
      <c r="E12" s="8" t="s">
        <v>1581</v>
      </c>
      <c r="F12" s="8" t="s">
        <v>1750</v>
      </c>
      <c r="G12" s="8" t="s">
        <v>1751</v>
      </c>
    </row>
    <row r="13" spans="1:25" ht="15.75" customHeight="1" x14ac:dyDescent="0.4">
      <c r="A13" s="8" t="s">
        <v>1426</v>
      </c>
      <c r="B13" s="8" t="s">
        <v>1427</v>
      </c>
      <c r="C13" s="8" t="s">
        <v>1569</v>
      </c>
      <c r="D13" s="8" t="s">
        <v>1580</v>
      </c>
      <c r="E13" s="8" t="s">
        <v>1581</v>
      </c>
      <c r="F13" s="8" t="s">
        <v>1752</v>
      </c>
      <c r="G13" s="8" t="s">
        <v>1753</v>
      </c>
    </row>
    <row r="14" spans="1:25" ht="15.75" customHeight="1" x14ac:dyDescent="0.4">
      <c r="A14" s="8" t="s">
        <v>1440</v>
      </c>
      <c r="B14" s="8" t="s">
        <v>1427</v>
      </c>
      <c r="C14" s="8" t="s">
        <v>1569</v>
      </c>
      <c r="D14" s="8" t="s">
        <v>1580</v>
      </c>
      <c r="E14" s="8" t="s">
        <v>1581</v>
      </c>
      <c r="F14" s="8" t="s">
        <v>1752</v>
      </c>
      <c r="G14" s="8" t="s">
        <v>1754</v>
      </c>
    </row>
    <row r="15" spans="1:25" ht="15.75" customHeight="1" x14ac:dyDescent="0.4">
      <c r="A15" s="8" t="s">
        <v>217</v>
      </c>
      <c r="B15" s="8" t="s">
        <v>5</v>
      </c>
      <c r="C15" s="8" t="s">
        <v>1566</v>
      </c>
      <c r="D15" s="8" t="s">
        <v>1580</v>
      </c>
      <c r="E15" s="8" t="s">
        <v>1581</v>
      </c>
      <c r="F15" s="8" t="s">
        <v>1755</v>
      </c>
      <c r="G15" s="8" t="s">
        <v>1756</v>
      </c>
    </row>
    <row r="16" spans="1:25" ht="15.75" customHeight="1" x14ac:dyDescent="0.4">
      <c r="A16" s="8" t="s">
        <v>1443</v>
      </c>
      <c r="B16" s="8" t="s">
        <v>1429</v>
      </c>
      <c r="C16" s="8" t="s">
        <v>1569</v>
      </c>
      <c r="D16" s="8" t="s">
        <v>1580</v>
      </c>
      <c r="E16" s="8" t="s">
        <v>1581</v>
      </c>
      <c r="F16" s="8" t="s">
        <v>1757</v>
      </c>
      <c r="G16" s="8" t="s">
        <v>1758</v>
      </c>
    </row>
    <row r="17" spans="1:7" ht="15.75" customHeight="1" x14ac:dyDescent="0.4">
      <c r="A17" s="8" t="s">
        <v>1477</v>
      </c>
      <c r="B17" s="8" t="s">
        <v>1478</v>
      </c>
      <c r="C17" s="8" t="s">
        <v>1572</v>
      </c>
      <c r="D17" s="8" t="s">
        <v>1584</v>
      </c>
      <c r="E17" s="8" t="s">
        <v>1581</v>
      </c>
      <c r="F17" s="53" t="s">
        <v>1759</v>
      </c>
      <c r="G17" s="54"/>
    </row>
    <row r="18" spans="1:7" ht="15.75" customHeight="1" x14ac:dyDescent="0.4">
      <c r="A18" s="8" t="s">
        <v>1479</v>
      </c>
      <c r="B18" s="8" t="s">
        <v>1480</v>
      </c>
      <c r="C18" s="8" t="s">
        <v>1569</v>
      </c>
      <c r="D18" s="8" t="s">
        <v>1580</v>
      </c>
      <c r="E18" s="8" t="s">
        <v>1581</v>
      </c>
      <c r="F18" s="8" t="s">
        <v>1760</v>
      </c>
      <c r="G18" s="8" t="s">
        <v>1761</v>
      </c>
    </row>
    <row r="19" spans="1:7" ht="15.75" customHeight="1" x14ac:dyDescent="0.4">
      <c r="A19" s="8" t="s">
        <v>1508</v>
      </c>
      <c r="B19" s="8" t="s">
        <v>1505</v>
      </c>
      <c r="C19" s="8" t="s">
        <v>1569</v>
      </c>
      <c r="D19" s="8" t="s">
        <v>1584</v>
      </c>
      <c r="E19" s="8" t="s">
        <v>1581</v>
      </c>
      <c r="F19" s="53" t="s">
        <v>1762</v>
      </c>
      <c r="G19" s="54"/>
    </row>
    <row r="20" spans="1:7" ht="15.75" customHeight="1" x14ac:dyDescent="0.4">
      <c r="A20" s="8" t="s">
        <v>304</v>
      </c>
      <c r="B20" s="8" t="s">
        <v>305</v>
      </c>
      <c r="C20" s="8" t="s">
        <v>1570</v>
      </c>
      <c r="D20" s="8" t="s">
        <v>1584</v>
      </c>
      <c r="E20" s="8" t="s">
        <v>1581</v>
      </c>
      <c r="F20" s="53" t="s">
        <v>1763</v>
      </c>
      <c r="G20" s="54"/>
    </row>
    <row r="21" spans="1:7" ht="15.75" customHeight="1" x14ac:dyDescent="0.4">
      <c r="A21" s="8" t="s">
        <v>325</v>
      </c>
      <c r="B21" s="8" t="s">
        <v>300</v>
      </c>
      <c r="C21" s="8" t="s">
        <v>1570</v>
      </c>
      <c r="D21" s="8" t="s">
        <v>1584</v>
      </c>
      <c r="E21" s="8" t="s">
        <v>1581</v>
      </c>
      <c r="F21" s="53" t="s">
        <v>1764</v>
      </c>
      <c r="G21" s="54"/>
    </row>
    <row r="22" spans="1:7" ht="15.75" customHeight="1" x14ac:dyDescent="0.4">
      <c r="A22" s="8" t="s">
        <v>330</v>
      </c>
      <c r="B22" s="8" t="s">
        <v>20</v>
      </c>
      <c r="C22" s="8" t="s">
        <v>1568</v>
      </c>
      <c r="D22" s="8" t="s">
        <v>1584</v>
      </c>
      <c r="E22" s="8" t="s">
        <v>1581</v>
      </c>
      <c r="F22" s="53" t="s">
        <v>1765</v>
      </c>
      <c r="G22" s="54"/>
    </row>
    <row r="23" spans="1:7" ht="15.75" customHeight="1" x14ac:dyDescent="0.4">
      <c r="A23" s="8" t="s">
        <v>384</v>
      </c>
      <c r="B23" s="8" t="s">
        <v>363</v>
      </c>
      <c r="C23" s="8" t="s">
        <v>1569</v>
      </c>
      <c r="D23" s="8" t="s">
        <v>1580</v>
      </c>
      <c r="E23" s="8" t="s">
        <v>1581</v>
      </c>
      <c r="F23" s="8" t="s">
        <v>1766</v>
      </c>
      <c r="G23" s="8" t="s">
        <v>1767</v>
      </c>
    </row>
    <row r="24" spans="1:7" ht="15.75" customHeight="1" x14ac:dyDescent="0.4">
      <c r="A24" s="8" t="s">
        <v>385</v>
      </c>
      <c r="B24" s="8" t="s">
        <v>252</v>
      </c>
      <c r="C24" s="8" t="s">
        <v>1569</v>
      </c>
      <c r="D24" s="8" t="s">
        <v>1580</v>
      </c>
      <c r="E24" s="8" t="s">
        <v>1768</v>
      </c>
      <c r="F24" s="16" t="s">
        <v>1769</v>
      </c>
      <c r="G24" s="8" t="s">
        <v>1770</v>
      </c>
    </row>
    <row r="25" spans="1:7" ht="15.75" customHeight="1" x14ac:dyDescent="0.4">
      <c r="A25" s="8" t="s">
        <v>396</v>
      </c>
      <c r="B25" s="8" t="s">
        <v>164</v>
      </c>
      <c r="C25" s="8" t="s">
        <v>1566</v>
      </c>
      <c r="D25" s="8" t="s">
        <v>1584</v>
      </c>
      <c r="E25" s="8" t="s">
        <v>1581</v>
      </c>
      <c r="F25" s="53" t="s">
        <v>1771</v>
      </c>
      <c r="G25" s="54"/>
    </row>
    <row r="26" spans="1:7" ht="15.75" customHeight="1" x14ac:dyDescent="0.4">
      <c r="A26" s="8" t="s">
        <v>431</v>
      </c>
      <c r="B26" s="8" t="s">
        <v>40</v>
      </c>
      <c r="C26" s="8" t="s">
        <v>1569</v>
      </c>
      <c r="D26" s="8" t="s">
        <v>1580</v>
      </c>
      <c r="E26" s="8" t="s">
        <v>1581</v>
      </c>
      <c r="F26" s="8" t="s">
        <v>1772</v>
      </c>
      <c r="G26" s="8" t="s">
        <v>1773</v>
      </c>
    </row>
    <row r="27" spans="1:7" ht="15.75" customHeight="1" x14ac:dyDescent="0.4">
      <c r="A27" s="8" t="s">
        <v>466</v>
      </c>
      <c r="B27" s="8" t="s">
        <v>467</v>
      </c>
      <c r="C27" s="8" t="s">
        <v>1573</v>
      </c>
      <c r="D27" s="8" t="s">
        <v>1584</v>
      </c>
      <c r="E27" s="8" t="s">
        <v>1581</v>
      </c>
      <c r="F27" s="53" t="s">
        <v>1774</v>
      </c>
      <c r="G27" s="54"/>
    </row>
    <row r="28" spans="1:7" ht="15.75" customHeight="1" x14ac:dyDescent="0.4">
      <c r="A28" s="8" t="s">
        <v>502</v>
      </c>
      <c r="B28" s="8" t="s">
        <v>322</v>
      </c>
      <c r="C28" s="8" t="s">
        <v>1570</v>
      </c>
      <c r="D28" s="8" t="s">
        <v>1584</v>
      </c>
      <c r="E28" s="8" t="s">
        <v>1581</v>
      </c>
      <c r="F28" s="53" t="s">
        <v>1775</v>
      </c>
      <c r="G28" s="54"/>
    </row>
    <row r="29" spans="1:7" ht="15.75" customHeight="1" x14ac:dyDescent="0.4">
      <c r="A29" s="8" t="s">
        <v>509</v>
      </c>
      <c r="B29" s="8" t="s">
        <v>176</v>
      </c>
      <c r="C29" s="8" t="s">
        <v>1566</v>
      </c>
      <c r="D29" s="8" t="s">
        <v>1584</v>
      </c>
      <c r="E29" s="8" t="s">
        <v>1581</v>
      </c>
      <c r="F29" s="53" t="s">
        <v>1776</v>
      </c>
      <c r="G29" s="54"/>
    </row>
    <row r="30" spans="1:7" ht="15.75" customHeight="1" x14ac:dyDescent="0.4">
      <c r="A30" s="8" t="s">
        <v>517</v>
      </c>
      <c r="B30" s="8" t="s">
        <v>202</v>
      </c>
      <c r="C30" s="8" t="s">
        <v>1566</v>
      </c>
      <c r="D30" s="8" t="s">
        <v>1580</v>
      </c>
      <c r="E30" s="8" t="s">
        <v>1581</v>
      </c>
      <c r="F30" s="8" t="s">
        <v>1777</v>
      </c>
      <c r="G30" s="8" t="s">
        <v>1778</v>
      </c>
    </row>
    <row r="31" spans="1:7" ht="15.75" customHeight="1" x14ac:dyDescent="0.4">
      <c r="A31" s="8" t="s">
        <v>520</v>
      </c>
      <c r="B31" s="8" t="s">
        <v>98</v>
      </c>
      <c r="C31" s="8" t="s">
        <v>1568</v>
      </c>
      <c r="D31" s="8" t="s">
        <v>1580</v>
      </c>
      <c r="E31" s="8" t="s">
        <v>1768</v>
      </c>
      <c r="F31" s="16" t="s">
        <v>1779</v>
      </c>
      <c r="G31" s="8" t="s">
        <v>1780</v>
      </c>
    </row>
    <row r="32" spans="1:7" ht="15.75" customHeight="1" x14ac:dyDescent="0.4">
      <c r="A32" s="8" t="s">
        <v>538</v>
      </c>
      <c r="B32" s="8" t="s">
        <v>539</v>
      </c>
      <c r="C32" s="8" t="s">
        <v>1570</v>
      </c>
      <c r="D32" s="8" t="s">
        <v>1584</v>
      </c>
      <c r="E32" s="8" t="s">
        <v>1581</v>
      </c>
      <c r="F32" s="53" t="s">
        <v>1781</v>
      </c>
      <c r="G32" s="54"/>
    </row>
    <row r="33" spans="1:7" ht="15.75" customHeight="1" x14ac:dyDescent="0.4">
      <c r="A33" s="8" t="s">
        <v>546</v>
      </c>
      <c r="B33" s="8" t="s">
        <v>259</v>
      </c>
      <c r="C33" s="8" t="s">
        <v>1569</v>
      </c>
      <c r="D33" s="8" t="s">
        <v>1580</v>
      </c>
      <c r="E33" s="8" t="s">
        <v>1581</v>
      </c>
      <c r="F33" s="8" t="s">
        <v>1782</v>
      </c>
      <c r="G33" s="8" t="s">
        <v>1672</v>
      </c>
    </row>
    <row r="34" spans="1:7" ht="15.75" customHeight="1" x14ac:dyDescent="0.4">
      <c r="A34" s="8" t="s">
        <v>553</v>
      </c>
      <c r="B34" s="8" t="s">
        <v>554</v>
      </c>
      <c r="C34" s="8" t="s">
        <v>1568</v>
      </c>
      <c r="D34" s="8" t="s">
        <v>1584</v>
      </c>
      <c r="E34" s="8" t="s">
        <v>1581</v>
      </c>
      <c r="F34" s="53" t="s">
        <v>1783</v>
      </c>
      <c r="G34" s="54"/>
    </row>
    <row r="35" spans="1:7" ht="15.75" customHeight="1" x14ac:dyDescent="0.4">
      <c r="A35" s="8" t="s">
        <v>558</v>
      </c>
      <c r="B35" s="8" t="s">
        <v>14</v>
      </c>
      <c r="C35" s="8" t="s">
        <v>1569</v>
      </c>
      <c r="D35" s="8" t="s">
        <v>1580</v>
      </c>
      <c r="E35" s="8" t="s">
        <v>1581</v>
      </c>
      <c r="F35" s="8" t="s">
        <v>1784</v>
      </c>
      <c r="G35" s="8" t="s">
        <v>1785</v>
      </c>
    </row>
    <row r="36" spans="1:7" ht="15.75" customHeight="1" x14ac:dyDescent="0.4">
      <c r="A36" s="8" t="s">
        <v>580</v>
      </c>
      <c r="B36" s="8" t="s">
        <v>545</v>
      </c>
      <c r="C36" s="8" t="s">
        <v>1568</v>
      </c>
      <c r="D36" s="8" t="s">
        <v>1580</v>
      </c>
      <c r="E36" s="8" t="s">
        <v>1581</v>
      </c>
      <c r="F36" s="8" t="s">
        <v>1786</v>
      </c>
      <c r="G36" s="8" t="s">
        <v>1650</v>
      </c>
    </row>
    <row r="37" spans="1:7" ht="14.6" x14ac:dyDescent="0.4">
      <c r="A37" s="8" t="s">
        <v>630</v>
      </c>
      <c r="B37" s="8" t="s">
        <v>631</v>
      </c>
      <c r="C37" s="8" t="s">
        <v>1570</v>
      </c>
      <c r="D37" s="8" t="s">
        <v>1584</v>
      </c>
      <c r="E37" s="8" t="s">
        <v>1581</v>
      </c>
      <c r="F37" s="53" t="s">
        <v>1787</v>
      </c>
      <c r="G37" s="54"/>
    </row>
    <row r="38" spans="1:7" ht="14.6" x14ac:dyDescent="0.4">
      <c r="A38" s="8" t="s">
        <v>676</v>
      </c>
      <c r="B38" s="8" t="s">
        <v>98</v>
      </c>
      <c r="C38" s="8" t="s">
        <v>1568</v>
      </c>
      <c r="D38" s="8" t="s">
        <v>1580</v>
      </c>
      <c r="E38" s="8" t="s">
        <v>1768</v>
      </c>
      <c r="F38" s="16" t="s">
        <v>1788</v>
      </c>
      <c r="G38" s="8" t="s">
        <v>1780</v>
      </c>
    </row>
    <row r="39" spans="1:7" ht="14.6" x14ac:dyDescent="0.4">
      <c r="A39" s="8" t="s">
        <v>689</v>
      </c>
      <c r="B39" s="8" t="s">
        <v>690</v>
      </c>
      <c r="C39" s="8" t="s">
        <v>1569</v>
      </c>
      <c r="D39" s="8" t="s">
        <v>1584</v>
      </c>
      <c r="E39" s="8" t="s">
        <v>1581</v>
      </c>
      <c r="F39" s="53" t="s">
        <v>1789</v>
      </c>
      <c r="G39" s="54"/>
    </row>
    <row r="40" spans="1:7" ht="14.6" x14ac:dyDescent="0.4">
      <c r="A40" s="8" t="s">
        <v>691</v>
      </c>
      <c r="B40" s="8" t="s">
        <v>603</v>
      </c>
      <c r="C40" s="8" t="s">
        <v>1569</v>
      </c>
      <c r="D40" s="8" t="s">
        <v>1580</v>
      </c>
      <c r="E40" s="8" t="s">
        <v>1581</v>
      </c>
      <c r="F40" s="8" t="s">
        <v>1790</v>
      </c>
      <c r="G40" s="8" t="s">
        <v>1791</v>
      </c>
    </row>
    <row r="41" spans="1:7" ht="14.6" x14ac:dyDescent="0.4">
      <c r="A41" s="8" t="s">
        <v>711</v>
      </c>
      <c r="B41" s="8" t="s">
        <v>448</v>
      </c>
      <c r="C41" s="8" t="s">
        <v>1570</v>
      </c>
      <c r="D41" s="8" t="s">
        <v>1580</v>
      </c>
      <c r="E41" s="8" t="s">
        <v>1581</v>
      </c>
      <c r="F41" s="8" t="s">
        <v>1792</v>
      </c>
      <c r="G41" s="8" t="s">
        <v>1658</v>
      </c>
    </row>
    <row r="42" spans="1:7" ht="14.6" x14ac:dyDescent="0.4">
      <c r="A42" s="8" t="s">
        <v>734</v>
      </c>
      <c r="B42" s="8" t="s">
        <v>118</v>
      </c>
      <c r="C42" s="8" t="s">
        <v>1570</v>
      </c>
      <c r="D42" s="8" t="s">
        <v>1580</v>
      </c>
      <c r="E42" s="8" t="s">
        <v>1581</v>
      </c>
      <c r="F42" s="8" t="s">
        <v>1793</v>
      </c>
      <c r="G42" s="8" t="s">
        <v>1794</v>
      </c>
    </row>
    <row r="43" spans="1:7" ht="14.6" x14ac:dyDescent="0.4">
      <c r="A43" s="8" t="s">
        <v>752</v>
      </c>
      <c r="B43" s="8" t="s">
        <v>40</v>
      </c>
      <c r="C43" s="8" t="s">
        <v>1569</v>
      </c>
      <c r="D43" s="8" t="s">
        <v>1580</v>
      </c>
      <c r="E43" s="8" t="s">
        <v>1581</v>
      </c>
      <c r="F43" s="8" t="s">
        <v>1795</v>
      </c>
      <c r="G43" s="8" t="s">
        <v>1796</v>
      </c>
    </row>
    <row r="44" spans="1:7" ht="14.6" x14ac:dyDescent="0.4">
      <c r="A44" s="8" t="s">
        <v>774</v>
      </c>
      <c r="B44" s="8" t="s">
        <v>775</v>
      </c>
      <c r="C44" s="8" t="s">
        <v>1570</v>
      </c>
      <c r="D44" s="8" t="s">
        <v>1584</v>
      </c>
      <c r="E44" s="8" t="s">
        <v>1581</v>
      </c>
      <c r="F44" s="53" t="s">
        <v>1797</v>
      </c>
      <c r="G44" s="54"/>
    </row>
    <row r="45" spans="1:7" ht="14.6" x14ac:dyDescent="0.4">
      <c r="A45" s="8" t="s">
        <v>781</v>
      </c>
      <c r="B45" s="8" t="s">
        <v>23</v>
      </c>
      <c r="C45" s="8" t="s">
        <v>1573</v>
      </c>
      <c r="D45" s="8" t="s">
        <v>1580</v>
      </c>
      <c r="E45" s="8" t="s">
        <v>1581</v>
      </c>
      <c r="F45" s="8" t="s">
        <v>1798</v>
      </c>
      <c r="G45" s="8" t="s">
        <v>1799</v>
      </c>
    </row>
    <row r="46" spans="1:7" ht="14.6" x14ac:dyDescent="0.4">
      <c r="A46" s="8" t="s">
        <v>810</v>
      </c>
      <c r="B46" s="8" t="s">
        <v>811</v>
      </c>
      <c r="C46" s="8" t="s">
        <v>1570</v>
      </c>
      <c r="D46" s="8" t="s">
        <v>1584</v>
      </c>
      <c r="E46" s="8" t="s">
        <v>1581</v>
      </c>
      <c r="F46" s="53" t="s">
        <v>1800</v>
      </c>
      <c r="G46" s="54"/>
    </row>
    <row r="47" spans="1:7" ht="14.6" x14ac:dyDescent="0.4">
      <c r="A47" s="8" t="s">
        <v>812</v>
      </c>
      <c r="B47" s="8" t="s">
        <v>232</v>
      </c>
      <c r="C47" s="8" t="s">
        <v>1570</v>
      </c>
      <c r="D47" s="8" t="s">
        <v>1584</v>
      </c>
      <c r="E47" s="8" t="s">
        <v>1581</v>
      </c>
      <c r="F47" s="53" t="s">
        <v>1801</v>
      </c>
      <c r="G47" s="54"/>
    </row>
    <row r="48" spans="1:7" ht="14.6" x14ac:dyDescent="0.4">
      <c r="A48" s="8" t="s">
        <v>814</v>
      </c>
      <c r="B48" s="8" t="s">
        <v>259</v>
      </c>
      <c r="C48" s="8" t="s">
        <v>1569</v>
      </c>
      <c r="D48" s="8" t="s">
        <v>1580</v>
      </c>
      <c r="E48" s="8" t="s">
        <v>1581</v>
      </c>
      <c r="F48" s="8" t="s">
        <v>1782</v>
      </c>
      <c r="G48" s="8" t="s">
        <v>1672</v>
      </c>
    </row>
    <row r="49" spans="1:7" ht="14.6" x14ac:dyDescent="0.4">
      <c r="A49" s="8" t="s">
        <v>820</v>
      </c>
      <c r="B49" s="8" t="s">
        <v>144</v>
      </c>
      <c r="C49" s="8" t="s">
        <v>1569</v>
      </c>
      <c r="D49" s="8" t="s">
        <v>1584</v>
      </c>
      <c r="E49" s="8" t="s">
        <v>1581</v>
      </c>
      <c r="F49" s="53" t="s">
        <v>1802</v>
      </c>
      <c r="G49" s="54"/>
    </row>
    <row r="50" spans="1:7" ht="14.6" x14ac:dyDescent="0.4">
      <c r="A50" s="8" t="s">
        <v>825</v>
      </c>
      <c r="B50" s="8" t="s">
        <v>426</v>
      </c>
      <c r="C50" s="8" t="s">
        <v>1570</v>
      </c>
      <c r="D50" s="8" t="s">
        <v>1580</v>
      </c>
      <c r="E50" s="8" t="s">
        <v>1581</v>
      </c>
      <c r="F50" s="8" t="s">
        <v>1803</v>
      </c>
      <c r="G50" s="8" t="s">
        <v>1804</v>
      </c>
    </row>
    <row r="51" spans="1:7" ht="14.6" x14ac:dyDescent="0.4">
      <c r="A51" s="8" t="s">
        <v>832</v>
      </c>
      <c r="B51" s="8" t="s">
        <v>578</v>
      </c>
      <c r="C51" s="8" t="s">
        <v>1569</v>
      </c>
      <c r="D51" s="8" t="s">
        <v>1580</v>
      </c>
      <c r="E51" s="8" t="s">
        <v>1581</v>
      </c>
      <c r="F51" s="8" t="s">
        <v>1805</v>
      </c>
      <c r="G51" s="8" t="s">
        <v>1806</v>
      </c>
    </row>
    <row r="52" spans="1:7" ht="14.6" x14ac:dyDescent="0.4">
      <c r="A52" s="8" t="s">
        <v>846</v>
      </c>
      <c r="B52" s="8" t="s">
        <v>160</v>
      </c>
      <c r="C52" s="8" t="s">
        <v>1568</v>
      </c>
      <c r="D52" s="8" t="s">
        <v>1584</v>
      </c>
      <c r="E52" s="8" t="s">
        <v>1581</v>
      </c>
      <c r="F52" s="53" t="s">
        <v>1807</v>
      </c>
      <c r="G52" s="54"/>
    </row>
    <row r="53" spans="1:7" ht="14.6" x14ac:dyDescent="0.4">
      <c r="A53" s="8" t="s">
        <v>853</v>
      </c>
      <c r="B53" s="8" t="s">
        <v>552</v>
      </c>
      <c r="C53" s="8" t="s">
        <v>1569</v>
      </c>
      <c r="D53" s="8" t="s">
        <v>1584</v>
      </c>
      <c r="E53" s="8" t="s">
        <v>1581</v>
      </c>
      <c r="F53" s="53" t="s">
        <v>1808</v>
      </c>
      <c r="G53" s="54"/>
    </row>
    <row r="54" spans="1:7" ht="14.6" x14ac:dyDescent="0.4">
      <c r="A54" s="8" t="s">
        <v>905</v>
      </c>
      <c r="B54" s="8" t="s">
        <v>221</v>
      </c>
      <c r="C54" s="8" t="s">
        <v>1566</v>
      </c>
      <c r="D54" s="8" t="s">
        <v>1580</v>
      </c>
      <c r="E54" s="8" t="s">
        <v>1581</v>
      </c>
      <c r="F54" s="8" t="s">
        <v>1809</v>
      </c>
      <c r="G54" s="8" t="s">
        <v>1810</v>
      </c>
    </row>
    <row r="55" spans="1:7" ht="14.6" x14ac:dyDescent="0.4">
      <c r="A55" s="8" t="s">
        <v>906</v>
      </c>
      <c r="B55" s="8" t="s">
        <v>182</v>
      </c>
      <c r="C55" s="8" t="s">
        <v>1570</v>
      </c>
      <c r="D55" s="8" t="s">
        <v>1580</v>
      </c>
      <c r="E55" s="8" t="s">
        <v>1581</v>
      </c>
      <c r="F55" s="8" t="s">
        <v>1811</v>
      </c>
      <c r="G55" s="8" t="s">
        <v>1812</v>
      </c>
    </row>
    <row r="56" spans="1:7" ht="14.6" x14ac:dyDescent="0.4">
      <c r="A56" s="8" t="s">
        <v>924</v>
      </c>
      <c r="B56" s="8" t="s">
        <v>694</v>
      </c>
      <c r="C56" s="8" t="s">
        <v>1569</v>
      </c>
      <c r="D56" s="8" t="s">
        <v>1580</v>
      </c>
      <c r="E56" s="8" t="s">
        <v>1768</v>
      </c>
      <c r="F56" s="16" t="s">
        <v>1813</v>
      </c>
      <c r="G56" s="8" t="s">
        <v>1814</v>
      </c>
    </row>
    <row r="57" spans="1:7" ht="14.6" x14ac:dyDescent="0.4">
      <c r="A57" s="8" t="s">
        <v>946</v>
      </c>
      <c r="B57" s="8" t="s">
        <v>93</v>
      </c>
      <c r="C57" s="8" t="s">
        <v>1573</v>
      </c>
      <c r="D57" s="8" t="s">
        <v>1584</v>
      </c>
      <c r="E57" s="8" t="s">
        <v>1581</v>
      </c>
      <c r="F57" s="53" t="s">
        <v>1815</v>
      </c>
      <c r="G57" s="54"/>
    </row>
    <row r="58" spans="1:7" ht="14.6" x14ac:dyDescent="0.4">
      <c r="A58" s="8" t="s">
        <v>958</v>
      </c>
      <c r="B58" s="8" t="s">
        <v>259</v>
      </c>
      <c r="C58" s="8" t="s">
        <v>1569</v>
      </c>
      <c r="D58" s="8" t="s">
        <v>1580</v>
      </c>
      <c r="E58" s="8" t="s">
        <v>1581</v>
      </c>
      <c r="F58" s="8" t="s">
        <v>1816</v>
      </c>
      <c r="G58" s="8" t="s">
        <v>1672</v>
      </c>
    </row>
    <row r="59" spans="1:7" ht="14.6" x14ac:dyDescent="0.4">
      <c r="A59" s="8" t="s">
        <v>964</v>
      </c>
      <c r="B59" s="8" t="s">
        <v>428</v>
      </c>
      <c r="C59" s="8" t="s">
        <v>1566</v>
      </c>
      <c r="D59" s="8" t="s">
        <v>1584</v>
      </c>
      <c r="E59" s="8" t="s">
        <v>1581</v>
      </c>
      <c r="F59" s="53" t="s">
        <v>1817</v>
      </c>
      <c r="G59" s="54"/>
    </row>
    <row r="60" spans="1:7" ht="14.6" x14ac:dyDescent="0.4">
      <c r="A60" s="8" t="s">
        <v>967</v>
      </c>
      <c r="B60" s="8" t="s">
        <v>252</v>
      </c>
      <c r="C60" s="8" t="s">
        <v>1569</v>
      </c>
      <c r="D60" s="8" t="s">
        <v>1580</v>
      </c>
      <c r="E60" s="8" t="s">
        <v>1768</v>
      </c>
      <c r="F60" s="16" t="s">
        <v>1818</v>
      </c>
      <c r="G60" s="8" t="s">
        <v>1819</v>
      </c>
    </row>
    <row r="61" spans="1:7" ht="14.6" x14ac:dyDescent="0.4">
      <c r="A61" s="8" t="s">
        <v>1042</v>
      </c>
      <c r="B61" s="8" t="s">
        <v>1038</v>
      </c>
      <c r="C61" s="8" t="s">
        <v>1569</v>
      </c>
      <c r="D61" s="8" t="s">
        <v>1580</v>
      </c>
      <c r="E61" s="8" t="s">
        <v>1585</v>
      </c>
      <c r="F61" s="8" t="s">
        <v>1820</v>
      </c>
      <c r="G61" s="8" t="s">
        <v>1821</v>
      </c>
    </row>
    <row r="62" spans="1:7" ht="14.6" x14ac:dyDescent="0.4">
      <c r="A62" s="8" t="s">
        <v>1061</v>
      </c>
      <c r="B62" s="8" t="s">
        <v>1062</v>
      </c>
      <c r="C62" s="8" t="s">
        <v>1569</v>
      </c>
      <c r="D62" s="8" t="s">
        <v>1580</v>
      </c>
      <c r="E62" s="8" t="s">
        <v>1581</v>
      </c>
      <c r="F62" s="8" t="s">
        <v>1822</v>
      </c>
      <c r="G62" s="8" t="s">
        <v>1823</v>
      </c>
    </row>
    <row r="63" spans="1:7" ht="14.6" x14ac:dyDescent="0.4">
      <c r="A63" s="8" t="s">
        <v>1071</v>
      </c>
      <c r="B63" s="8" t="s">
        <v>1047</v>
      </c>
      <c r="C63" s="8" t="s">
        <v>1570</v>
      </c>
      <c r="D63" s="8" t="s">
        <v>1584</v>
      </c>
      <c r="E63" s="8" t="s">
        <v>1581</v>
      </c>
      <c r="F63" s="53" t="s">
        <v>1824</v>
      </c>
      <c r="G63" s="54"/>
    </row>
    <row r="64" spans="1:7" ht="14.6" x14ac:dyDescent="0.4">
      <c r="A64" s="8" t="s">
        <v>1079</v>
      </c>
      <c r="B64" s="8" t="s">
        <v>1080</v>
      </c>
      <c r="C64" s="8" t="s">
        <v>1572</v>
      </c>
      <c r="D64" s="8" t="s">
        <v>1580</v>
      </c>
      <c r="E64" s="8" t="s">
        <v>1581</v>
      </c>
      <c r="F64" s="8" t="s">
        <v>1825</v>
      </c>
      <c r="G64" s="8" t="s">
        <v>1826</v>
      </c>
    </row>
    <row r="65" spans="1:7" ht="14.6" x14ac:dyDescent="0.4">
      <c r="A65" s="8" t="s">
        <v>1111</v>
      </c>
      <c r="B65" s="8" t="s">
        <v>1029</v>
      </c>
      <c r="C65" s="8" t="s">
        <v>1572</v>
      </c>
      <c r="D65" s="8" t="s">
        <v>1584</v>
      </c>
      <c r="E65" s="8" t="s">
        <v>1581</v>
      </c>
      <c r="F65" s="53" t="s">
        <v>1827</v>
      </c>
      <c r="G65" s="54"/>
    </row>
    <row r="66" spans="1:7" ht="14.6" x14ac:dyDescent="0.4">
      <c r="A66" s="8" t="s">
        <v>1133</v>
      </c>
      <c r="B66" s="8" t="s">
        <v>1080</v>
      </c>
      <c r="C66" s="8" t="s">
        <v>1572</v>
      </c>
      <c r="D66" s="8" t="s">
        <v>1580</v>
      </c>
      <c r="E66" s="8" t="s">
        <v>1581</v>
      </c>
      <c r="F66" s="8" t="s">
        <v>1825</v>
      </c>
      <c r="G66" s="8" t="s">
        <v>1826</v>
      </c>
    </row>
    <row r="67" spans="1:7" ht="14.6" x14ac:dyDescent="0.4">
      <c r="A67" s="8" t="s">
        <v>1136</v>
      </c>
      <c r="B67" s="8" t="s">
        <v>1074</v>
      </c>
      <c r="C67" s="8" t="s">
        <v>1569</v>
      </c>
      <c r="D67" s="8" t="s">
        <v>1580</v>
      </c>
      <c r="E67" s="8" t="s">
        <v>1585</v>
      </c>
      <c r="F67" s="8" t="s">
        <v>1828</v>
      </c>
      <c r="G67" s="8" t="s">
        <v>1829</v>
      </c>
    </row>
    <row r="68" spans="1:7" ht="14.6" x14ac:dyDescent="0.4">
      <c r="A68" s="8" t="s">
        <v>1184</v>
      </c>
      <c r="B68" s="8" t="s">
        <v>1183</v>
      </c>
      <c r="C68" s="8" t="s">
        <v>1569</v>
      </c>
      <c r="D68" s="8" t="s">
        <v>1580</v>
      </c>
      <c r="E68" s="8" t="s">
        <v>1581</v>
      </c>
      <c r="F68" s="8" t="s">
        <v>1830</v>
      </c>
      <c r="G68" s="8" t="s">
        <v>1831</v>
      </c>
    </row>
    <row r="69" spans="1:7" ht="14.6" x14ac:dyDescent="0.4">
      <c r="A69" s="8" t="s">
        <v>1186</v>
      </c>
      <c r="B69" s="8" t="s">
        <v>1167</v>
      </c>
      <c r="C69" s="8" t="s">
        <v>1574</v>
      </c>
      <c r="D69" s="8" t="s">
        <v>1580</v>
      </c>
      <c r="E69" s="8" t="s">
        <v>1585</v>
      </c>
      <c r="F69" s="8" t="s">
        <v>1832</v>
      </c>
      <c r="G69" s="8" t="s">
        <v>1833</v>
      </c>
    </row>
    <row r="70" spans="1:7" ht="14.6" x14ac:dyDescent="0.4">
      <c r="A70" s="8" t="s">
        <v>1199</v>
      </c>
      <c r="B70" s="8" t="s">
        <v>1200</v>
      </c>
      <c r="C70" s="8" t="s">
        <v>1570</v>
      </c>
      <c r="D70" s="8" t="s">
        <v>1580</v>
      </c>
      <c r="E70" s="8" t="s">
        <v>1581</v>
      </c>
      <c r="F70" s="8" t="s">
        <v>1834</v>
      </c>
      <c r="G70" s="8" t="s">
        <v>1835</v>
      </c>
    </row>
    <row r="71" spans="1:7" ht="14.6" x14ac:dyDescent="0.4">
      <c r="A71" s="8" t="s">
        <v>1207</v>
      </c>
      <c r="B71" s="8" t="s">
        <v>1156</v>
      </c>
      <c r="C71" s="8" t="s">
        <v>1570</v>
      </c>
      <c r="D71" s="8" t="s">
        <v>1584</v>
      </c>
      <c r="E71" s="8" t="s">
        <v>1581</v>
      </c>
      <c r="F71" s="53" t="s">
        <v>1836</v>
      </c>
      <c r="G71" s="54"/>
    </row>
    <row r="72" spans="1:7" ht="14.6" x14ac:dyDescent="0.4">
      <c r="A72" s="8" t="s">
        <v>1216</v>
      </c>
      <c r="B72" s="8" t="s">
        <v>1217</v>
      </c>
      <c r="C72" s="8" t="s">
        <v>1569</v>
      </c>
      <c r="D72" s="8" t="s">
        <v>1584</v>
      </c>
      <c r="E72" s="8" t="s">
        <v>1581</v>
      </c>
      <c r="F72" s="53" t="s">
        <v>1837</v>
      </c>
      <c r="G72" s="54"/>
    </row>
    <row r="73" spans="1:7" ht="14.6" x14ac:dyDescent="0.4">
      <c r="A73" s="8" t="s">
        <v>1253</v>
      </c>
      <c r="B73" s="8" t="s">
        <v>1169</v>
      </c>
      <c r="C73" s="8" t="s">
        <v>1569</v>
      </c>
      <c r="D73" s="8" t="s">
        <v>1580</v>
      </c>
      <c r="E73" s="8" t="s">
        <v>1581</v>
      </c>
      <c r="F73" s="8" t="s">
        <v>1838</v>
      </c>
      <c r="G73" s="8" t="s">
        <v>1839</v>
      </c>
    </row>
    <row r="74" spans="1:7" ht="14.6" x14ac:dyDescent="0.4">
      <c r="A74" s="8" t="s">
        <v>1255</v>
      </c>
      <c r="B74" s="8" t="s">
        <v>1256</v>
      </c>
      <c r="C74" s="8" t="s">
        <v>1575</v>
      </c>
      <c r="D74" s="8" t="s">
        <v>1580</v>
      </c>
      <c r="E74" s="8" t="s">
        <v>1581</v>
      </c>
      <c r="F74" s="8" t="s">
        <v>1840</v>
      </c>
      <c r="G74" s="8" t="s">
        <v>1841</v>
      </c>
    </row>
    <row r="75" spans="1:7" ht="14.6" x14ac:dyDescent="0.4">
      <c r="A75" s="8" t="s">
        <v>1274</v>
      </c>
      <c r="B75" s="8" t="s">
        <v>1258</v>
      </c>
      <c r="C75" s="8" t="s">
        <v>1570</v>
      </c>
      <c r="D75" s="8" t="s">
        <v>1580</v>
      </c>
      <c r="E75" s="8" t="s">
        <v>1581</v>
      </c>
      <c r="F75" s="8" t="s">
        <v>1842</v>
      </c>
      <c r="G75" s="8" t="s">
        <v>1843</v>
      </c>
    </row>
    <row r="76" spans="1:7" ht="14.6" x14ac:dyDescent="0.4">
      <c r="A76" s="8" t="s">
        <v>1280</v>
      </c>
      <c r="B76" s="8" t="s">
        <v>1268</v>
      </c>
      <c r="C76" s="8" t="s">
        <v>1569</v>
      </c>
      <c r="D76" s="8" t="s">
        <v>1584</v>
      </c>
      <c r="E76" s="8" t="s">
        <v>1581</v>
      </c>
      <c r="F76" s="53" t="s">
        <v>1844</v>
      </c>
      <c r="G76" s="54"/>
    </row>
    <row r="77" spans="1:7" ht="14.6" x14ac:dyDescent="0.4">
      <c r="A77" s="8" t="s">
        <v>1281</v>
      </c>
      <c r="B77" s="8" t="s">
        <v>1268</v>
      </c>
      <c r="C77" s="8" t="s">
        <v>1569</v>
      </c>
      <c r="D77" s="8" t="s">
        <v>1584</v>
      </c>
      <c r="E77" s="8" t="s">
        <v>1581</v>
      </c>
      <c r="F77" s="53" t="s">
        <v>1845</v>
      </c>
      <c r="G77" s="54"/>
    </row>
    <row r="78" spans="1:7" ht="14.6" x14ac:dyDescent="0.4">
      <c r="A78" s="8" t="s">
        <v>1284</v>
      </c>
      <c r="B78" s="8" t="s">
        <v>1268</v>
      </c>
      <c r="C78" s="8" t="s">
        <v>1569</v>
      </c>
      <c r="D78" s="8" t="s">
        <v>1584</v>
      </c>
      <c r="E78" s="8" t="s">
        <v>1581</v>
      </c>
      <c r="F78" s="53" t="s">
        <v>1846</v>
      </c>
      <c r="G78" s="54"/>
    </row>
    <row r="79" spans="1:7" ht="14.6" x14ac:dyDescent="0.4">
      <c r="A79" s="8" t="s">
        <v>1290</v>
      </c>
      <c r="B79" s="8" t="s">
        <v>1256</v>
      </c>
      <c r="C79" s="8" t="s">
        <v>1575</v>
      </c>
      <c r="D79" s="8" t="s">
        <v>1580</v>
      </c>
      <c r="E79" s="8" t="s">
        <v>1581</v>
      </c>
      <c r="F79" s="8" t="s">
        <v>1847</v>
      </c>
      <c r="G79" s="8" t="s">
        <v>1848</v>
      </c>
    </row>
    <row r="80" spans="1:7" ht="14.6" x14ac:dyDescent="0.4">
      <c r="A80" s="8" t="s">
        <v>1295</v>
      </c>
      <c r="B80" s="8" t="s">
        <v>1256</v>
      </c>
      <c r="C80" s="8" t="s">
        <v>1575</v>
      </c>
      <c r="D80" s="8" t="s">
        <v>1580</v>
      </c>
      <c r="E80" s="8" t="s">
        <v>1581</v>
      </c>
      <c r="F80" s="8" t="s">
        <v>1849</v>
      </c>
      <c r="G80" s="8" t="s">
        <v>1850</v>
      </c>
    </row>
    <row r="81" spans="1:7" ht="14.6" x14ac:dyDescent="0.4">
      <c r="A81" s="8" t="s">
        <v>1329</v>
      </c>
      <c r="B81" s="8" t="s">
        <v>1258</v>
      </c>
      <c r="C81" s="8" t="s">
        <v>1570</v>
      </c>
      <c r="D81" s="8" t="s">
        <v>1580</v>
      </c>
      <c r="E81" s="8" t="s">
        <v>1581</v>
      </c>
      <c r="F81" s="8" t="s">
        <v>1842</v>
      </c>
      <c r="G81" s="8" t="s">
        <v>1843</v>
      </c>
    </row>
  </sheetData>
  <mergeCells count="30">
    <mergeCell ref="F3:G3"/>
    <mergeCell ref="F9:G9"/>
    <mergeCell ref="F17:G17"/>
    <mergeCell ref="F19:G19"/>
    <mergeCell ref="F20:G20"/>
    <mergeCell ref="F21:G21"/>
    <mergeCell ref="F22:G22"/>
    <mergeCell ref="F25:G25"/>
    <mergeCell ref="F27:G27"/>
    <mergeCell ref="F28:G28"/>
    <mergeCell ref="F29:G29"/>
    <mergeCell ref="F32:G32"/>
    <mergeCell ref="F34:G34"/>
    <mergeCell ref="F37:G37"/>
    <mergeCell ref="F39:G39"/>
    <mergeCell ref="F44:G44"/>
    <mergeCell ref="F46:G46"/>
    <mergeCell ref="F47:G47"/>
    <mergeCell ref="F49:G49"/>
    <mergeCell ref="F52:G52"/>
    <mergeCell ref="F53:G53"/>
    <mergeCell ref="F77:G77"/>
    <mergeCell ref="F78:G78"/>
    <mergeCell ref="F57:G57"/>
    <mergeCell ref="F59:G59"/>
    <mergeCell ref="F63:G63"/>
    <mergeCell ref="F65:G65"/>
    <mergeCell ref="F71:G71"/>
    <mergeCell ref="F72:G72"/>
    <mergeCell ref="F76:G7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83"/>
  <sheetViews>
    <sheetView workbookViewId="0">
      <selection activeCell="J82" sqref="J82"/>
    </sheetView>
  </sheetViews>
  <sheetFormatPr defaultColWidth="12.61328125" defaultRowHeight="15.75" customHeight="1" x14ac:dyDescent="0.3"/>
  <cols>
    <col min="1" max="1" width="17" customWidth="1"/>
    <col min="2" max="2" width="15.84375" customWidth="1"/>
    <col min="3" max="3" width="23.3046875" customWidth="1"/>
    <col min="4" max="4" width="7.61328125" customWidth="1"/>
    <col min="5" max="5" width="11.3828125" customWidth="1"/>
    <col min="6" max="6" width="12.4609375" customWidth="1"/>
    <col min="7" max="7" width="19.15234375" customWidth="1"/>
    <col min="8" max="8" width="19.23046875" customWidth="1"/>
    <col min="9" max="9" width="16.3828125" customWidth="1"/>
    <col min="10" max="10" width="19.4609375" customWidth="1"/>
    <col min="11" max="11" width="17.84375" customWidth="1"/>
  </cols>
  <sheetData>
    <row r="1" spans="1:23" ht="15.75" customHeight="1" x14ac:dyDescent="0.4">
      <c r="A1" s="5" t="s">
        <v>0</v>
      </c>
      <c r="B1" s="6" t="s">
        <v>1851</v>
      </c>
      <c r="C1" s="1" t="s">
        <v>1852</v>
      </c>
      <c r="D1" s="1" t="s">
        <v>1853</v>
      </c>
      <c r="E1" s="1" t="s">
        <v>1854</v>
      </c>
      <c r="F1" s="1" t="s">
        <v>1855</v>
      </c>
      <c r="G1" s="1" t="s">
        <v>1856</v>
      </c>
      <c r="H1" s="1" t="s">
        <v>1857</v>
      </c>
      <c r="I1" s="1" t="s">
        <v>1858</v>
      </c>
      <c r="J1" s="1" t="s">
        <v>1859</v>
      </c>
      <c r="K1" s="1" t="s">
        <v>1860</v>
      </c>
      <c r="L1" s="1" t="s">
        <v>1861</v>
      </c>
      <c r="M1" s="2"/>
      <c r="N1" s="2"/>
      <c r="O1" s="2"/>
      <c r="P1" s="2"/>
      <c r="Q1" s="2"/>
      <c r="R1" s="2"/>
      <c r="S1" s="2"/>
      <c r="T1" s="2"/>
      <c r="U1" s="2"/>
      <c r="V1" s="2"/>
      <c r="W1" s="2"/>
    </row>
    <row r="2" spans="1:23" ht="15.75" customHeight="1" x14ac:dyDescent="0.4">
      <c r="A2" s="7" t="s">
        <v>61</v>
      </c>
      <c r="B2" s="8" t="s">
        <v>1522</v>
      </c>
      <c r="C2" s="3" t="s">
        <v>1522</v>
      </c>
      <c r="D2" s="3" t="s">
        <v>1522</v>
      </c>
      <c r="E2" s="3" t="s">
        <v>1862</v>
      </c>
      <c r="F2" s="10">
        <f t="shared" ref="F2:F81" si="0">IF(AND(B2="YES",C2="YES"),1,0)</f>
        <v>1</v>
      </c>
      <c r="G2" s="10">
        <f t="shared" ref="G2:G81" si="1">IF(AND(B2="NO",C2="NO"),1,0)</f>
        <v>0</v>
      </c>
      <c r="H2" s="10">
        <f t="shared" ref="H2:H81" si="2">IF(AND(B2="NO",C2="YES"),1,0)</f>
        <v>0</v>
      </c>
      <c r="I2" s="10">
        <f t="shared" ref="I2:I81" si="3">IF(AND(B2="YES",C2="NO"),1,0)</f>
        <v>0</v>
      </c>
    </row>
    <row r="3" spans="1:23" ht="15.75" customHeight="1" x14ac:dyDescent="0.4">
      <c r="A3" s="7" t="s">
        <v>102</v>
      </c>
      <c r="B3" s="8" t="s">
        <v>1522</v>
      </c>
      <c r="C3" s="3" t="s">
        <v>1520</v>
      </c>
      <c r="D3" s="3" t="s">
        <v>1520</v>
      </c>
      <c r="E3" s="3" t="s">
        <v>1863</v>
      </c>
      <c r="F3" s="10">
        <f t="shared" si="0"/>
        <v>0</v>
      </c>
      <c r="G3" s="10">
        <f t="shared" si="1"/>
        <v>0</v>
      </c>
      <c r="H3" s="10">
        <f t="shared" si="2"/>
        <v>0</v>
      </c>
      <c r="I3" s="10">
        <f t="shared" si="3"/>
        <v>1</v>
      </c>
    </row>
    <row r="4" spans="1:23" ht="15.75" customHeight="1" x14ac:dyDescent="0.4">
      <c r="A4" s="7" t="s">
        <v>111</v>
      </c>
      <c r="B4" s="4" t="s">
        <v>1520</v>
      </c>
      <c r="C4" s="3" t="s">
        <v>1522</v>
      </c>
      <c r="D4" s="3" t="s">
        <v>1520</v>
      </c>
      <c r="E4" s="3" t="s">
        <v>1864</v>
      </c>
      <c r="F4" s="10">
        <f t="shared" si="0"/>
        <v>0</v>
      </c>
      <c r="G4" s="10">
        <f t="shared" si="1"/>
        <v>0</v>
      </c>
      <c r="H4" s="10">
        <f t="shared" si="2"/>
        <v>1</v>
      </c>
      <c r="I4" s="10">
        <f t="shared" si="3"/>
        <v>0</v>
      </c>
    </row>
    <row r="5" spans="1:23" ht="15.75" customHeight="1" x14ac:dyDescent="0.4">
      <c r="A5" s="7" t="s">
        <v>115</v>
      </c>
      <c r="B5" s="8" t="s">
        <v>1522</v>
      </c>
      <c r="C5" s="3" t="s">
        <v>1522</v>
      </c>
      <c r="D5" s="3" t="s">
        <v>1522</v>
      </c>
      <c r="E5" s="3" t="s">
        <v>1862</v>
      </c>
      <c r="F5" s="10">
        <f t="shared" si="0"/>
        <v>1</v>
      </c>
      <c r="G5" s="10">
        <f t="shared" si="1"/>
        <v>0</v>
      </c>
      <c r="H5" s="10">
        <f t="shared" si="2"/>
        <v>0</v>
      </c>
      <c r="I5" s="10">
        <f t="shared" si="3"/>
        <v>0</v>
      </c>
    </row>
    <row r="6" spans="1:23" ht="15.75" customHeight="1" x14ac:dyDescent="0.4">
      <c r="A6" s="7" t="s">
        <v>125</v>
      </c>
      <c r="B6" s="8" t="s">
        <v>1520</v>
      </c>
      <c r="C6" s="3" t="s">
        <v>1522</v>
      </c>
      <c r="D6" s="3" t="s">
        <v>1520</v>
      </c>
      <c r="E6" s="3" t="s">
        <v>1864</v>
      </c>
      <c r="F6" s="10">
        <f t="shared" si="0"/>
        <v>0</v>
      </c>
      <c r="G6" s="10">
        <f t="shared" si="1"/>
        <v>0</v>
      </c>
      <c r="H6" s="10">
        <f t="shared" si="2"/>
        <v>1</v>
      </c>
      <c r="I6" s="10">
        <f t="shared" si="3"/>
        <v>0</v>
      </c>
    </row>
    <row r="7" spans="1:23" ht="15.75" customHeight="1" x14ac:dyDescent="0.4">
      <c r="A7" s="7" t="s">
        <v>150</v>
      </c>
      <c r="B7" s="8" t="s">
        <v>1520</v>
      </c>
      <c r="C7" s="3" t="s">
        <v>1522</v>
      </c>
      <c r="D7" s="3" t="s">
        <v>1520</v>
      </c>
      <c r="E7" s="3" t="s">
        <v>1864</v>
      </c>
      <c r="F7" s="10">
        <f t="shared" si="0"/>
        <v>0</v>
      </c>
      <c r="G7" s="10">
        <f t="shared" si="1"/>
        <v>0</v>
      </c>
      <c r="H7" s="10">
        <f t="shared" si="2"/>
        <v>1</v>
      </c>
      <c r="I7" s="10">
        <f t="shared" si="3"/>
        <v>0</v>
      </c>
    </row>
    <row r="8" spans="1:23" ht="15.75" customHeight="1" x14ac:dyDescent="0.4">
      <c r="A8" s="7" t="s">
        <v>179</v>
      </c>
      <c r="B8" s="8" t="s">
        <v>1522</v>
      </c>
      <c r="C8" s="3" t="s">
        <v>1522</v>
      </c>
      <c r="D8" s="3" t="s">
        <v>1522</v>
      </c>
      <c r="E8" s="3" t="s">
        <v>1862</v>
      </c>
      <c r="F8" s="10">
        <f t="shared" si="0"/>
        <v>1</v>
      </c>
      <c r="G8" s="10">
        <f t="shared" si="1"/>
        <v>0</v>
      </c>
      <c r="H8" s="10">
        <f t="shared" si="2"/>
        <v>0</v>
      </c>
      <c r="I8" s="10">
        <f t="shared" si="3"/>
        <v>0</v>
      </c>
    </row>
    <row r="9" spans="1:23" ht="15.75" customHeight="1" x14ac:dyDescent="0.4">
      <c r="A9" s="7" t="s">
        <v>198</v>
      </c>
      <c r="B9" s="8" t="s">
        <v>1520</v>
      </c>
      <c r="C9" s="3" t="s">
        <v>1520</v>
      </c>
      <c r="D9" s="3" t="s">
        <v>1522</v>
      </c>
      <c r="E9" s="3" t="s">
        <v>1865</v>
      </c>
      <c r="F9" s="10">
        <f t="shared" si="0"/>
        <v>0</v>
      </c>
      <c r="G9" s="10">
        <f t="shared" si="1"/>
        <v>1</v>
      </c>
      <c r="H9" s="10">
        <f t="shared" si="2"/>
        <v>0</v>
      </c>
      <c r="I9" s="10">
        <f t="shared" si="3"/>
        <v>0</v>
      </c>
    </row>
    <row r="10" spans="1:23" ht="15.75" customHeight="1" x14ac:dyDescent="0.4">
      <c r="A10" s="7" t="s">
        <v>1362</v>
      </c>
      <c r="B10" s="8" t="s">
        <v>1522</v>
      </c>
      <c r="C10" s="3" t="s">
        <v>1522</v>
      </c>
      <c r="D10" s="3" t="s">
        <v>1522</v>
      </c>
      <c r="E10" s="3" t="s">
        <v>1862</v>
      </c>
      <c r="F10" s="10">
        <f t="shared" si="0"/>
        <v>1</v>
      </c>
      <c r="G10" s="10">
        <f t="shared" si="1"/>
        <v>0</v>
      </c>
      <c r="H10" s="10">
        <f t="shared" si="2"/>
        <v>0</v>
      </c>
      <c r="I10" s="10">
        <f t="shared" si="3"/>
        <v>0</v>
      </c>
    </row>
    <row r="11" spans="1:23" ht="15.75" customHeight="1" x14ac:dyDescent="0.4">
      <c r="A11" s="7" t="s">
        <v>1413</v>
      </c>
      <c r="B11" s="8" t="s">
        <v>1520</v>
      </c>
      <c r="C11" s="3" t="s">
        <v>1522</v>
      </c>
      <c r="D11" s="3" t="s">
        <v>1520</v>
      </c>
      <c r="E11" s="3" t="s">
        <v>1864</v>
      </c>
      <c r="F11" s="10">
        <f t="shared" si="0"/>
        <v>0</v>
      </c>
      <c r="G11" s="10">
        <f t="shared" si="1"/>
        <v>0</v>
      </c>
      <c r="H11" s="10">
        <f t="shared" si="2"/>
        <v>1</v>
      </c>
      <c r="I11" s="10">
        <f t="shared" si="3"/>
        <v>0</v>
      </c>
    </row>
    <row r="12" spans="1:23" ht="15.75" customHeight="1" x14ac:dyDescent="0.4">
      <c r="A12" s="7" t="s">
        <v>1418</v>
      </c>
      <c r="B12" s="8" t="s">
        <v>1522</v>
      </c>
      <c r="C12" s="3" t="s">
        <v>1522</v>
      </c>
      <c r="D12" s="3" t="s">
        <v>1522</v>
      </c>
      <c r="E12" s="3" t="s">
        <v>1862</v>
      </c>
      <c r="F12" s="10">
        <f t="shared" si="0"/>
        <v>1</v>
      </c>
      <c r="G12" s="10">
        <f t="shared" si="1"/>
        <v>0</v>
      </c>
      <c r="H12" s="10">
        <f t="shared" si="2"/>
        <v>0</v>
      </c>
      <c r="I12" s="10">
        <f t="shared" si="3"/>
        <v>0</v>
      </c>
    </row>
    <row r="13" spans="1:23" ht="15.75" customHeight="1" x14ac:dyDescent="0.4">
      <c r="A13" s="7" t="s">
        <v>1426</v>
      </c>
      <c r="B13" s="8" t="s">
        <v>1520</v>
      </c>
      <c r="C13" s="3" t="s">
        <v>1522</v>
      </c>
      <c r="D13" s="3" t="s">
        <v>1520</v>
      </c>
      <c r="E13" s="3" t="s">
        <v>1864</v>
      </c>
      <c r="F13" s="10">
        <f t="shared" si="0"/>
        <v>0</v>
      </c>
      <c r="G13" s="10">
        <f t="shared" si="1"/>
        <v>0</v>
      </c>
      <c r="H13" s="10">
        <f t="shared" si="2"/>
        <v>1</v>
      </c>
      <c r="I13" s="10">
        <f t="shared" si="3"/>
        <v>0</v>
      </c>
    </row>
    <row r="14" spans="1:23" ht="15.75" customHeight="1" x14ac:dyDescent="0.4">
      <c r="A14" s="7" t="s">
        <v>1440</v>
      </c>
      <c r="B14" s="8" t="s">
        <v>1520</v>
      </c>
      <c r="C14" s="3" t="s">
        <v>1522</v>
      </c>
      <c r="D14" s="3" t="s">
        <v>1520</v>
      </c>
      <c r="E14" s="3" t="s">
        <v>1864</v>
      </c>
      <c r="F14" s="10">
        <f t="shared" si="0"/>
        <v>0</v>
      </c>
      <c r="G14" s="10">
        <f t="shared" si="1"/>
        <v>0</v>
      </c>
      <c r="H14" s="10">
        <f t="shared" si="2"/>
        <v>1</v>
      </c>
      <c r="I14" s="10">
        <f t="shared" si="3"/>
        <v>0</v>
      </c>
    </row>
    <row r="15" spans="1:23" ht="15.75" customHeight="1" x14ac:dyDescent="0.4">
      <c r="A15" s="7" t="s">
        <v>217</v>
      </c>
      <c r="B15" s="8" t="s">
        <v>1520</v>
      </c>
      <c r="C15" s="3" t="s">
        <v>1522</v>
      </c>
      <c r="D15" s="3" t="s">
        <v>1520</v>
      </c>
      <c r="E15" s="3" t="s">
        <v>1864</v>
      </c>
      <c r="F15" s="10">
        <f t="shared" si="0"/>
        <v>0</v>
      </c>
      <c r="G15" s="10">
        <f t="shared" si="1"/>
        <v>0</v>
      </c>
      <c r="H15" s="10">
        <f t="shared" si="2"/>
        <v>1</v>
      </c>
      <c r="I15" s="10">
        <f t="shared" si="3"/>
        <v>0</v>
      </c>
    </row>
    <row r="16" spans="1:23" ht="15.75" customHeight="1" x14ac:dyDescent="0.4">
      <c r="A16" s="7" t="s">
        <v>1443</v>
      </c>
      <c r="B16" s="8" t="s">
        <v>1520</v>
      </c>
      <c r="C16" s="3" t="s">
        <v>1522</v>
      </c>
      <c r="D16" s="3" t="s">
        <v>1520</v>
      </c>
      <c r="E16" s="3" t="s">
        <v>1864</v>
      </c>
      <c r="F16" s="10">
        <f t="shared" si="0"/>
        <v>0</v>
      </c>
      <c r="G16" s="10">
        <f t="shared" si="1"/>
        <v>0</v>
      </c>
      <c r="H16" s="10">
        <f t="shared" si="2"/>
        <v>1</v>
      </c>
      <c r="I16" s="10">
        <f t="shared" si="3"/>
        <v>0</v>
      </c>
    </row>
    <row r="17" spans="1:9" ht="15.75" customHeight="1" x14ac:dyDescent="0.4">
      <c r="A17" s="7" t="s">
        <v>1477</v>
      </c>
      <c r="B17" s="8" t="s">
        <v>1520</v>
      </c>
      <c r="C17" s="3" t="s">
        <v>1522</v>
      </c>
      <c r="D17" s="3" t="s">
        <v>1520</v>
      </c>
      <c r="E17" s="3" t="s">
        <v>1864</v>
      </c>
      <c r="F17" s="10">
        <f t="shared" si="0"/>
        <v>0</v>
      </c>
      <c r="G17" s="10">
        <f t="shared" si="1"/>
        <v>0</v>
      </c>
      <c r="H17" s="10">
        <f t="shared" si="2"/>
        <v>1</v>
      </c>
      <c r="I17" s="10">
        <f t="shared" si="3"/>
        <v>0</v>
      </c>
    </row>
    <row r="18" spans="1:9" ht="15.75" customHeight="1" x14ac:dyDescent="0.4">
      <c r="A18" s="7" t="s">
        <v>1479</v>
      </c>
      <c r="B18" s="8" t="s">
        <v>1520</v>
      </c>
      <c r="C18" s="3" t="s">
        <v>1522</v>
      </c>
      <c r="D18" s="3" t="s">
        <v>1520</v>
      </c>
      <c r="E18" s="3" t="s">
        <v>1864</v>
      </c>
      <c r="F18" s="10">
        <f t="shared" si="0"/>
        <v>0</v>
      </c>
      <c r="G18" s="10">
        <f t="shared" si="1"/>
        <v>0</v>
      </c>
      <c r="H18" s="10">
        <f t="shared" si="2"/>
        <v>1</v>
      </c>
      <c r="I18" s="10">
        <f t="shared" si="3"/>
        <v>0</v>
      </c>
    </row>
    <row r="19" spans="1:9" ht="15.75" customHeight="1" x14ac:dyDescent="0.4">
      <c r="A19" s="7" t="s">
        <v>1508</v>
      </c>
      <c r="B19" s="8" t="s">
        <v>1520</v>
      </c>
      <c r="C19" s="3" t="s">
        <v>1522</v>
      </c>
      <c r="D19" s="3" t="s">
        <v>1520</v>
      </c>
      <c r="E19" s="3" t="s">
        <v>1864</v>
      </c>
      <c r="F19" s="10">
        <f t="shared" si="0"/>
        <v>0</v>
      </c>
      <c r="G19" s="10">
        <f t="shared" si="1"/>
        <v>0</v>
      </c>
      <c r="H19" s="10">
        <f t="shared" si="2"/>
        <v>1</v>
      </c>
      <c r="I19" s="10">
        <f t="shared" si="3"/>
        <v>0</v>
      </c>
    </row>
    <row r="20" spans="1:9" ht="15.75" customHeight="1" x14ac:dyDescent="0.4">
      <c r="A20" s="7" t="s">
        <v>304</v>
      </c>
      <c r="B20" s="8" t="s">
        <v>1520</v>
      </c>
      <c r="C20" s="3" t="s">
        <v>1522</v>
      </c>
      <c r="D20" s="3" t="s">
        <v>1520</v>
      </c>
      <c r="E20" s="3" t="s">
        <v>1864</v>
      </c>
      <c r="F20" s="10">
        <f t="shared" si="0"/>
        <v>0</v>
      </c>
      <c r="G20" s="10">
        <f t="shared" si="1"/>
        <v>0</v>
      </c>
      <c r="H20" s="10">
        <f t="shared" si="2"/>
        <v>1</v>
      </c>
      <c r="I20" s="10">
        <f t="shared" si="3"/>
        <v>0</v>
      </c>
    </row>
    <row r="21" spans="1:9" ht="15.75" customHeight="1" x14ac:dyDescent="0.4">
      <c r="A21" s="7" t="s">
        <v>325</v>
      </c>
      <c r="B21" s="8" t="s">
        <v>1522</v>
      </c>
      <c r="C21" s="3" t="s">
        <v>1522</v>
      </c>
      <c r="D21" s="3" t="s">
        <v>1522</v>
      </c>
      <c r="E21" s="3" t="s">
        <v>1862</v>
      </c>
      <c r="F21" s="10">
        <f t="shared" si="0"/>
        <v>1</v>
      </c>
      <c r="G21" s="10">
        <f t="shared" si="1"/>
        <v>0</v>
      </c>
      <c r="H21" s="10">
        <f t="shared" si="2"/>
        <v>0</v>
      </c>
      <c r="I21" s="10">
        <f t="shared" si="3"/>
        <v>0</v>
      </c>
    </row>
    <row r="22" spans="1:9" ht="15.75" customHeight="1" x14ac:dyDescent="0.4">
      <c r="A22" s="7" t="s">
        <v>330</v>
      </c>
      <c r="B22" s="8" t="s">
        <v>1522</v>
      </c>
      <c r="C22" s="3" t="s">
        <v>1522</v>
      </c>
      <c r="D22" s="3" t="s">
        <v>1522</v>
      </c>
      <c r="E22" s="3" t="s">
        <v>1862</v>
      </c>
      <c r="F22" s="10">
        <f t="shared" si="0"/>
        <v>1</v>
      </c>
      <c r="G22" s="10">
        <f t="shared" si="1"/>
        <v>0</v>
      </c>
      <c r="H22" s="10">
        <f t="shared" si="2"/>
        <v>0</v>
      </c>
      <c r="I22" s="10">
        <f t="shared" si="3"/>
        <v>0</v>
      </c>
    </row>
    <row r="23" spans="1:9" ht="15.75" customHeight="1" x14ac:dyDescent="0.4">
      <c r="A23" s="7" t="s">
        <v>384</v>
      </c>
      <c r="B23" s="8" t="s">
        <v>1520</v>
      </c>
      <c r="C23" s="3" t="s">
        <v>1522</v>
      </c>
      <c r="D23" s="3" t="s">
        <v>1520</v>
      </c>
      <c r="E23" s="3" t="s">
        <v>1864</v>
      </c>
      <c r="F23" s="10">
        <f t="shared" si="0"/>
        <v>0</v>
      </c>
      <c r="G23" s="10">
        <f t="shared" si="1"/>
        <v>0</v>
      </c>
      <c r="H23" s="10">
        <f t="shared" si="2"/>
        <v>1</v>
      </c>
      <c r="I23" s="10">
        <f t="shared" si="3"/>
        <v>0</v>
      </c>
    </row>
    <row r="24" spans="1:9" ht="15.75" customHeight="1" x14ac:dyDescent="0.4">
      <c r="A24" s="7" t="s">
        <v>385</v>
      </c>
      <c r="B24" s="8" t="s">
        <v>1520</v>
      </c>
      <c r="C24" s="3" t="s">
        <v>1522</v>
      </c>
      <c r="D24" s="3" t="s">
        <v>1520</v>
      </c>
      <c r="E24" s="3" t="s">
        <v>1864</v>
      </c>
      <c r="F24" s="10">
        <f t="shared" si="0"/>
        <v>0</v>
      </c>
      <c r="G24" s="10">
        <f t="shared" si="1"/>
        <v>0</v>
      </c>
      <c r="H24" s="10">
        <f t="shared" si="2"/>
        <v>1</v>
      </c>
      <c r="I24" s="10">
        <f t="shared" si="3"/>
        <v>0</v>
      </c>
    </row>
    <row r="25" spans="1:9" ht="15.75" customHeight="1" x14ac:dyDescent="0.4">
      <c r="A25" s="7" t="s">
        <v>396</v>
      </c>
      <c r="B25" s="8" t="s">
        <v>1520</v>
      </c>
      <c r="C25" s="3" t="s">
        <v>1522</v>
      </c>
      <c r="D25" s="3" t="s">
        <v>1520</v>
      </c>
      <c r="E25" s="3" t="s">
        <v>1864</v>
      </c>
      <c r="F25" s="10">
        <f t="shared" si="0"/>
        <v>0</v>
      </c>
      <c r="G25" s="10">
        <f t="shared" si="1"/>
        <v>0</v>
      </c>
      <c r="H25" s="10">
        <f t="shared" si="2"/>
        <v>1</v>
      </c>
      <c r="I25" s="10">
        <f t="shared" si="3"/>
        <v>0</v>
      </c>
    </row>
    <row r="26" spans="1:9" ht="15.75" customHeight="1" x14ac:dyDescent="0.4">
      <c r="A26" s="7" t="s">
        <v>431</v>
      </c>
      <c r="B26" s="8" t="s">
        <v>1520</v>
      </c>
      <c r="C26" s="3" t="s">
        <v>1522</v>
      </c>
      <c r="D26" s="3" t="s">
        <v>1520</v>
      </c>
      <c r="E26" s="3" t="s">
        <v>1864</v>
      </c>
      <c r="F26" s="10">
        <f t="shared" si="0"/>
        <v>0</v>
      </c>
      <c r="G26" s="10">
        <f t="shared" si="1"/>
        <v>0</v>
      </c>
      <c r="H26" s="10">
        <f t="shared" si="2"/>
        <v>1</v>
      </c>
      <c r="I26" s="10">
        <f t="shared" si="3"/>
        <v>0</v>
      </c>
    </row>
    <row r="27" spans="1:9" ht="15.75" customHeight="1" x14ac:dyDescent="0.4">
      <c r="A27" s="7" t="s">
        <v>466</v>
      </c>
      <c r="B27" s="8" t="s">
        <v>1520</v>
      </c>
      <c r="C27" s="3" t="s">
        <v>1522</v>
      </c>
      <c r="D27" s="3" t="s">
        <v>1520</v>
      </c>
      <c r="E27" s="3" t="s">
        <v>1864</v>
      </c>
      <c r="F27" s="10">
        <f t="shared" si="0"/>
        <v>0</v>
      </c>
      <c r="G27" s="10">
        <f t="shared" si="1"/>
        <v>0</v>
      </c>
      <c r="H27" s="10">
        <f t="shared" si="2"/>
        <v>1</v>
      </c>
      <c r="I27" s="10">
        <f t="shared" si="3"/>
        <v>0</v>
      </c>
    </row>
    <row r="28" spans="1:9" ht="15.75" customHeight="1" x14ac:dyDescent="0.4">
      <c r="A28" s="7" t="s">
        <v>502</v>
      </c>
      <c r="B28" s="8" t="s">
        <v>1520</v>
      </c>
      <c r="C28" s="3" t="s">
        <v>1522</v>
      </c>
      <c r="D28" s="3" t="s">
        <v>1520</v>
      </c>
      <c r="E28" s="3" t="s">
        <v>1864</v>
      </c>
      <c r="F28" s="10">
        <f t="shared" si="0"/>
        <v>0</v>
      </c>
      <c r="G28" s="10">
        <f t="shared" si="1"/>
        <v>0</v>
      </c>
      <c r="H28" s="10">
        <f t="shared" si="2"/>
        <v>1</v>
      </c>
      <c r="I28" s="10">
        <f t="shared" si="3"/>
        <v>0</v>
      </c>
    </row>
    <row r="29" spans="1:9" ht="15.75" customHeight="1" x14ac:dyDescent="0.4">
      <c r="A29" s="7" t="s">
        <v>509</v>
      </c>
      <c r="B29" s="8" t="s">
        <v>1520</v>
      </c>
      <c r="C29" s="3" t="s">
        <v>1522</v>
      </c>
      <c r="D29" s="3" t="s">
        <v>1520</v>
      </c>
      <c r="E29" s="3" t="s">
        <v>1864</v>
      </c>
      <c r="F29" s="10">
        <f t="shared" si="0"/>
        <v>0</v>
      </c>
      <c r="G29" s="10">
        <f t="shared" si="1"/>
        <v>0</v>
      </c>
      <c r="H29" s="10">
        <f t="shared" si="2"/>
        <v>1</v>
      </c>
      <c r="I29" s="10">
        <f t="shared" si="3"/>
        <v>0</v>
      </c>
    </row>
    <row r="30" spans="1:9" ht="15.75" customHeight="1" x14ac:dyDescent="0.4">
      <c r="A30" s="7" t="s">
        <v>517</v>
      </c>
      <c r="B30" s="8" t="s">
        <v>1522</v>
      </c>
      <c r="C30" s="3" t="s">
        <v>1522</v>
      </c>
      <c r="D30" s="3" t="s">
        <v>1522</v>
      </c>
      <c r="E30" s="3" t="s">
        <v>1862</v>
      </c>
      <c r="F30" s="10">
        <f t="shared" si="0"/>
        <v>1</v>
      </c>
      <c r="G30" s="10">
        <f t="shared" si="1"/>
        <v>0</v>
      </c>
      <c r="H30" s="10">
        <f t="shared" si="2"/>
        <v>0</v>
      </c>
      <c r="I30" s="10">
        <f t="shared" si="3"/>
        <v>0</v>
      </c>
    </row>
    <row r="31" spans="1:9" ht="15.75" customHeight="1" x14ac:dyDescent="0.4">
      <c r="A31" s="7" t="s">
        <v>520</v>
      </c>
      <c r="B31" s="4" t="s">
        <v>1522</v>
      </c>
      <c r="C31" s="3" t="s">
        <v>1522</v>
      </c>
      <c r="D31" s="3" t="s">
        <v>1522</v>
      </c>
      <c r="E31" s="3" t="s">
        <v>1862</v>
      </c>
      <c r="F31" s="10">
        <f t="shared" si="0"/>
        <v>1</v>
      </c>
      <c r="G31" s="10">
        <f t="shared" si="1"/>
        <v>0</v>
      </c>
      <c r="H31" s="10">
        <f t="shared" si="2"/>
        <v>0</v>
      </c>
      <c r="I31" s="10">
        <f t="shared" si="3"/>
        <v>0</v>
      </c>
    </row>
    <row r="32" spans="1:9" ht="15.75" customHeight="1" x14ac:dyDescent="0.4">
      <c r="A32" s="7" t="s">
        <v>538</v>
      </c>
      <c r="B32" s="8" t="s">
        <v>1522</v>
      </c>
      <c r="C32" s="3" t="s">
        <v>1520</v>
      </c>
      <c r="D32" s="3" t="s">
        <v>1522</v>
      </c>
      <c r="E32" s="3" t="s">
        <v>1863</v>
      </c>
      <c r="F32" s="10">
        <f t="shared" si="0"/>
        <v>0</v>
      </c>
      <c r="G32" s="10">
        <f t="shared" si="1"/>
        <v>0</v>
      </c>
      <c r="H32" s="10">
        <f t="shared" si="2"/>
        <v>0</v>
      </c>
      <c r="I32" s="10">
        <f t="shared" si="3"/>
        <v>1</v>
      </c>
    </row>
    <row r="33" spans="1:9" ht="15.75" customHeight="1" x14ac:dyDescent="0.4">
      <c r="A33" s="7" t="s">
        <v>546</v>
      </c>
      <c r="B33" s="8" t="s">
        <v>1520</v>
      </c>
      <c r="C33" s="3" t="s">
        <v>1522</v>
      </c>
      <c r="D33" s="3" t="s">
        <v>1520</v>
      </c>
      <c r="E33" s="3" t="s">
        <v>1864</v>
      </c>
      <c r="F33" s="10">
        <f t="shared" si="0"/>
        <v>0</v>
      </c>
      <c r="G33" s="10">
        <f t="shared" si="1"/>
        <v>0</v>
      </c>
      <c r="H33" s="10">
        <f t="shared" si="2"/>
        <v>1</v>
      </c>
      <c r="I33" s="10">
        <f t="shared" si="3"/>
        <v>0</v>
      </c>
    </row>
    <row r="34" spans="1:9" ht="15.75" customHeight="1" x14ac:dyDescent="0.4">
      <c r="A34" s="7" t="s">
        <v>553</v>
      </c>
      <c r="B34" s="8" t="s">
        <v>1520</v>
      </c>
      <c r="C34" s="3" t="s">
        <v>1522</v>
      </c>
      <c r="D34" s="3" t="s">
        <v>1520</v>
      </c>
      <c r="E34" s="3" t="s">
        <v>1864</v>
      </c>
      <c r="F34" s="10">
        <f t="shared" si="0"/>
        <v>0</v>
      </c>
      <c r="G34" s="10">
        <f t="shared" si="1"/>
        <v>0</v>
      </c>
      <c r="H34" s="10">
        <f t="shared" si="2"/>
        <v>1</v>
      </c>
      <c r="I34" s="10">
        <f t="shared" si="3"/>
        <v>0</v>
      </c>
    </row>
    <row r="35" spans="1:9" ht="15.75" customHeight="1" x14ac:dyDescent="0.4">
      <c r="A35" s="7" t="s">
        <v>558</v>
      </c>
      <c r="B35" s="8" t="s">
        <v>1520</v>
      </c>
      <c r="C35" s="3" t="s">
        <v>1522</v>
      </c>
      <c r="D35" s="3" t="s">
        <v>1520</v>
      </c>
      <c r="E35" s="3" t="s">
        <v>1864</v>
      </c>
      <c r="F35" s="10">
        <f t="shared" si="0"/>
        <v>0</v>
      </c>
      <c r="G35" s="10">
        <f t="shared" si="1"/>
        <v>0</v>
      </c>
      <c r="H35" s="10">
        <f t="shared" si="2"/>
        <v>1</v>
      </c>
      <c r="I35" s="10">
        <f t="shared" si="3"/>
        <v>0</v>
      </c>
    </row>
    <row r="36" spans="1:9" ht="15.75" customHeight="1" x14ac:dyDescent="0.4">
      <c r="A36" s="7" t="s">
        <v>580</v>
      </c>
      <c r="B36" s="8" t="s">
        <v>1520</v>
      </c>
      <c r="C36" s="3" t="s">
        <v>1522</v>
      </c>
      <c r="D36" s="3" t="s">
        <v>1520</v>
      </c>
      <c r="E36" s="3" t="s">
        <v>1864</v>
      </c>
      <c r="F36" s="10">
        <f t="shared" si="0"/>
        <v>0</v>
      </c>
      <c r="G36" s="10">
        <f t="shared" si="1"/>
        <v>0</v>
      </c>
      <c r="H36" s="10">
        <f t="shared" si="2"/>
        <v>1</v>
      </c>
      <c r="I36" s="10">
        <f t="shared" si="3"/>
        <v>0</v>
      </c>
    </row>
    <row r="37" spans="1:9" ht="14.6" x14ac:dyDescent="0.4">
      <c r="A37" s="7" t="s">
        <v>630</v>
      </c>
      <c r="B37" s="8" t="s">
        <v>1520</v>
      </c>
      <c r="C37" s="3" t="s">
        <v>1520</v>
      </c>
      <c r="D37" s="3" t="s">
        <v>1522</v>
      </c>
      <c r="E37" s="3" t="s">
        <v>1865</v>
      </c>
      <c r="F37" s="10">
        <f t="shared" si="0"/>
        <v>0</v>
      </c>
      <c r="G37" s="10">
        <f t="shared" si="1"/>
        <v>1</v>
      </c>
      <c r="H37" s="10">
        <f t="shared" si="2"/>
        <v>0</v>
      </c>
      <c r="I37" s="10">
        <f t="shared" si="3"/>
        <v>0</v>
      </c>
    </row>
    <row r="38" spans="1:9" ht="14.6" x14ac:dyDescent="0.4">
      <c r="A38" s="7" t="s">
        <v>676</v>
      </c>
      <c r="B38" s="8" t="s">
        <v>1520</v>
      </c>
      <c r="C38" s="3" t="s">
        <v>1522</v>
      </c>
      <c r="D38" s="3" t="s">
        <v>1520</v>
      </c>
      <c r="E38" s="3" t="s">
        <v>1864</v>
      </c>
      <c r="F38" s="10">
        <f t="shared" si="0"/>
        <v>0</v>
      </c>
      <c r="G38" s="10">
        <f t="shared" si="1"/>
        <v>0</v>
      </c>
      <c r="H38" s="10">
        <f t="shared" si="2"/>
        <v>1</v>
      </c>
      <c r="I38" s="10">
        <f t="shared" si="3"/>
        <v>0</v>
      </c>
    </row>
    <row r="39" spans="1:9" ht="14.6" x14ac:dyDescent="0.4">
      <c r="A39" s="7" t="s">
        <v>689</v>
      </c>
      <c r="B39" s="8" t="s">
        <v>1520</v>
      </c>
      <c r="C39" s="3" t="s">
        <v>1520</v>
      </c>
      <c r="D39" s="3" t="s">
        <v>1522</v>
      </c>
      <c r="E39" s="3" t="s">
        <v>1865</v>
      </c>
      <c r="F39" s="10">
        <f t="shared" si="0"/>
        <v>0</v>
      </c>
      <c r="G39" s="10">
        <f t="shared" si="1"/>
        <v>1</v>
      </c>
      <c r="H39" s="10">
        <f t="shared" si="2"/>
        <v>0</v>
      </c>
      <c r="I39" s="10">
        <f t="shared" si="3"/>
        <v>0</v>
      </c>
    </row>
    <row r="40" spans="1:9" ht="14.6" x14ac:dyDescent="0.4">
      <c r="A40" s="7" t="s">
        <v>691</v>
      </c>
      <c r="B40" s="8" t="s">
        <v>1522</v>
      </c>
      <c r="C40" s="3" t="s">
        <v>1522</v>
      </c>
      <c r="D40" s="3" t="s">
        <v>1522</v>
      </c>
      <c r="E40" s="3" t="s">
        <v>1862</v>
      </c>
      <c r="F40" s="10">
        <f t="shared" si="0"/>
        <v>1</v>
      </c>
      <c r="G40" s="10">
        <f t="shared" si="1"/>
        <v>0</v>
      </c>
      <c r="H40" s="10">
        <f t="shared" si="2"/>
        <v>0</v>
      </c>
      <c r="I40" s="10">
        <f t="shared" si="3"/>
        <v>0</v>
      </c>
    </row>
    <row r="41" spans="1:9" ht="14.6" x14ac:dyDescent="0.4">
      <c r="A41" s="7" t="s">
        <v>711</v>
      </c>
      <c r="B41" s="8" t="s">
        <v>1520</v>
      </c>
      <c r="C41" s="3" t="s">
        <v>1522</v>
      </c>
      <c r="D41" s="3" t="s">
        <v>1520</v>
      </c>
      <c r="E41" s="3" t="s">
        <v>1864</v>
      </c>
      <c r="F41" s="10">
        <f t="shared" si="0"/>
        <v>0</v>
      </c>
      <c r="G41" s="10">
        <f t="shared" si="1"/>
        <v>0</v>
      </c>
      <c r="H41" s="10">
        <f t="shared" si="2"/>
        <v>1</v>
      </c>
      <c r="I41" s="10">
        <f t="shared" si="3"/>
        <v>0</v>
      </c>
    </row>
    <row r="42" spans="1:9" ht="14.6" x14ac:dyDescent="0.4">
      <c r="A42" s="7" t="s">
        <v>734</v>
      </c>
      <c r="B42" s="8" t="s">
        <v>1520</v>
      </c>
      <c r="C42" s="3" t="s">
        <v>1522</v>
      </c>
      <c r="D42" s="3" t="s">
        <v>1520</v>
      </c>
      <c r="E42" s="3" t="s">
        <v>1864</v>
      </c>
      <c r="F42" s="10">
        <f t="shared" si="0"/>
        <v>0</v>
      </c>
      <c r="G42" s="10">
        <f t="shared" si="1"/>
        <v>0</v>
      </c>
      <c r="H42" s="10">
        <f t="shared" si="2"/>
        <v>1</v>
      </c>
      <c r="I42" s="10">
        <f t="shared" si="3"/>
        <v>0</v>
      </c>
    </row>
    <row r="43" spans="1:9" ht="14.6" x14ac:dyDescent="0.4">
      <c r="A43" s="7" t="s">
        <v>752</v>
      </c>
      <c r="B43" s="8" t="s">
        <v>1522</v>
      </c>
      <c r="C43" s="3" t="s">
        <v>1522</v>
      </c>
      <c r="D43" s="3" t="s">
        <v>1522</v>
      </c>
      <c r="E43" s="3" t="s">
        <v>1862</v>
      </c>
      <c r="F43" s="10">
        <f t="shared" si="0"/>
        <v>1</v>
      </c>
      <c r="G43" s="10">
        <f t="shared" si="1"/>
        <v>0</v>
      </c>
      <c r="H43" s="10">
        <f t="shared" si="2"/>
        <v>0</v>
      </c>
      <c r="I43" s="10">
        <f t="shared" si="3"/>
        <v>0</v>
      </c>
    </row>
    <row r="44" spans="1:9" ht="14.6" x14ac:dyDescent="0.4">
      <c r="A44" s="7" t="s">
        <v>774</v>
      </c>
      <c r="B44" s="8" t="s">
        <v>1520</v>
      </c>
      <c r="C44" s="3" t="s">
        <v>1522</v>
      </c>
      <c r="D44" s="3" t="s">
        <v>1520</v>
      </c>
      <c r="E44" s="3" t="s">
        <v>1864</v>
      </c>
      <c r="F44" s="10">
        <f t="shared" si="0"/>
        <v>0</v>
      </c>
      <c r="G44" s="10">
        <f t="shared" si="1"/>
        <v>0</v>
      </c>
      <c r="H44" s="10">
        <f t="shared" si="2"/>
        <v>1</v>
      </c>
      <c r="I44" s="10">
        <f t="shared" si="3"/>
        <v>0</v>
      </c>
    </row>
    <row r="45" spans="1:9" ht="14.6" x14ac:dyDescent="0.4">
      <c r="A45" s="7" t="s">
        <v>781</v>
      </c>
      <c r="B45" s="8" t="s">
        <v>1520</v>
      </c>
      <c r="C45" s="3" t="s">
        <v>1522</v>
      </c>
      <c r="D45" s="3" t="s">
        <v>1520</v>
      </c>
      <c r="E45" s="3" t="s">
        <v>1864</v>
      </c>
      <c r="F45" s="10">
        <f t="shared" si="0"/>
        <v>0</v>
      </c>
      <c r="G45" s="10">
        <f t="shared" si="1"/>
        <v>0</v>
      </c>
      <c r="H45" s="10">
        <f t="shared" si="2"/>
        <v>1</v>
      </c>
      <c r="I45" s="10">
        <f t="shared" si="3"/>
        <v>0</v>
      </c>
    </row>
    <row r="46" spans="1:9" ht="14.6" x14ac:dyDescent="0.4">
      <c r="A46" s="7" t="s">
        <v>810</v>
      </c>
      <c r="B46" s="8" t="s">
        <v>1522</v>
      </c>
      <c r="C46" s="3" t="s">
        <v>1522</v>
      </c>
      <c r="D46" s="3" t="s">
        <v>1522</v>
      </c>
      <c r="E46" s="3" t="s">
        <v>1862</v>
      </c>
      <c r="F46" s="10">
        <f t="shared" si="0"/>
        <v>1</v>
      </c>
      <c r="G46" s="10">
        <f t="shared" si="1"/>
        <v>0</v>
      </c>
      <c r="H46" s="10">
        <f t="shared" si="2"/>
        <v>0</v>
      </c>
      <c r="I46" s="10">
        <f t="shared" si="3"/>
        <v>0</v>
      </c>
    </row>
    <row r="47" spans="1:9" ht="14.6" x14ac:dyDescent="0.4">
      <c r="A47" s="7" t="s">
        <v>812</v>
      </c>
      <c r="B47" s="8" t="s">
        <v>1520</v>
      </c>
      <c r="C47" s="3" t="s">
        <v>1522</v>
      </c>
      <c r="D47" s="3" t="s">
        <v>1520</v>
      </c>
      <c r="E47" s="3" t="s">
        <v>1864</v>
      </c>
      <c r="F47" s="10">
        <f t="shared" si="0"/>
        <v>0</v>
      </c>
      <c r="G47" s="10">
        <f t="shared" si="1"/>
        <v>0</v>
      </c>
      <c r="H47" s="10">
        <f t="shared" si="2"/>
        <v>1</v>
      </c>
      <c r="I47" s="10">
        <f t="shared" si="3"/>
        <v>0</v>
      </c>
    </row>
    <row r="48" spans="1:9" ht="14.6" x14ac:dyDescent="0.4">
      <c r="A48" s="7" t="s">
        <v>814</v>
      </c>
      <c r="B48" s="8" t="s">
        <v>1522</v>
      </c>
      <c r="C48" s="3" t="s">
        <v>1522</v>
      </c>
      <c r="D48" s="3" t="s">
        <v>1522</v>
      </c>
      <c r="E48" s="3" t="s">
        <v>1862</v>
      </c>
      <c r="F48" s="10">
        <f t="shared" si="0"/>
        <v>1</v>
      </c>
      <c r="G48" s="10">
        <f t="shared" si="1"/>
        <v>0</v>
      </c>
      <c r="H48" s="10">
        <f t="shared" si="2"/>
        <v>0</v>
      </c>
      <c r="I48" s="10">
        <f t="shared" si="3"/>
        <v>0</v>
      </c>
    </row>
    <row r="49" spans="1:9" ht="14.6" x14ac:dyDescent="0.4">
      <c r="A49" s="7" t="s">
        <v>820</v>
      </c>
      <c r="B49" s="8" t="s">
        <v>1522</v>
      </c>
      <c r="C49" s="3" t="s">
        <v>1522</v>
      </c>
      <c r="D49" s="3" t="s">
        <v>1522</v>
      </c>
      <c r="E49" s="3" t="s">
        <v>1862</v>
      </c>
      <c r="F49" s="10">
        <f t="shared" si="0"/>
        <v>1</v>
      </c>
      <c r="G49" s="10">
        <f t="shared" si="1"/>
        <v>0</v>
      </c>
      <c r="H49" s="10">
        <f t="shared" si="2"/>
        <v>0</v>
      </c>
      <c r="I49" s="10">
        <f t="shared" si="3"/>
        <v>0</v>
      </c>
    </row>
    <row r="50" spans="1:9" ht="14.6" x14ac:dyDescent="0.4">
      <c r="A50" s="7" t="s">
        <v>825</v>
      </c>
      <c r="B50" s="8" t="s">
        <v>1520</v>
      </c>
      <c r="C50" s="3" t="s">
        <v>1522</v>
      </c>
      <c r="D50" s="3" t="s">
        <v>1520</v>
      </c>
      <c r="E50" s="3" t="s">
        <v>1864</v>
      </c>
      <c r="F50" s="10">
        <f t="shared" si="0"/>
        <v>0</v>
      </c>
      <c r="G50" s="10">
        <f t="shared" si="1"/>
        <v>0</v>
      </c>
      <c r="H50" s="10">
        <f t="shared" si="2"/>
        <v>1</v>
      </c>
      <c r="I50" s="10">
        <f t="shared" si="3"/>
        <v>0</v>
      </c>
    </row>
    <row r="51" spans="1:9" ht="14.6" x14ac:dyDescent="0.4">
      <c r="A51" s="7" t="s">
        <v>832</v>
      </c>
      <c r="B51" s="8" t="s">
        <v>1520</v>
      </c>
      <c r="C51" s="3" t="s">
        <v>1522</v>
      </c>
      <c r="D51" s="3" t="s">
        <v>1520</v>
      </c>
      <c r="E51" s="3" t="s">
        <v>1864</v>
      </c>
      <c r="F51" s="10">
        <f t="shared" si="0"/>
        <v>0</v>
      </c>
      <c r="G51" s="10">
        <f t="shared" si="1"/>
        <v>0</v>
      </c>
      <c r="H51" s="10">
        <f t="shared" si="2"/>
        <v>1</v>
      </c>
      <c r="I51" s="10">
        <f t="shared" si="3"/>
        <v>0</v>
      </c>
    </row>
    <row r="52" spans="1:9" ht="14.6" x14ac:dyDescent="0.4">
      <c r="A52" s="7" t="s">
        <v>846</v>
      </c>
      <c r="B52" s="8" t="s">
        <v>1522</v>
      </c>
      <c r="C52" s="3" t="s">
        <v>1522</v>
      </c>
      <c r="D52" s="3" t="s">
        <v>1522</v>
      </c>
      <c r="E52" s="3" t="s">
        <v>1862</v>
      </c>
      <c r="F52" s="10">
        <f t="shared" si="0"/>
        <v>1</v>
      </c>
      <c r="G52" s="10">
        <f t="shared" si="1"/>
        <v>0</v>
      </c>
      <c r="H52" s="10">
        <f t="shared" si="2"/>
        <v>0</v>
      </c>
      <c r="I52" s="10">
        <f t="shared" si="3"/>
        <v>0</v>
      </c>
    </row>
    <row r="53" spans="1:9" ht="14.6" x14ac:dyDescent="0.4">
      <c r="A53" s="7" t="s">
        <v>853</v>
      </c>
      <c r="B53" s="8" t="s">
        <v>1520</v>
      </c>
      <c r="C53" s="3" t="s">
        <v>1522</v>
      </c>
      <c r="D53" s="3" t="s">
        <v>1520</v>
      </c>
      <c r="E53" s="3" t="s">
        <v>1864</v>
      </c>
      <c r="F53" s="10">
        <f t="shared" si="0"/>
        <v>0</v>
      </c>
      <c r="G53" s="10">
        <f t="shared" si="1"/>
        <v>0</v>
      </c>
      <c r="H53" s="10">
        <f t="shared" si="2"/>
        <v>1</v>
      </c>
      <c r="I53" s="10">
        <f t="shared" si="3"/>
        <v>0</v>
      </c>
    </row>
    <row r="54" spans="1:9" ht="14.6" x14ac:dyDescent="0.4">
      <c r="A54" s="7" t="s">
        <v>905</v>
      </c>
      <c r="B54" s="8" t="s">
        <v>1522</v>
      </c>
      <c r="C54" s="3" t="s">
        <v>1522</v>
      </c>
      <c r="D54" s="3" t="s">
        <v>1522</v>
      </c>
      <c r="E54" s="3" t="s">
        <v>1862</v>
      </c>
      <c r="F54" s="10">
        <f t="shared" si="0"/>
        <v>1</v>
      </c>
      <c r="G54" s="10">
        <f t="shared" si="1"/>
        <v>0</v>
      </c>
      <c r="H54" s="10">
        <f t="shared" si="2"/>
        <v>0</v>
      </c>
      <c r="I54" s="10">
        <f t="shared" si="3"/>
        <v>0</v>
      </c>
    </row>
    <row r="55" spans="1:9" ht="14.6" x14ac:dyDescent="0.4">
      <c r="A55" s="7" t="s">
        <v>906</v>
      </c>
      <c r="B55" s="8" t="s">
        <v>1520</v>
      </c>
      <c r="C55" s="3" t="s">
        <v>1522</v>
      </c>
      <c r="D55" s="3" t="s">
        <v>1520</v>
      </c>
      <c r="E55" s="3" t="s">
        <v>1864</v>
      </c>
      <c r="F55" s="10">
        <f t="shared" si="0"/>
        <v>0</v>
      </c>
      <c r="G55" s="10">
        <f t="shared" si="1"/>
        <v>0</v>
      </c>
      <c r="H55" s="10">
        <f t="shared" si="2"/>
        <v>1</v>
      </c>
      <c r="I55" s="10">
        <f t="shared" si="3"/>
        <v>0</v>
      </c>
    </row>
    <row r="56" spans="1:9" ht="14.6" x14ac:dyDescent="0.4">
      <c r="A56" s="7" t="s">
        <v>924</v>
      </c>
      <c r="B56" s="8" t="s">
        <v>1520</v>
      </c>
      <c r="C56" s="3" t="s">
        <v>1522</v>
      </c>
      <c r="D56" s="3" t="s">
        <v>1520</v>
      </c>
      <c r="E56" s="3" t="s">
        <v>1864</v>
      </c>
      <c r="F56" s="10">
        <f t="shared" si="0"/>
        <v>0</v>
      </c>
      <c r="G56" s="10">
        <f t="shared" si="1"/>
        <v>0</v>
      </c>
      <c r="H56" s="10">
        <f t="shared" si="2"/>
        <v>1</v>
      </c>
      <c r="I56" s="10">
        <f t="shared" si="3"/>
        <v>0</v>
      </c>
    </row>
    <row r="57" spans="1:9" ht="14.6" x14ac:dyDescent="0.4">
      <c r="A57" s="7" t="s">
        <v>946</v>
      </c>
      <c r="B57" s="8" t="s">
        <v>1522</v>
      </c>
      <c r="C57" s="3" t="s">
        <v>1522</v>
      </c>
      <c r="D57" s="3" t="s">
        <v>1522</v>
      </c>
      <c r="E57" s="3" t="s">
        <v>1862</v>
      </c>
      <c r="F57" s="10">
        <f t="shared" si="0"/>
        <v>1</v>
      </c>
      <c r="G57" s="10">
        <f t="shared" si="1"/>
        <v>0</v>
      </c>
      <c r="H57" s="10">
        <f t="shared" si="2"/>
        <v>0</v>
      </c>
      <c r="I57" s="10">
        <f t="shared" si="3"/>
        <v>0</v>
      </c>
    </row>
    <row r="58" spans="1:9" ht="14.6" x14ac:dyDescent="0.4">
      <c r="A58" s="7" t="s">
        <v>958</v>
      </c>
      <c r="B58" s="8" t="s">
        <v>1520</v>
      </c>
      <c r="C58" s="3" t="s">
        <v>1522</v>
      </c>
      <c r="D58" s="3" t="s">
        <v>1520</v>
      </c>
      <c r="E58" s="3" t="s">
        <v>1864</v>
      </c>
      <c r="F58" s="10">
        <f t="shared" si="0"/>
        <v>0</v>
      </c>
      <c r="G58" s="10">
        <f t="shared" si="1"/>
        <v>0</v>
      </c>
      <c r="H58" s="10">
        <f t="shared" si="2"/>
        <v>1</v>
      </c>
      <c r="I58" s="10">
        <f t="shared" si="3"/>
        <v>0</v>
      </c>
    </row>
    <row r="59" spans="1:9" ht="14.6" x14ac:dyDescent="0.4">
      <c r="A59" s="7" t="s">
        <v>964</v>
      </c>
      <c r="B59" s="8" t="s">
        <v>1520</v>
      </c>
      <c r="C59" s="3" t="s">
        <v>1520</v>
      </c>
      <c r="D59" s="3" t="s">
        <v>1522</v>
      </c>
      <c r="E59" s="3" t="s">
        <v>1865</v>
      </c>
      <c r="F59" s="10">
        <f t="shared" si="0"/>
        <v>0</v>
      </c>
      <c r="G59" s="10">
        <f t="shared" si="1"/>
        <v>1</v>
      </c>
      <c r="H59" s="10">
        <f t="shared" si="2"/>
        <v>0</v>
      </c>
      <c r="I59" s="10">
        <f t="shared" si="3"/>
        <v>0</v>
      </c>
    </row>
    <row r="60" spans="1:9" ht="14.6" x14ac:dyDescent="0.4">
      <c r="A60" s="7" t="s">
        <v>967</v>
      </c>
      <c r="B60" s="8" t="s">
        <v>1522</v>
      </c>
      <c r="C60" s="3" t="s">
        <v>1522</v>
      </c>
      <c r="D60" s="3" t="s">
        <v>1522</v>
      </c>
      <c r="E60" s="3" t="s">
        <v>1862</v>
      </c>
      <c r="F60" s="10">
        <f t="shared" si="0"/>
        <v>1</v>
      </c>
      <c r="G60" s="10">
        <f t="shared" si="1"/>
        <v>0</v>
      </c>
      <c r="H60" s="10">
        <f t="shared" si="2"/>
        <v>0</v>
      </c>
      <c r="I60" s="10">
        <f t="shared" si="3"/>
        <v>0</v>
      </c>
    </row>
    <row r="61" spans="1:9" ht="14.6" x14ac:dyDescent="0.4">
      <c r="A61" s="7" t="s">
        <v>1042</v>
      </c>
      <c r="B61" s="8" t="s">
        <v>1522</v>
      </c>
      <c r="C61" s="3" t="s">
        <v>1520</v>
      </c>
      <c r="D61" s="3" t="s">
        <v>1520</v>
      </c>
      <c r="E61" s="3" t="s">
        <v>1863</v>
      </c>
      <c r="F61" s="10">
        <f t="shared" si="0"/>
        <v>0</v>
      </c>
      <c r="G61" s="10">
        <f t="shared" si="1"/>
        <v>0</v>
      </c>
      <c r="H61" s="10">
        <f t="shared" si="2"/>
        <v>0</v>
      </c>
      <c r="I61" s="10">
        <f t="shared" si="3"/>
        <v>1</v>
      </c>
    </row>
    <row r="62" spans="1:9" ht="14.6" x14ac:dyDescent="0.4">
      <c r="A62" s="7" t="s">
        <v>1061</v>
      </c>
      <c r="B62" s="8" t="s">
        <v>1520</v>
      </c>
      <c r="C62" s="3" t="s">
        <v>1520</v>
      </c>
      <c r="D62" s="3" t="s">
        <v>1522</v>
      </c>
      <c r="E62" s="3" t="s">
        <v>1865</v>
      </c>
      <c r="F62" s="10">
        <f t="shared" si="0"/>
        <v>0</v>
      </c>
      <c r="G62" s="10">
        <f t="shared" si="1"/>
        <v>1</v>
      </c>
      <c r="H62" s="10">
        <f t="shared" si="2"/>
        <v>0</v>
      </c>
      <c r="I62" s="10">
        <f t="shared" si="3"/>
        <v>0</v>
      </c>
    </row>
    <row r="63" spans="1:9" ht="14.6" x14ac:dyDescent="0.4">
      <c r="A63" s="7" t="s">
        <v>1071</v>
      </c>
      <c r="B63" s="8" t="s">
        <v>1520</v>
      </c>
      <c r="C63" s="3" t="s">
        <v>1522</v>
      </c>
      <c r="D63" s="3" t="s">
        <v>1520</v>
      </c>
      <c r="E63" s="3" t="s">
        <v>1864</v>
      </c>
      <c r="F63" s="10">
        <f t="shared" si="0"/>
        <v>0</v>
      </c>
      <c r="G63" s="10">
        <f t="shared" si="1"/>
        <v>0</v>
      </c>
      <c r="H63" s="10">
        <f t="shared" si="2"/>
        <v>1</v>
      </c>
      <c r="I63" s="10">
        <f t="shared" si="3"/>
        <v>0</v>
      </c>
    </row>
    <row r="64" spans="1:9" ht="14.6" x14ac:dyDescent="0.4">
      <c r="A64" s="7" t="s">
        <v>1079</v>
      </c>
      <c r="B64" s="8" t="s">
        <v>1520</v>
      </c>
      <c r="C64" s="3" t="s">
        <v>1522</v>
      </c>
      <c r="D64" s="3" t="s">
        <v>1520</v>
      </c>
      <c r="E64" s="3" t="s">
        <v>1864</v>
      </c>
      <c r="F64" s="10">
        <f t="shared" si="0"/>
        <v>0</v>
      </c>
      <c r="G64" s="10">
        <f t="shared" si="1"/>
        <v>0</v>
      </c>
      <c r="H64" s="10">
        <f t="shared" si="2"/>
        <v>1</v>
      </c>
      <c r="I64" s="10">
        <f t="shared" si="3"/>
        <v>0</v>
      </c>
    </row>
    <row r="65" spans="1:9" ht="14.6" x14ac:dyDescent="0.4">
      <c r="A65" s="7" t="s">
        <v>1111</v>
      </c>
      <c r="B65" s="8" t="s">
        <v>1522</v>
      </c>
      <c r="C65" s="3" t="s">
        <v>1522</v>
      </c>
      <c r="D65" s="3" t="s">
        <v>1522</v>
      </c>
      <c r="E65" s="3" t="s">
        <v>1862</v>
      </c>
      <c r="F65" s="10">
        <f t="shared" si="0"/>
        <v>1</v>
      </c>
      <c r="G65" s="10">
        <f t="shared" si="1"/>
        <v>0</v>
      </c>
      <c r="H65" s="10">
        <f t="shared" si="2"/>
        <v>0</v>
      </c>
      <c r="I65" s="10">
        <f t="shared" si="3"/>
        <v>0</v>
      </c>
    </row>
    <row r="66" spans="1:9" ht="14.6" x14ac:dyDescent="0.4">
      <c r="A66" s="7" t="s">
        <v>1133</v>
      </c>
      <c r="B66" s="8" t="s">
        <v>1520</v>
      </c>
      <c r="C66" s="3" t="s">
        <v>1520</v>
      </c>
      <c r="D66" s="3" t="s">
        <v>1522</v>
      </c>
      <c r="E66" s="3" t="s">
        <v>1865</v>
      </c>
      <c r="F66" s="10">
        <f t="shared" si="0"/>
        <v>0</v>
      </c>
      <c r="G66" s="10">
        <f t="shared" si="1"/>
        <v>1</v>
      </c>
      <c r="H66" s="10">
        <f t="shared" si="2"/>
        <v>0</v>
      </c>
      <c r="I66" s="10">
        <f t="shared" si="3"/>
        <v>0</v>
      </c>
    </row>
    <row r="67" spans="1:9" ht="14.6" x14ac:dyDescent="0.4">
      <c r="A67" s="7" t="s">
        <v>1136</v>
      </c>
      <c r="B67" s="8" t="s">
        <v>1522</v>
      </c>
      <c r="C67" s="3" t="s">
        <v>1520</v>
      </c>
      <c r="D67" s="3" t="s">
        <v>1520</v>
      </c>
      <c r="E67" s="3" t="s">
        <v>1863</v>
      </c>
      <c r="F67" s="10">
        <f t="shared" si="0"/>
        <v>0</v>
      </c>
      <c r="G67" s="10">
        <f t="shared" si="1"/>
        <v>0</v>
      </c>
      <c r="H67" s="10">
        <f t="shared" si="2"/>
        <v>0</v>
      </c>
      <c r="I67" s="10">
        <f t="shared" si="3"/>
        <v>1</v>
      </c>
    </row>
    <row r="68" spans="1:9" ht="14.6" x14ac:dyDescent="0.4">
      <c r="A68" s="7" t="s">
        <v>1184</v>
      </c>
      <c r="B68" s="8" t="s">
        <v>1520</v>
      </c>
      <c r="C68" s="3" t="s">
        <v>1522</v>
      </c>
      <c r="D68" s="3" t="s">
        <v>1520</v>
      </c>
      <c r="E68" s="3" t="s">
        <v>1864</v>
      </c>
      <c r="F68" s="10">
        <f t="shared" si="0"/>
        <v>0</v>
      </c>
      <c r="G68" s="10">
        <f t="shared" si="1"/>
        <v>0</v>
      </c>
      <c r="H68" s="10">
        <f t="shared" si="2"/>
        <v>1</v>
      </c>
      <c r="I68" s="10">
        <f t="shared" si="3"/>
        <v>0</v>
      </c>
    </row>
    <row r="69" spans="1:9" ht="14.6" x14ac:dyDescent="0.4">
      <c r="A69" s="7" t="s">
        <v>1186</v>
      </c>
      <c r="B69" s="8" t="s">
        <v>1520</v>
      </c>
      <c r="C69" s="3" t="s">
        <v>1522</v>
      </c>
      <c r="D69" s="3" t="s">
        <v>1520</v>
      </c>
      <c r="E69" s="3" t="s">
        <v>1864</v>
      </c>
      <c r="F69" s="10">
        <f t="shared" si="0"/>
        <v>0</v>
      </c>
      <c r="G69" s="10">
        <f t="shared" si="1"/>
        <v>0</v>
      </c>
      <c r="H69" s="10">
        <f t="shared" si="2"/>
        <v>1</v>
      </c>
      <c r="I69" s="10">
        <f t="shared" si="3"/>
        <v>0</v>
      </c>
    </row>
    <row r="70" spans="1:9" ht="14.6" x14ac:dyDescent="0.4">
      <c r="A70" s="7" t="s">
        <v>1199</v>
      </c>
      <c r="B70" s="8" t="s">
        <v>1522</v>
      </c>
      <c r="C70" s="3" t="s">
        <v>1522</v>
      </c>
      <c r="D70" s="3" t="s">
        <v>1522</v>
      </c>
      <c r="E70" s="3" t="s">
        <v>1862</v>
      </c>
      <c r="F70" s="10">
        <f t="shared" si="0"/>
        <v>1</v>
      </c>
      <c r="G70" s="10">
        <f t="shared" si="1"/>
        <v>0</v>
      </c>
      <c r="H70" s="10">
        <f t="shared" si="2"/>
        <v>0</v>
      </c>
      <c r="I70" s="10">
        <f t="shared" si="3"/>
        <v>0</v>
      </c>
    </row>
    <row r="71" spans="1:9" ht="14.6" x14ac:dyDescent="0.4">
      <c r="A71" s="7" t="s">
        <v>1207</v>
      </c>
      <c r="B71" s="8" t="s">
        <v>1522</v>
      </c>
      <c r="C71" s="3" t="s">
        <v>1522</v>
      </c>
      <c r="D71" s="3" t="s">
        <v>1522</v>
      </c>
      <c r="E71" s="3" t="s">
        <v>1862</v>
      </c>
      <c r="F71" s="10">
        <f t="shared" si="0"/>
        <v>1</v>
      </c>
      <c r="G71" s="10">
        <f t="shared" si="1"/>
        <v>0</v>
      </c>
      <c r="H71" s="10">
        <f t="shared" si="2"/>
        <v>0</v>
      </c>
      <c r="I71" s="10">
        <f t="shared" si="3"/>
        <v>0</v>
      </c>
    </row>
    <row r="72" spans="1:9" ht="14.6" x14ac:dyDescent="0.4">
      <c r="A72" s="7" t="s">
        <v>1216</v>
      </c>
      <c r="B72" s="8" t="s">
        <v>1520</v>
      </c>
      <c r="C72" s="3" t="s">
        <v>1522</v>
      </c>
      <c r="D72" s="3" t="s">
        <v>1520</v>
      </c>
      <c r="E72" s="3" t="s">
        <v>1864</v>
      </c>
      <c r="F72" s="10">
        <f t="shared" si="0"/>
        <v>0</v>
      </c>
      <c r="G72" s="10">
        <f t="shared" si="1"/>
        <v>0</v>
      </c>
      <c r="H72" s="10">
        <f t="shared" si="2"/>
        <v>1</v>
      </c>
      <c r="I72" s="10">
        <f t="shared" si="3"/>
        <v>0</v>
      </c>
    </row>
    <row r="73" spans="1:9" ht="14.6" x14ac:dyDescent="0.4">
      <c r="A73" s="7" t="s">
        <v>1253</v>
      </c>
      <c r="B73" s="8" t="s">
        <v>1522</v>
      </c>
      <c r="C73" s="3" t="s">
        <v>1522</v>
      </c>
      <c r="D73" s="3" t="s">
        <v>1522</v>
      </c>
      <c r="E73" s="3" t="s">
        <v>1862</v>
      </c>
      <c r="F73" s="10">
        <f t="shared" si="0"/>
        <v>1</v>
      </c>
      <c r="G73" s="10">
        <f t="shared" si="1"/>
        <v>0</v>
      </c>
      <c r="H73" s="10">
        <f t="shared" si="2"/>
        <v>0</v>
      </c>
      <c r="I73" s="10">
        <f t="shared" si="3"/>
        <v>0</v>
      </c>
    </row>
    <row r="74" spans="1:9" ht="14.6" x14ac:dyDescent="0.4">
      <c r="A74" s="7" t="s">
        <v>1255</v>
      </c>
      <c r="B74" s="8" t="s">
        <v>1520</v>
      </c>
      <c r="C74" s="3" t="s">
        <v>1522</v>
      </c>
      <c r="D74" s="3" t="s">
        <v>1520</v>
      </c>
      <c r="E74" s="3" t="s">
        <v>1864</v>
      </c>
      <c r="F74" s="10">
        <f t="shared" si="0"/>
        <v>0</v>
      </c>
      <c r="G74" s="10">
        <f t="shared" si="1"/>
        <v>0</v>
      </c>
      <c r="H74" s="10">
        <f t="shared" si="2"/>
        <v>1</v>
      </c>
      <c r="I74" s="10">
        <f t="shared" si="3"/>
        <v>0</v>
      </c>
    </row>
    <row r="75" spans="1:9" ht="14.6" x14ac:dyDescent="0.4">
      <c r="A75" s="7" t="s">
        <v>1274</v>
      </c>
      <c r="B75" s="8" t="s">
        <v>1520</v>
      </c>
      <c r="C75" s="3" t="s">
        <v>1522</v>
      </c>
      <c r="D75" s="3" t="s">
        <v>1520</v>
      </c>
      <c r="E75" s="3" t="s">
        <v>1864</v>
      </c>
      <c r="F75" s="10">
        <f t="shared" si="0"/>
        <v>0</v>
      </c>
      <c r="G75" s="10">
        <f t="shared" si="1"/>
        <v>0</v>
      </c>
      <c r="H75" s="10">
        <f t="shared" si="2"/>
        <v>1</v>
      </c>
      <c r="I75" s="10">
        <f t="shared" si="3"/>
        <v>0</v>
      </c>
    </row>
    <row r="76" spans="1:9" ht="14.6" x14ac:dyDescent="0.4">
      <c r="A76" s="7" t="s">
        <v>1280</v>
      </c>
      <c r="B76" s="8" t="s">
        <v>1522</v>
      </c>
      <c r="C76" s="3" t="s">
        <v>1520</v>
      </c>
      <c r="D76" s="3" t="s">
        <v>1522</v>
      </c>
      <c r="E76" s="3" t="s">
        <v>1863</v>
      </c>
      <c r="F76" s="10">
        <f t="shared" si="0"/>
        <v>0</v>
      </c>
      <c r="G76" s="10">
        <f t="shared" si="1"/>
        <v>0</v>
      </c>
      <c r="H76" s="10">
        <f t="shared" si="2"/>
        <v>0</v>
      </c>
      <c r="I76" s="10">
        <f t="shared" si="3"/>
        <v>1</v>
      </c>
    </row>
    <row r="77" spans="1:9" ht="14.6" x14ac:dyDescent="0.4">
      <c r="A77" s="7" t="s">
        <v>1281</v>
      </c>
      <c r="B77" s="8" t="s">
        <v>1520</v>
      </c>
      <c r="C77" s="3" t="s">
        <v>1522</v>
      </c>
      <c r="D77" s="3" t="s">
        <v>1520</v>
      </c>
      <c r="E77" s="3" t="s">
        <v>1864</v>
      </c>
      <c r="F77" s="10">
        <f t="shared" si="0"/>
        <v>0</v>
      </c>
      <c r="G77" s="10">
        <f t="shared" si="1"/>
        <v>0</v>
      </c>
      <c r="H77" s="10">
        <f t="shared" si="2"/>
        <v>1</v>
      </c>
      <c r="I77" s="10">
        <f t="shared" si="3"/>
        <v>0</v>
      </c>
    </row>
    <row r="78" spans="1:9" ht="14.6" x14ac:dyDescent="0.4">
      <c r="A78" s="7" t="s">
        <v>1284</v>
      </c>
      <c r="B78" s="8" t="s">
        <v>1522</v>
      </c>
      <c r="C78" s="3" t="s">
        <v>1522</v>
      </c>
      <c r="D78" s="3" t="s">
        <v>1522</v>
      </c>
      <c r="E78" s="3" t="s">
        <v>1862</v>
      </c>
      <c r="F78" s="10">
        <f t="shared" si="0"/>
        <v>1</v>
      </c>
      <c r="G78" s="10">
        <f t="shared" si="1"/>
        <v>0</v>
      </c>
      <c r="H78" s="10">
        <f t="shared" si="2"/>
        <v>0</v>
      </c>
      <c r="I78" s="10">
        <f t="shared" si="3"/>
        <v>0</v>
      </c>
    </row>
    <row r="79" spans="1:9" ht="14.6" x14ac:dyDescent="0.4">
      <c r="A79" s="7" t="s">
        <v>1290</v>
      </c>
      <c r="B79" s="8" t="s">
        <v>1522</v>
      </c>
      <c r="C79" s="3" t="s">
        <v>1522</v>
      </c>
      <c r="D79" s="3" t="s">
        <v>1522</v>
      </c>
      <c r="E79" s="3" t="s">
        <v>1862</v>
      </c>
      <c r="F79" s="10">
        <f t="shared" si="0"/>
        <v>1</v>
      </c>
      <c r="G79" s="10">
        <f t="shared" si="1"/>
        <v>0</v>
      </c>
      <c r="H79" s="10">
        <f t="shared" si="2"/>
        <v>0</v>
      </c>
      <c r="I79" s="10">
        <f t="shared" si="3"/>
        <v>0</v>
      </c>
    </row>
    <row r="80" spans="1:9" ht="14.6" x14ac:dyDescent="0.4">
      <c r="A80" s="7" t="s">
        <v>1295</v>
      </c>
      <c r="B80" s="8" t="s">
        <v>1522</v>
      </c>
      <c r="C80" s="3" t="s">
        <v>1522</v>
      </c>
      <c r="D80" s="3" t="s">
        <v>1522</v>
      </c>
      <c r="E80" s="3" t="s">
        <v>1862</v>
      </c>
      <c r="F80" s="10">
        <f t="shared" si="0"/>
        <v>1</v>
      </c>
      <c r="G80" s="10">
        <f t="shared" si="1"/>
        <v>0</v>
      </c>
      <c r="H80" s="10">
        <f t="shared" si="2"/>
        <v>0</v>
      </c>
      <c r="I80" s="10">
        <f t="shared" si="3"/>
        <v>0</v>
      </c>
    </row>
    <row r="81" spans="1:23" ht="14.6" x14ac:dyDescent="0.4">
      <c r="A81" s="7" t="s">
        <v>1329</v>
      </c>
      <c r="B81" s="8" t="s">
        <v>1522</v>
      </c>
      <c r="C81" s="3" t="s">
        <v>1522</v>
      </c>
      <c r="D81" s="3" t="s">
        <v>1522</v>
      </c>
      <c r="E81" s="3" t="s">
        <v>1862</v>
      </c>
      <c r="F81" s="10">
        <f t="shared" si="0"/>
        <v>1</v>
      </c>
      <c r="G81" s="10">
        <f t="shared" si="1"/>
        <v>0</v>
      </c>
      <c r="H81" s="10">
        <f t="shared" si="2"/>
        <v>0</v>
      </c>
      <c r="I81" s="10">
        <f t="shared" si="3"/>
        <v>0</v>
      </c>
    </row>
    <row r="82" spans="1:23" ht="19.3" x14ac:dyDescent="0.5">
      <c r="A82" s="15"/>
      <c r="B82" s="15"/>
      <c r="C82" s="15"/>
      <c r="D82" s="15"/>
      <c r="E82" s="17" t="s">
        <v>1866</v>
      </c>
      <c r="F82" s="15">
        <f t="shared" ref="F82:I82" si="4">SUM(F2:F81)</f>
        <v>26</v>
      </c>
      <c r="G82" s="15">
        <f t="shared" si="4"/>
        <v>6</v>
      </c>
      <c r="H82" s="15">
        <f t="shared" si="4"/>
        <v>43</v>
      </c>
      <c r="I82" s="15">
        <f t="shared" si="4"/>
        <v>5</v>
      </c>
      <c r="J82" s="15">
        <f>F82/(F82+H82)</f>
        <v>0.37681159420289856</v>
      </c>
      <c r="K82" s="15">
        <f>F82/(F82+I82)</f>
        <v>0.83870967741935487</v>
      </c>
      <c r="L82" s="15">
        <f>2*(J82*K82)/(J82+K82)</f>
        <v>0.52</v>
      </c>
      <c r="M82" s="15"/>
      <c r="N82" s="15"/>
      <c r="O82" s="15"/>
      <c r="P82" s="15"/>
      <c r="Q82" s="15"/>
      <c r="R82" s="15"/>
      <c r="S82" s="15"/>
      <c r="T82" s="15"/>
      <c r="U82" s="15"/>
      <c r="V82" s="15"/>
      <c r="W82" s="15"/>
    </row>
    <row r="83" spans="1:23" ht="12.45" x14ac:dyDescent="0.3">
      <c r="A83" s="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83"/>
  <sheetViews>
    <sheetView topLeftCell="A55" workbookViewId="0"/>
  </sheetViews>
  <sheetFormatPr defaultColWidth="12.61328125" defaultRowHeight="15.75" customHeight="1" x14ac:dyDescent="0.3"/>
  <cols>
    <col min="1" max="1" width="17" customWidth="1"/>
    <col min="2" max="2" width="15.84375" customWidth="1"/>
    <col min="3" max="3" width="30.84375" customWidth="1"/>
    <col min="4" max="4" width="7.15234375" customWidth="1"/>
    <col min="5" max="5" width="16.23046875" customWidth="1"/>
    <col min="6" max="6" width="12.4609375" customWidth="1"/>
    <col min="7" max="7" width="19.15234375" customWidth="1"/>
    <col min="8" max="8" width="19.23046875" customWidth="1"/>
    <col min="9" max="9" width="16.3828125" customWidth="1"/>
    <col min="10" max="10" width="19.4609375" customWidth="1"/>
    <col min="11" max="11" width="17.84375" customWidth="1"/>
  </cols>
  <sheetData>
    <row r="1" spans="1:23" ht="15.75" customHeight="1" x14ac:dyDescent="0.4">
      <c r="A1" s="5" t="s">
        <v>0</v>
      </c>
      <c r="B1" s="6" t="s">
        <v>1851</v>
      </c>
      <c r="C1" s="1" t="s">
        <v>1867</v>
      </c>
      <c r="D1" s="1" t="s">
        <v>1853</v>
      </c>
      <c r="E1" s="1" t="s">
        <v>1854</v>
      </c>
      <c r="F1" s="1" t="s">
        <v>1855</v>
      </c>
      <c r="G1" s="1" t="s">
        <v>1856</v>
      </c>
      <c r="H1" s="1" t="s">
        <v>1857</v>
      </c>
      <c r="I1" s="1" t="s">
        <v>1858</v>
      </c>
      <c r="J1" s="1" t="s">
        <v>1859</v>
      </c>
      <c r="K1" s="1" t="s">
        <v>1860</v>
      </c>
      <c r="L1" s="1" t="s">
        <v>1861</v>
      </c>
      <c r="M1" s="2"/>
      <c r="N1" s="2"/>
      <c r="O1" s="2"/>
      <c r="P1" s="2"/>
      <c r="Q1" s="2"/>
      <c r="R1" s="2"/>
      <c r="S1" s="2"/>
      <c r="T1" s="2"/>
      <c r="U1" s="2"/>
      <c r="V1" s="2"/>
      <c r="W1" s="2"/>
    </row>
    <row r="2" spans="1:23" ht="15.75" customHeight="1" x14ac:dyDescent="0.4">
      <c r="A2" s="7" t="s">
        <v>61</v>
      </c>
      <c r="B2" s="8" t="s">
        <v>1522</v>
      </c>
      <c r="C2" s="8" t="s">
        <v>1522</v>
      </c>
      <c r="D2" s="3" t="s">
        <v>1522</v>
      </c>
      <c r="E2" s="3" t="s">
        <v>1862</v>
      </c>
      <c r="F2" s="10">
        <f t="shared" ref="F2:F81" si="0">IF(AND(B2="YES",C2="YES"),1,0)</f>
        <v>1</v>
      </c>
      <c r="G2" s="10">
        <f t="shared" ref="G2:G81" si="1">IF(AND(B2="NO",C2="NO"),1,0)</f>
        <v>0</v>
      </c>
      <c r="H2" s="10">
        <f t="shared" ref="H2:H81" si="2">IF(AND(B2="NO",C2="YES"),1,0)</f>
        <v>0</v>
      </c>
      <c r="I2" s="10">
        <f t="shared" ref="I2:I81" si="3">IF(AND(B2="YES",C2="NO"),1,0)</f>
        <v>0</v>
      </c>
    </row>
    <row r="3" spans="1:23" ht="15.75" customHeight="1" x14ac:dyDescent="0.4">
      <c r="A3" s="7" t="s">
        <v>102</v>
      </c>
      <c r="B3" s="8" t="s">
        <v>1522</v>
      </c>
      <c r="C3" s="8" t="s">
        <v>1520</v>
      </c>
      <c r="D3" s="3" t="s">
        <v>1520</v>
      </c>
      <c r="E3" s="3" t="s">
        <v>1863</v>
      </c>
      <c r="F3" s="10">
        <f t="shared" si="0"/>
        <v>0</v>
      </c>
      <c r="G3" s="10">
        <f t="shared" si="1"/>
        <v>0</v>
      </c>
      <c r="H3" s="10">
        <f t="shared" si="2"/>
        <v>0</v>
      </c>
      <c r="I3" s="10">
        <f t="shared" si="3"/>
        <v>1</v>
      </c>
    </row>
    <row r="4" spans="1:23" ht="15.75" customHeight="1" x14ac:dyDescent="0.4">
      <c r="A4" s="7" t="s">
        <v>111</v>
      </c>
      <c r="B4" s="4" t="s">
        <v>1520</v>
      </c>
      <c r="C4" s="8" t="s">
        <v>1522</v>
      </c>
      <c r="D4" s="3" t="s">
        <v>1520</v>
      </c>
      <c r="E4" s="3" t="s">
        <v>1864</v>
      </c>
      <c r="F4" s="10">
        <f t="shared" si="0"/>
        <v>0</v>
      </c>
      <c r="G4" s="10">
        <f t="shared" si="1"/>
        <v>0</v>
      </c>
      <c r="H4" s="10">
        <f t="shared" si="2"/>
        <v>1</v>
      </c>
      <c r="I4" s="10">
        <f t="shared" si="3"/>
        <v>0</v>
      </c>
    </row>
    <row r="5" spans="1:23" ht="15.75" customHeight="1" x14ac:dyDescent="0.4">
      <c r="A5" s="7" t="s">
        <v>115</v>
      </c>
      <c r="B5" s="8" t="s">
        <v>1522</v>
      </c>
      <c r="C5" s="8" t="s">
        <v>1522</v>
      </c>
      <c r="D5" s="3" t="s">
        <v>1522</v>
      </c>
      <c r="E5" s="3" t="s">
        <v>1862</v>
      </c>
      <c r="F5" s="10">
        <f t="shared" si="0"/>
        <v>1</v>
      </c>
      <c r="G5" s="10">
        <f t="shared" si="1"/>
        <v>0</v>
      </c>
      <c r="H5" s="10">
        <f t="shared" si="2"/>
        <v>0</v>
      </c>
      <c r="I5" s="10">
        <f t="shared" si="3"/>
        <v>0</v>
      </c>
    </row>
    <row r="6" spans="1:23" ht="15.75" customHeight="1" x14ac:dyDescent="0.4">
      <c r="A6" s="7" t="s">
        <v>125</v>
      </c>
      <c r="B6" s="8" t="s">
        <v>1520</v>
      </c>
      <c r="C6" s="8" t="s">
        <v>1522</v>
      </c>
      <c r="D6" s="3" t="s">
        <v>1520</v>
      </c>
      <c r="E6" s="3" t="s">
        <v>1864</v>
      </c>
      <c r="F6" s="10">
        <f t="shared" si="0"/>
        <v>0</v>
      </c>
      <c r="G6" s="10">
        <f t="shared" si="1"/>
        <v>0</v>
      </c>
      <c r="H6" s="10">
        <f t="shared" si="2"/>
        <v>1</v>
      </c>
      <c r="I6" s="10">
        <f t="shared" si="3"/>
        <v>0</v>
      </c>
    </row>
    <row r="7" spans="1:23" ht="15.75" customHeight="1" x14ac:dyDescent="0.4">
      <c r="A7" s="7" t="s">
        <v>150</v>
      </c>
      <c r="B7" s="8" t="s">
        <v>1520</v>
      </c>
      <c r="C7" s="8" t="s">
        <v>1522</v>
      </c>
      <c r="D7" s="3" t="s">
        <v>1520</v>
      </c>
      <c r="E7" s="3" t="s">
        <v>1864</v>
      </c>
      <c r="F7" s="10">
        <f t="shared" si="0"/>
        <v>0</v>
      </c>
      <c r="G7" s="10">
        <f t="shared" si="1"/>
        <v>0</v>
      </c>
      <c r="H7" s="10">
        <f t="shared" si="2"/>
        <v>1</v>
      </c>
      <c r="I7" s="10">
        <f t="shared" si="3"/>
        <v>0</v>
      </c>
    </row>
    <row r="8" spans="1:23" ht="15.75" customHeight="1" x14ac:dyDescent="0.4">
      <c r="A8" s="7" t="s">
        <v>179</v>
      </c>
      <c r="B8" s="8" t="s">
        <v>1522</v>
      </c>
      <c r="C8" s="8" t="s">
        <v>1522</v>
      </c>
      <c r="D8" s="3" t="s">
        <v>1522</v>
      </c>
      <c r="E8" s="3" t="s">
        <v>1862</v>
      </c>
      <c r="F8" s="10">
        <f t="shared" si="0"/>
        <v>1</v>
      </c>
      <c r="G8" s="10">
        <f t="shared" si="1"/>
        <v>0</v>
      </c>
      <c r="H8" s="10">
        <f t="shared" si="2"/>
        <v>0</v>
      </c>
      <c r="I8" s="10">
        <f t="shared" si="3"/>
        <v>0</v>
      </c>
    </row>
    <row r="9" spans="1:23" ht="15.75" customHeight="1" x14ac:dyDescent="0.4">
      <c r="A9" s="7" t="s">
        <v>198</v>
      </c>
      <c r="B9" s="8" t="s">
        <v>1520</v>
      </c>
      <c r="C9" s="8" t="s">
        <v>1520</v>
      </c>
      <c r="D9" s="3" t="s">
        <v>1522</v>
      </c>
      <c r="E9" s="3" t="s">
        <v>1865</v>
      </c>
      <c r="F9" s="10">
        <f t="shared" si="0"/>
        <v>0</v>
      </c>
      <c r="G9" s="10">
        <f t="shared" si="1"/>
        <v>1</v>
      </c>
      <c r="H9" s="10">
        <f t="shared" si="2"/>
        <v>0</v>
      </c>
      <c r="I9" s="10">
        <f t="shared" si="3"/>
        <v>0</v>
      </c>
    </row>
    <row r="10" spans="1:23" ht="15.75" customHeight="1" x14ac:dyDescent="0.4">
      <c r="A10" s="7" t="s">
        <v>1362</v>
      </c>
      <c r="B10" s="8" t="s">
        <v>1522</v>
      </c>
      <c r="C10" s="8" t="s">
        <v>1522</v>
      </c>
      <c r="D10" s="3" t="s">
        <v>1522</v>
      </c>
      <c r="E10" s="3" t="s">
        <v>1862</v>
      </c>
      <c r="F10" s="10">
        <f t="shared" si="0"/>
        <v>1</v>
      </c>
      <c r="G10" s="10">
        <f t="shared" si="1"/>
        <v>0</v>
      </c>
      <c r="H10" s="10">
        <f t="shared" si="2"/>
        <v>0</v>
      </c>
      <c r="I10" s="10">
        <f t="shared" si="3"/>
        <v>0</v>
      </c>
    </row>
    <row r="11" spans="1:23" ht="15.75" customHeight="1" x14ac:dyDescent="0.4">
      <c r="A11" s="7" t="s">
        <v>1413</v>
      </c>
      <c r="B11" s="8" t="s">
        <v>1520</v>
      </c>
      <c r="C11" s="8" t="s">
        <v>1522</v>
      </c>
      <c r="D11" s="3" t="s">
        <v>1520</v>
      </c>
      <c r="E11" s="3" t="s">
        <v>1864</v>
      </c>
      <c r="F11" s="10">
        <f t="shared" si="0"/>
        <v>0</v>
      </c>
      <c r="G11" s="10">
        <f t="shared" si="1"/>
        <v>0</v>
      </c>
      <c r="H11" s="10">
        <f t="shared" si="2"/>
        <v>1</v>
      </c>
      <c r="I11" s="10">
        <f t="shared" si="3"/>
        <v>0</v>
      </c>
    </row>
    <row r="12" spans="1:23" ht="15.75" customHeight="1" x14ac:dyDescent="0.4">
      <c r="A12" s="7" t="s">
        <v>1418</v>
      </c>
      <c r="B12" s="8" t="s">
        <v>1522</v>
      </c>
      <c r="C12" s="8" t="s">
        <v>1522</v>
      </c>
      <c r="D12" s="3" t="s">
        <v>1522</v>
      </c>
      <c r="E12" s="3" t="s">
        <v>1862</v>
      </c>
      <c r="F12" s="10">
        <f t="shared" si="0"/>
        <v>1</v>
      </c>
      <c r="G12" s="10">
        <f t="shared" si="1"/>
        <v>0</v>
      </c>
      <c r="H12" s="10">
        <f t="shared" si="2"/>
        <v>0</v>
      </c>
      <c r="I12" s="10">
        <f t="shared" si="3"/>
        <v>0</v>
      </c>
    </row>
    <row r="13" spans="1:23" ht="15.75" customHeight="1" x14ac:dyDescent="0.4">
      <c r="A13" s="7" t="s">
        <v>1426</v>
      </c>
      <c r="B13" s="8" t="s">
        <v>1520</v>
      </c>
      <c r="C13" s="8" t="s">
        <v>1522</v>
      </c>
      <c r="D13" s="3" t="s">
        <v>1520</v>
      </c>
      <c r="E13" s="3" t="s">
        <v>1864</v>
      </c>
      <c r="F13" s="10">
        <f t="shared" si="0"/>
        <v>0</v>
      </c>
      <c r="G13" s="10">
        <f t="shared" si="1"/>
        <v>0</v>
      </c>
      <c r="H13" s="10">
        <f t="shared" si="2"/>
        <v>1</v>
      </c>
      <c r="I13" s="10">
        <f t="shared" si="3"/>
        <v>0</v>
      </c>
    </row>
    <row r="14" spans="1:23" ht="15.75" customHeight="1" x14ac:dyDescent="0.4">
      <c r="A14" s="7" t="s">
        <v>1440</v>
      </c>
      <c r="B14" s="8" t="s">
        <v>1520</v>
      </c>
      <c r="C14" s="8" t="s">
        <v>1522</v>
      </c>
      <c r="D14" s="3" t="s">
        <v>1520</v>
      </c>
      <c r="E14" s="3" t="s">
        <v>1864</v>
      </c>
      <c r="F14" s="10">
        <f t="shared" si="0"/>
        <v>0</v>
      </c>
      <c r="G14" s="10">
        <f t="shared" si="1"/>
        <v>0</v>
      </c>
      <c r="H14" s="10">
        <f t="shared" si="2"/>
        <v>1</v>
      </c>
      <c r="I14" s="10">
        <f t="shared" si="3"/>
        <v>0</v>
      </c>
    </row>
    <row r="15" spans="1:23" ht="15.75" customHeight="1" x14ac:dyDescent="0.4">
      <c r="A15" s="7" t="s">
        <v>217</v>
      </c>
      <c r="B15" s="8" t="s">
        <v>1520</v>
      </c>
      <c r="C15" s="8" t="s">
        <v>1522</v>
      </c>
      <c r="D15" s="3" t="s">
        <v>1520</v>
      </c>
      <c r="E15" s="3" t="s">
        <v>1864</v>
      </c>
      <c r="F15" s="10">
        <f t="shared" si="0"/>
        <v>0</v>
      </c>
      <c r="G15" s="10">
        <f t="shared" si="1"/>
        <v>0</v>
      </c>
      <c r="H15" s="10">
        <f t="shared" si="2"/>
        <v>1</v>
      </c>
      <c r="I15" s="10">
        <f t="shared" si="3"/>
        <v>0</v>
      </c>
    </row>
    <row r="16" spans="1:23" ht="15.75" customHeight="1" x14ac:dyDescent="0.4">
      <c r="A16" s="7" t="s">
        <v>1443</v>
      </c>
      <c r="B16" s="8" t="s">
        <v>1520</v>
      </c>
      <c r="C16" s="8" t="s">
        <v>1522</v>
      </c>
      <c r="D16" s="3" t="s">
        <v>1520</v>
      </c>
      <c r="E16" s="3" t="s">
        <v>1864</v>
      </c>
      <c r="F16" s="10">
        <f t="shared" si="0"/>
        <v>0</v>
      </c>
      <c r="G16" s="10">
        <f t="shared" si="1"/>
        <v>0</v>
      </c>
      <c r="H16" s="10">
        <f t="shared" si="2"/>
        <v>1</v>
      </c>
      <c r="I16" s="10">
        <f t="shared" si="3"/>
        <v>0</v>
      </c>
    </row>
    <row r="17" spans="1:9" ht="15.75" customHeight="1" x14ac:dyDescent="0.4">
      <c r="A17" s="7" t="s">
        <v>1477</v>
      </c>
      <c r="B17" s="8" t="s">
        <v>1520</v>
      </c>
      <c r="C17" s="8" t="s">
        <v>1520</v>
      </c>
      <c r="D17" s="3" t="s">
        <v>1522</v>
      </c>
      <c r="E17" s="3" t="s">
        <v>1864</v>
      </c>
      <c r="F17" s="10">
        <f t="shared" si="0"/>
        <v>0</v>
      </c>
      <c r="G17" s="10">
        <f t="shared" si="1"/>
        <v>1</v>
      </c>
      <c r="H17" s="10">
        <f t="shared" si="2"/>
        <v>0</v>
      </c>
      <c r="I17" s="10">
        <f t="shared" si="3"/>
        <v>0</v>
      </c>
    </row>
    <row r="18" spans="1:9" ht="15.75" customHeight="1" x14ac:dyDescent="0.4">
      <c r="A18" s="7" t="s">
        <v>1479</v>
      </c>
      <c r="B18" s="8" t="s">
        <v>1520</v>
      </c>
      <c r="C18" s="8" t="s">
        <v>1522</v>
      </c>
      <c r="D18" s="3" t="s">
        <v>1520</v>
      </c>
      <c r="E18" s="3" t="s">
        <v>1864</v>
      </c>
      <c r="F18" s="10">
        <f t="shared" si="0"/>
        <v>0</v>
      </c>
      <c r="G18" s="10">
        <f t="shared" si="1"/>
        <v>0</v>
      </c>
      <c r="H18" s="10">
        <f t="shared" si="2"/>
        <v>1</v>
      </c>
      <c r="I18" s="10">
        <f t="shared" si="3"/>
        <v>0</v>
      </c>
    </row>
    <row r="19" spans="1:9" ht="15.75" customHeight="1" x14ac:dyDescent="0.4">
      <c r="A19" s="7" t="s">
        <v>1508</v>
      </c>
      <c r="B19" s="8" t="s">
        <v>1520</v>
      </c>
      <c r="C19" s="8" t="s">
        <v>1520</v>
      </c>
      <c r="D19" s="3" t="s">
        <v>1522</v>
      </c>
      <c r="E19" s="3" t="s">
        <v>1864</v>
      </c>
      <c r="F19" s="10">
        <f t="shared" si="0"/>
        <v>0</v>
      </c>
      <c r="G19" s="10">
        <f t="shared" si="1"/>
        <v>1</v>
      </c>
      <c r="H19" s="10">
        <f t="shared" si="2"/>
        <v>0</v>
      </c>
      <c r="I19" s="10">
        <f t="shared" si="3"/>
        <v>0</v>
      </c>
    </row>
    <row r="20" spans="1:9" ht="15.75" customHeight="1" x14ac:dyDescent="0.4">
      <c r="A20" s="7" t="s">
        <v>304</v>
      </c>
      <c r="B20" s="8" t="s">
        <v>1520</v>
      </c>
      <c r="C20" s="8" t="s">
        <v>1520</v>
      </c>
      <c r="D20" s="3" t="s">
        <v>1522</v>
      </c>
      <c r="E20" s="3" t="s">
        <v>1864</v>
      </c>
      <c r="F20" s="10">
        <f t="shared" si="0"/>
        <v>0</v>
      </c>
      <c r="G20" s="10">
        <f t="shared" si="1"/>
        <v>1</v>
      </c>
      <c r="H20" s="10">
        <f t="shared" si="2"/>
        <v>0</v>
      </c>
      <c r="I20" s="10">
        <f t="shared" si="3"/>
        <v>0</v>
      </c>
    </row>
    <row r="21" spans="1:9" ht="15.75" customHeight="1" x14ac:dyDescent="0.4">
      <c r="A21" s="7" t="s">
        <v>325</v>
      </c>
      <c r="B21" s="8" t="s">
        <v>1522</v>
      </c>
      <c r="C21" s="8" t="s">
        <v>1520</v>
      </c>
      <c r="D21" s="3" t="s">
        <v>1520</v>
      </c>
      <c r="E21" s="3" t="s">
        <v>1862</v>
      </c>
      <c r="F21" s="10">
        <f t="shared" si="0"/>
        <v>0</v>
      </c>
      <c r="G21" s="10">
        <f t="shared" si="1"/>
        <v>0</v>
      </c>
      <c r="H21" s="10">
        <f t="shared" si="2"/>
        <v>0</v>
      </c>
      <c r="I21" s="10">
        <f t="shared" si="3"/>
        <v>1</v>
      </c>
    </row>
    <row r="22" spans="1:9" ht="15.75" customHeight="1" x14ac:dyDescent="0.4">
      <c r="A22" s="7" t="s">
        <v>330</v>
      </c>
      <c r="B22" s="8" t="s">
        <v>1522</v>
      </c>
      <c r="C22" s="8" t="s">
        <v>1520</v>
      </c>
      <c r="D22" s="3" t="s">
        <v>1520</v>
      </c>
      <c r="E22" s="3" t="s">
        <v>1862</v>
      </c>
      <c r="F22" s="10">
        <f t="shared" si="0"/>
        <v>0</v>
      </c>
      <c r="G22" s="10">
        <f t="shared" si="1"/>
        <v>0</v>
      </c>
      <c r="H22" s="10">
        <f t="shared" si="2"/>
        <v>0</v>
      </c>
      <c r="I22" s="10">
        <f t="shared" si="3"/>
        <v>1</v>
      </c>
    </row>
    <row r="23" spans="1:9" ht="15.75" customHeight="1" x14ac:dyDescent="0.4">
      <c r="A23" s="7" t="s">
        <v>384</v>
      </c>
      <c r="B23" s="8" t="s">
        <v>1520</v>
      </c>
      <c r="C23" s="8" t="s">
        <v>1522</v>
      </c>
      <c r="D23" s="3" t="s">
        <v>1520</v>
      </c>
      <c r="E23" s="3" t="s">
        <v>1864</v>
      </c>
      <c r="F23" s="10">
        <f t="shared" si="0"/>
        <v>0</v>
      </c>
      <c r="G23" s="10">
        <f t="shared" si="1"/>
        <v>0</v>
      </c>
      <c r="H23" s="10">
        <f t="shared" si="2"/>
        <v>1</v>
      </c>
      <c r="I23" s="10">
        <f t="shared" si="3"/>
        <v>0</v>
      </c>
    </row>
    <row r="24" spans="1:9" ht="15.75" customHeight="1" x14ac:dyDescent="0.4">
      <c r="A24" s="7" t="s">
        <v>385</v>
      </c>
      <c r="B24" s="8" t="s">
        <v>1520</v>
      </c>
      <c r="C24" s="8" t="s">
        <v>1522</v>
      </c>
      <c r="D24" s="3" t="s">
        <v>1520</v>
      </c>
      <c r="E24" s="3" t="s">
        <v>1864</v>
      </c>
      <c r="F24" s="10">
        <f t="shared" si="0"/>
        <v>0</v>
      </c>
      <c r="G24" s="10">
        <f t="shared" si="1"/>
        <v>0</v>
      </c>
      <c r="H24" s="10">
        <f t="shared" si="2"/>
        <v>1</v>
      </c>
      <c r="I24" s="10">
        <f t="shared" si="3"/>
        <v>0</v>
      </c>
    </row>
    <row r="25" spans="1:9" ht="15.75" customHeight="1" x14ac:dyDescent="0.4">
      <c r="A25" s="7" t="s">
        <v>396</v>
      </c>
      <c r="B25" s="8" t="s">
        <v>1520</v>
      </c>
      <c r="C25" s="8" t="s">
        <v>1520</v>
      </c>
      <c r="D25" s="3" t="s">
        <v>1522</v>
      </c>
      <c r="E25" s="3" t="s">
        <v>1864</v>
      </c>
      <c r="F25" s="10">
        <f t="shared" si="0"/>
        <v>0</v>
      </c>
      <c r="G25" s="10">
        <f t="shared" si="1"/>
        <v>1</v>
      </c>
      <c r="H25" s="10">
        <f t="shared" si="2"/>
        <v>0</v>
      </c>
      <c r="I25" s="10">
        <f t="shared" si="3"/>
        <v>0</v>
      </c>
    </row>
    <row r="26" spans="1:9" ht="15.75" customHeight="1" x14ac:dyDescent="0.4">
      <c r="A26" s="7" t="s">
        <v>431</v>
      </c>
      <c r="B26" s="8" t="s">
        <v>1520</v>
      </c>
      <c r="C26" s="8" t="s">
        <v>1522</v>
      </c>
      <c r="D26" s="3" t="s">
        <v>1520</v>
      </c>
      <c r="E26" s="3" t="s">
        <v>1864</v>
      </c>
      <c r="F26" s="10">
        <f t="shared" si="0"/>
        <v>0</v>
      </c>
      <c r="G26" s="10">
        <f t="shared" si="1"/>
        <v>0</v>
      </c>
      <c r="H26" s="10">
        <f t="shared" si="2"/>
        <v>1</v>
      </c>
      <c r="I26" s="10">
        <f t="shared" si="3"/>
        <v>0</v>
      </c>
    </row>
    <row r="27" spans="1:9" ht="15.75" customHeight="1" x14ac:dyDescent="0.4">
      <c r="A27" s="7" t="s">
        <v>466</v>
      </c>
      <c r="B27" s="8" t="s">
        <v>1520</v>
      </c>
      <c r="C27" s="8" t="s">
        <v>1520</v>
      </c>
      <c r="D27" s="3" t="s">
        <v>1522</v>
      </c>
      <c r="E27" s="3" t="s">
        <v>1864</v>
      </c>
      <c r="F27" s="10">
        <f t="shared" si="0"/>
        <v>0</v>
      </c>
      <c r="G27" s="10">
        <f t="shared" si="1"/>
        <v>1</v>
      </c>
      <c r="H27" s="10">
        <f t="shared" si="2"/>
        <v>0</v>
      </c>
      <c r="I27" s="10">
        <f t="shared" si="3"/>
        <v>0</v>
      </c>
    </row>
    <row r="28" spans="1:9" ht="15.75" customHeight="1" x14ac:dyDescent="0.4">
      <c r="A28" s="7" t="s">
        <v>502</v>
      </c>
      <c r="B28" s="8" t="s">
        <v>1520</v>
      </c>
      <c r="C28" s="8" t="s">
        <v>1520</v>
      </c>
      <c r="D28" s="3" t="s">
        <v>1522</v>
      </c>
      <c r="E28" s="3" t="s">
        <v>1864</v>
      </c>
      <c r="F28" s="10">
        <f t="shared" si="0"/>
        <v>0</v>
      </c>
      <c r="G28" s="10">
        <f t="shared" si="1"/>
        <v>1</v>
      </c>
      <c r="H28" s="10">
        <f t="shared" si="2"/>
        <v>0</v>
      </c>
      <c r="I28" s="10">
        <f t="shared" si="3"/>
        <v>0</v>
      </c>
    </row>
    <row r="29" spans="1:9" ht="15.75" customHeight="1" x14ac:dyDescent="0.4">
      <c r="A29" s="7" t="s">
        <v>509</v>
      </c>
      <c r="B29" s="8" t="s">
        <v>1520</v>
      </c>
      <c r="C29" s="8" t="s">
        <v>1520</v>
      </c>
      <c r="D29" s="3" t="s">
        <v>1522</v>
      </c>
      <c r="E29" s="3" t="s">
        <v>1864</v>
      </c>
      <c r="F29" s="10">
        <f t="shared" si="0"/>
        <v>0</v>
      </c>
      <c r="G29" s="10">
        <f t="shared" si="1"/>
        <v>1</v>
      </c>
      <c r="H29" s="10">
        <f t="shared" si="2"/>
        <v>0</v>
      </c>
      <c r="I29" s="10">
        <f t="shared" si="3"/>
        <v>0</v>
      </c>
    </row>
    <row r="30" spans="1:9" ht="15.75" customHeight="1" x14ac:dyDescent="0.4">
      <c r="A30" s="7" t="s">
        <v>517</v>
      </c>
      <c r="B30" s="8" t="s">
        <v>1522</v>
      </c>
      <c r="C30" s="8" t="s">
        <v>1522</v>
      </c>
      <c r="D30" s="3" t="s">
        <v>1522</v>
      </c>
      <c r="E30" s="3" t="s">
        <v>1862</v>
      </c>
      <c r="F30" s="10">
        <f t="shared" si="0"/>
        <v>1</v>
      </c>
      <c r="G30" s="10">
        <f t="shared" si="1"/>
        <v>0</v>
      </c>
      <c r="H30" s="10">
        <f t="shared" si="2"/>
        <v>0</v>
      </c>
      <c r="I30" s="10">
        <f t="shared" si="3"/>
        <v>0</v>
      </c>
    </row>
    <row r="31" spans="1:9" ht="15.75" customHeight="1" x14ac:dyDescent="0.4">
      <c r="A31" s="7" t="s">
        <v>520</v>
      </c>
      <c r="B31" s="4" t="s">
        <v>1522</v>
      </c>
      <c r="C31" s="8" t="s">
        <v>1522</v>
      </c>
      <c r="D31" s="3" t="s">
        <v>1522</v>
      </c>
      <c r="E31" s="3" t="s">
        <v>1862</v>
      </c>
      <c r="F31" s="10">
        <f t="shared" si="0"/>
        <v>1</v>
      </c>
      <c r="G31" s="10">
        <f t="shared" si="1"/>
        <v>0</v>
      </c>
      <c r="H31" s="10">
        <f t="shared" si="2"/>
        <v>0</v>
      </c>
      <c r="I31" s="10">
        <f t="shared" si="3"/>
        <v>0</v>
      </c>
    </row>
    <row r="32" spans="1:9" ht="15.75" customHeight="1" x14ac:dyDescent="0.4">
      <c r="A32" s="7" t="s">
        <v>538</v>
      </c>
      <c r="B32" s="8" t="s">
        <v>1522</v>
      </c>
      <c r="C32" s="8" t="s">
        <v>1520</v>
      </c>
      <c r="D32" s="3" t="s">
        <v>1520</v>
      </c>
      <c r="E32" s="3" t="s">
        <v>1863</v>
      </c>
      <c r="F32" s="10">
        <f t="shared" si="0"/>
        <v>0</v>
      </c>
      <c r="G32" s="10">
        <f t="shared" si="1"/>
        <v>0</v>
      </c>
      <c r="H32" s="10">
        <f t="shared" si="2"/>
        <v>0</v>
      </c>
      <c r="I32" s="10">
        <f t="shared" si="3"/>
        <v>1</v>
      </c>
    </row>
    <row r="33" spans="1:9" ht="15.75" customHeight="1" x14ac:dyDescent="0.4">
      <c r="A33" s="7" t="s">
        <v>546</v>
      </c>
      <c r="B33" s="8" t="s">
        <v>1520</v>
      </c>
      <c r="C33" s="8" t="s">
        <v>1522</v>
      </c>
      <c r="D33" s="3" t="s">
        <v>1520</v>
      </c>
      <c r="E33" s="3" t="s">
        <v>1864</v>
      </c>
      <c r="F33" s="10">
        <f t="shared" si="0"/>
        <v>0</v>
      </c>
      <c r="G33" s="10">
        <f t="shared" si="1"/>
        <v>0</v>
      </c>
      <c r="H33" s="10">
        <f t="shared" si="2"/>
        <v>1</v>
      </c>
      <c r="I33" s="10">
        <f t="shared" si="3"/>
        <v>0</v>
      </c>
    </row>
    <row r="34" spans="1:9" ht="15.75" customHeight="1" x14ac:dyDescent="0.4">
      <c r="A34" s="7" t="s">
        <v>553</v>
      </c>
      <c r="B34" s="8" t="s">
        <v>1520</v>
      </c>
      <c r="C34" s="8" t="s">
        <v>1520</v>
      </c>
      <c r="D34" s="3" t="s">
        <v>1522</v>
      </c>
      <c r="E34" s="3" t="s">
        <v>1864</v>
      </c>
      <c r="F34" s="10">
        <f t="shared" si="0"/>
        <v>0</v>
      </c>
      <c r="G34" s="10">
        <f t="shared" si="1"/>
        <v>1</v>
      </c>
      <c r="H34" s="10">
        <f t="shared" si="2"/>
        <v>0</v>
      </c>
      <c r="I34" s="10">
        <f t="shared" si="3"/>
        <v>0</v>
      </c>
    </row>
    <row r="35" spans="1:9" ht="15.75" customHeight="1" x14ac:dyDescent="0.4">
      <c r="A35" s="7" t="s">
        <v>558</v>
      </c>
      <c r="B35" s="8" t="s">
        <v>1520</v>
      </c>
      <c r="C35" s="8" t="s">
        <v>1522</v>
      </c>
      <c r="D35" s="3" t="s">
        <v>1520</v>
      </c>
      <c r="E35" s="3" t="s">
        <v>1864</v>
      </c>
      <c r="F35" s="10">
        <f t="shared" si="0"/>
        <v>0</v>
      </c>
      <c r="G35" s="10">
        <f t="shared" si="1"/>
        <v>0</v>
      </c>
      <c r="H35" s="10">
        <f t="shared" si="2"/>
        <v>1</v>
      </c>
      <c r="I35" s="10">
        <f t="shared" si="3"/>
        <v>0</v>
      </c>
    </row>
    <row r="36" spans="1:9" ht="15.75" customHeight="1" x14ac:dyDescent="0.4">
      <c r="A36" s="7" t="s">
        <v>580</v>
      </c>
      <c r="B36" s="8" t="s">
        <v>1520</v>
      </c>
      <c r="C36" s="8" t="s">
        <v>1522</v>
      </c>
      <c r="D36" s="3" t="s">
        <v>1520</v>
      </c>
      <c r="E36" s="3" t="s">
        <v>1864</v>
      </c>
      <c r="F36" s="10">
        <f t="shared" si="0"/>
        <v>0</v>
      </c>
      <c r="G36" s="10">
        <f t="shared" si="1"/>
        <v>0</v>
      </c>
      <c r="H36" s="10">
        <f t="shared" si="2"/>
        <v>1</v>
      </c>
      <c r="I36" s="10">
        <f t="shared" si="3"/>
        <v>0</v>
      </c>
    </row>
    <row r="37" spans="1:9" ht="14.6" x14ac:dyDescent="0.4">
      <c r="A37" s="7" t="s">
        <v>630</v>
      </c>
      <c r="B37" s="8" t="s">
        <v>1520</v>
      </c>
      <c r="C37" s="8" t="s">
        <v>1520</v>
      </c>
      <c r="D37" s="3" t="s">
        <v>1522</v>
      </c>
      <c r="E37" s="3" t="s">
        <v>1865</v>
      </c>
      <c r="F37" s="10">
        <f t="shared" si="0"/>
        <v>0</v>
      </c>
      <c r="G37" s="10">
        <f t="shared" si="1"/>
        <v>1</v>
      </c>
      <c r="H37" s="10">
        <f t="shared" si="2"/>
        <v>0</v>
      </c>
      <c r="I37" s="10">
        <f t="shared" si="3"/>
        <v>0</v>
      </c>
    </row>
    <row r="38" spans="1:9" ht="14.6" x14ac:dyDescent="0.4">
      <c r="A38" s="7" t="s">
        <v>676</v>
      </c>
      <c r="B38" s="8" t="s">
        <v>1520</v>
      </c>
      <c r="C38" s="8" t="s">
        <v>1522</v>
      </c>
      <c r="D38" s="3" t="s">
        <v>1520</v>
      </c>
      <c r="E38" s="3" t="s">
        <v>1864</v>
      </c>
      <c r="F38" s="10">
        <f t="shared" si="0"/>
        <v>0</v>
      </c>
      <c r="G38" s="10">
        <f t="shared" si="1"/>
        <v>0</v>
      </c>
      <c r="H38" s="10">
        <f t="shared" si="2"/>
        <v>1</v>
      </c>
      <c r="I38" s="10">
        <f t="shared" si="3"/>
        <v>0</v>
      </c>
    </row>
    <row r="39" spans="1:9" ht="14.6" x14ac:dyDescent="0.4">
      <c r="A39" s="7" t="s">
        <v>689</v>
      </c>
      <c r="B39" s="8" t="s">
        <v>1520</v>
      </c>
      <c r="C39" s="8" t="s">
        <v>1520</v>
      </c>
      <c r="D39" s="3" t="s">
        <v>1522</v>
      </c>
      <c r="E39" s="3" t="s">
        <v>1865</v>
      </c>
      <c r="F39" s="10">
        <f t="shared" si="0"/>
        <v>0</v>
      </c>
      <c r="G39" s="10">
        <f t="shared" si="1"/>
        <v>1</v>
      </c>
      <c r="H39" s="10">
        <f t="shared" si="2"/>
        <v>0</v>
      </c>
      <c r="I39" s="10">
        <f t="shared" si="3"/>
        <v>0</v>
      </c>
    </row>
    <row r="40" spans="1:9" ht="14.6" x14ac:dyDescent="0.4">
      <c r="A40" s="7" t="s">
        <v>691</v>
      </c>
      <c r="B40" s="8" t="s">
        <v>1522</v>
      </c>
      <c r="C40" s="8" t="s">
        <v>1522</v>
      </c>
      <c r="D40" s="3" t="s">
        <v>1522</v>
      </c>
      <c r="E40" s="3" t="s">
        <v>1862</v>
      </c>
      <c r="F40" s="10">
        <f t="shared" si="0"/>
        <v>1</v>
      </c>
      <c r="G40" s="10">
        <f t="shared" si="1"/>
        <v>0</v>
      </c>
      <c r="H40" s="10">
        <f t="shared" si="2"/>
        <v>0</v>
      </c>
      <c r="I40" s="10">
        <f t="shared" si="3"/>
        <v>0</v>
      </c>
    </row>
    <row r="41" spans="1:9" ht="14.6" x14ac:dyDescent="0.4">
      <c r="A41" s="7" t="s">
        <v>711</v>
      </c>
      <c r="B41" s="8" t="s">
        <v>1520</v>
      </c>
      <c r="C41" s="8" t="s">
        <v>1522</v>
      </c>
      <c r="D41" s="3" t="s">
        <v>1520</v>
      </c>
      <c r="E41" s="3" t="s">
        <v>1864</v>
      </c>
      <c r="F41" s="10">
        <f t="shared" si="0"/>
        <v>0</v>
      </c>
      <c r="G41" s="10">
        <f t="shared" si="1"/>
        <v>0</v>
      </c>
      <c r="H41" s="10">
        <f t="shared" si="2"/>
        <v>1</v>
      </c>
      <c r="I41" s="10">
        <f t="shared" si="3"/>
        <v>0</v>
      </c>
    </row>
    <row r="42" spans="1:9" ht="14.6" x14ac:dyDescent="0.4">
      <c r="A42" s="7" t="s">
        <v>734</v>
      </c>
      <c r="B42" s="8" t="s">
        <v>1520</v>
      </c>
      <c r="C42" s="8" t="s">
        <v>1522</v>
      </c>
      <c r="D42" s="3" t="s">
        <v>1520</v>
      </c>
      <c r="E42" s="3" t="s">
        <v>1864</v>
      </c>
      <c r="F42" s="10">
        <f t="shared" si="0"/>
        <v>0</v>
      </c>
      <c r="G42" s="10">
        <f t="shared" si="1"/>
        <v>0</v>
      </c>
      <c r="H42" s="10">
        <f t="shared" si="2"/>
        <v>1</v>
      </c>
      <c r="I42" s="10">
        <f t="shared" si="3"/>
        <v>0</v>
      </c>
    </row>
    <row r="43" spans="1:9" ht="14.6" x14ac:dyDescent="0.4">
      <c r="A43" s="7" t="s">
        <v>752</v>
      </c>
      <c r="B43" s="8" t="s">
        <v>1522</v>
      </c>
      <c r="C43" s="8" t="s">
        <v>1522</v>
      </c>
      <c r="D43" s="3" t="s">
        <v>1522</v>
      </c>
      <c r="E43" s="3" t="s">
        <v>1862</v>
      </c>
      <c r="F43" s="10">
        <f t="shared" si="0"/>
        <v>1</v>
      </c>
      <c r="G43" s="10">
        <f t="shared" si="1"/>
        <v>0</v>
      </c>
      <c r="H43" s="10">
        <f t="shared" si="2"/>
        <v>0</v>
      </c>
      <c r="I43" s="10">
        <f t="shared" si="3"/>
        <v>0</v>
      </c>
    </row>
    <row r="44" spans="1:9" ht="14.6" x14ac:dyDescent="0.4">
      <c r="A44" s="7" t="s">
        <v>774</v>
      </c>
      <c r="B44" s="8" t="s">
        <v>1520</v>
      </c>
      <c r="C44" s="8" t="s">
        <v>1520</v>
      </c>
      <c r="D44" s="3" t="s">
        <v>1522</v>
      </c>
      <c r="E44" s="3" t="s">
        <v>1864</v>
      </c>
      <c r="F44" s="10">
        <f t="shared" si="0"/>
        <v>0</v>
      </c>
      <c r="G44" s="10">
        <f t="shared" si="1"/>
        <v>1</v>
      </c>
      <c r="H44" s="10">
        <f t="shared" si="2"/>
        <v>0</v>
      </c>
      <c r="I44" s="10">
        <f t="shared" si="3"/>
        <v>0</v>
      </c>
    </row>
    <row r="45" spans="1:9" ht="14.6" x14ac:dyDescent="0.4">
      <c r="A45" s="7" t="s">
        <v>781</v>
      </c>
      <c r="B45" s="8" t="s">
        <v>1520</v>
      </c>
      <c r="C45" s="8" t="s">
        <v>1522</v>
      </c>
      <c r="D45" s="3" t="s">
        <v>1520</v>
      </c>
      <c r="E45" s="3" t="s">
        <v>1864</v>
      </c>
      <c r="F45" s="10">
        <f t="shared" si="0"/>
        <v>0</v>
      </c>
      <c r="G45" s="10">
        <f t="shared" si="1"/>
        <v>0</v>
      </c>
      <c r="H45" s="10">
        <f t="shared" si="2"/>
        <v>1</v>
      </c>
      <c r="I45" s="10">
        <f t="shared" si="3"/>
        <v>0</v>
      </c>
    </row>
    <row r="46" spans="1:9" ht="14.6" x14ac:dyDescent="0.4">
      <c r="A46" s="7" t="s">
        <v>810</v>
      </c>
      <c r="B46" s="8" t="s">
        <v>1522</v>
      </c>
      <c r="C46" s="8" t="s">
        <v>1520</v>
      </c>
      <c r="D46" s="3" t="s">
        <v>1520</v>
      </c>
      <c r="E46" s="3" t="s">
        <v>1862</v>
      </c>
      <c r="F46" s="10">
        <f t="shared" si="0"/>
        <v>0</v>
      </c>
      <c r="G46" s="10">
        <f t="shared" si="1"/>
        <v>0</v>
      </c>
      <c r="H46" s="10">
        <f t="shared" si="2"/>
        <v>0</v>
      </c>
      <c r="I46" s="10">
        <f t="shared" si="3"/>
        <v>1</v>
      </c>
    </row>
    <row r="47" spans="1:9" ht="14.6" x14ac:dyDescent="0.4">
      <c r="A47" s="7" t="s">
        <v>812</v>
      </c>
      <c r="B47" s="8" t="s">
        <v>1520</v>
      </c>
      <c r="C47" s="8" t="s">
        <v>1520</v>
      </c>
      <c r="D47" s="3" t="s">
        <v>1522</v>
      </c>
      <c r="E47" s="3" t="s">
        <v>1864</v>
      </c>
      <c r="F47" s="10">
        <f t="shared" si="0"/>
        <v>0</v>
      </c>
      <c r="G47" s="10">
        <f t="shared" si="1"/>
        <v>1</v>
      </c>
      <c r="H47" s="10">
        <f t="shared" si="2"/>
        <v>0</v>
      </c>
      <c r="I47" s="10">
        <f t="shared" si="3"/>
        <v>0</v>
      </c>
    </row>
    <row r="48" spans="1:9" ht="14.6" x14ac:dyDescent="0.4">
      <c r="A48" s="7" t="s">
        <v>814</v>
      </c>
      <c r="B48" s="8" t="s">
        <v>1522</v>
      </c>
      <c r="C48" s="8" t="s">
        <v>1522</v>
      </c>
      <c r="D48" s="3" t="s">
        <v>1522</v>
      </c>
      <c r="E48" s="3" t="s">
        <v>1862</v>
      </c>
      <c r="F48" s="10">
        <f t="shared" si="0"/>
        <v>1</v>
      </c>
      <c r="G48" s="10">
        <f t="shared" si="1"/>
        <v>0</v>
      </c>
      <c r="H48" s="10">
        <f t="shared" si="2"/>
        <v>0</v>
      </c>
      <c r="I48" s="10">
        <f t="shared" si="3"/>
        <v>0</v>
      </c>
    </row>
    <row r="49" spans="1:9" ht="14.6" x14ac:dyDescent="0.4">
      <c r="A49" s="7" t="s">
        <v>820</v>
      </c>
      <c r="B49" s="8" t="s">
        <v>1522</v>
      </c>
      <c r="C49" s="8" t="s">
        <v>1520</v>
      </c>
      <c r="D49" s="3" t="s">
        <v>1520</v>
      </c>
      <c r="E49" s="3" t="s">
        <v>1862</v>
      </c>
      <c r="F49" s="10">
        <f t="shared" si="0"/>
        <v>0</v>
      </c>
      <c r="G49" s="10">
        <f t="shared" si="1"/>
        <v>0</v>
      </c>
      <c r="H49" s="10">
        <f t="shared" si="2"/>
        <v>0</v>
      </c>
      <c r="I49" s="10">
        <f t="shared" si="3"/>
        <v>1</v>
      </c>
    </row>
    <row r="50" spans="1:9" ht="14.6" x14ac:dyDescent="0.4">
      <c r="A50" s="7" t="s">
        <v>825</v>
      </c>
      <c r="B50" s="8" t="s">
        <v>1520</v>
      </c>
      <c r="C50" s="8" t="s">
        <v>1522</v>
      </c>
      <c r="D50" s="3" t="s">
        <v>1520</v>
      </c>
      <c r="E50" s="3" t="s">
        <v>1864</v>
      </c>
      <c r="F50" s="10">
        <f t="shared" si="0"/>
        <v>0</v>
      </c>
      <c r="G50" s="10">
        <f t="shared" si="1"/>
        <v>0</v>
      </c>
      <c r="H50" s="10">
        <f t="shared" si="2"/>
        <v>1</v>
      </c>
      <c r="I50" s="10">
        <f t="shared" si="3"/>
        <v>0</v>
      </c>
    </row>
    <row r="51" spans="1:9" ht="14.6" x14ac:dyDescent="0.4">
      <c r="A51" s="7" t="s">
        <v>832</v>
      </c>
      <c r="B51" s="8" t="s">
        <v>1520</v>
      </c>
      <c r="C51" s="8" t="s">
        <v>1522</v>
      </c>
      <c r="D51" s="3" t="s">
        <v>1520</v>
      </c>
      <c r="E51" s="3" t="s">
        <v>1864</v>
      </c>
      <c r="F51" s="10">
        <f t="shared" si="0"/>
        <v>0</v>
      </c>
      <c r="G51" s="10">
        <f t="shared" si="1"/>
        <v>0</v>
      </c>
      <c r="H51" s="10">
        <f t="shared" si="2"/>
        <v>1</v>
      </c>
      <c r="I51" s="10">
        <f t="shared" si="3"/>
        <v>0</v>
      </c>
    </row>
    <row r="52" spans="1:9" ht="14.6" x14ac:dyDescent="0.4">
      <c r="A52" s="7" t="s">
        <v>846</v>
      </c>
      <c r="B52" s="8" t="s">
        <v>1522</v>
      </c>
      <c r="C52" s="8" t="s">
        <v>1520</v>
      </c>
      <c r="D52" s="3" t="s">
        <v>1520</v>
      </c>
      <c r="E52" s="3" t="s">
        <v>1862</v>
      </c>
      <c r="F52" s="10">
        <f t="shared" si="0"/>
        <v>0</v>
      </c>
      <c r="G52" s="10">
        <f t="shared" si="1"/>
        <v>0</v>
      </c>
      <c r="H52" s="10">
        <f t="shared" si="2"/>
        <v>0</v>
      </c>
      <c r="I52" s="10">
        <f t="shared" si="3"/>
        <v>1</v>
      </c>
    </row>
    <row r="53" spans="1:9" ht="14.6" x14ac:dyDescent="0.4">
      <c r="A53" s="7" t="s">
        <v>853</v>
      </c>
      <c r="B53" s="8" t="s">
        <v>1520</v>
      </c>
      <c r="C53" s="8" t="s">
        <v>1520</v>
      </c>
      <c r="D53" s="3" t="s">
        <v>1522</v>
      </c>
      <c r="E53" s="3" t="s">
        <v>1864</v>
      </c>
      <c r="F53" s="10">
        <f t="shared" si="0"/>
        <v>0</v>
      </c>
      <c r="G53" s="10">
        <f t="shared" si="1"/>
        <v>1</v>
      </c>
      <c r="H53" s="10">
        <f t="shared" si="2"/>
        <v>0</v>
      </c>
      <c r="I53" s="10">
        <f t="shared" si="3"/>
        <v>0</v>
      </c>
    </row>
    <row r="54" spans="1:9" ht="14.6" x14ac:dyDescent="0.4">
      <c r="A54" s="7" t="s">
        <v>905</v>
      </c>
      <c r="B54" s="8" t="s">
        <v>1522</v>
      </c>
      <c r="C54" s="8" t="s">
        <v>1522</v>
      </c>
      <c r="D54" s="3" t="s">
        <v>1522</v>
      </c>
      <c r="E54" s="3" t="s">
        <v>1862</v>
      </c>
      <c r="F54" s="10">
        <f t="shared" si="0"/>
        <v>1</v>
      </c>
      <c r="G54" s="10">
        <f t="shared" si="1"/>
        <v>0</v>
      </c>
      <c r="H54" s="10">
        <f t="shared" si="2"/>
        <v>0</v>
      </c>
      <c r="I54" s="10">
        <f t="shared" si="3"/>
        <v>0</v>
      </c>
    </row>
    <row r="55" spans="1:9" ht="14.6" x14ac:dyDescent="0.4">
      <c r="A55" s="7" t="s">
        <v>906</v>
      </c>
      <c r="B55" s="8" t="s">
        <v>1520</v>
      </c>
      <c r="C55" s="8" t="s">
        <v>1522</v>
      </c>
      <c r="D55" s="3" t="s">
        <v>1520</v>
      </c>
      <c r="E55" s="3" t="s">
        <v>1864</v>
      </c>
      <c r="F55" s="10">
        <f t="shared" si="0"/>
        <v>0</v>
      </c>
      <c r="G55" s="10">
        <f t="shared" si="1"/>
        <v>0</v>
      </c>
      <c r="H55" s="10">
        <f t="shared" si="2"/>
        <v>1</v>
      </c>
      <c r="I55" s="10">
        <f t="shared" si="3"/>
        <v>0</v>
      </c>
    </row>
    <row r="56" spans="1:9" ht="14.6" x14ac:dyDescent="0.4">
      <c r="A56" s="7" t="s">
        <v>924</v>
      </c>
      <c r="B56" s="8" t="s">
        <v>1520</v>
      </c>
      <c r="C56" s="8" t="s">
        <v>1522</v>
      </c>
      <c r="D56" s="3" t="s">
        <v>1520</v>
      </c>
      <c r="E56" s="3" t="s">
        <v>1864</v>
      </c>
      <c r="F56" s="10">
        <f t="shared" si="0"/>
        <v>0</v>
      </c>
      <c r="G56" s="10">
        <f t="shared" si="1"/>
        <v>0</v>
      </c>
      <c r="H56" s="10">
        <f t="shared" si="2"/>
        <v>1</v>
      </c>
      <c r="I56" s="10">
        <f t="shared" si="3"/>
        <v>0</v>
      </c>
    </row>
    <row r="57" spans="1:9" ht="14.6" x14ac:dyDescent="0.4">
      <c r="A57" s="7" t="s">
        <v>946</v>
      </c>
      <c r="B57" s="8" t="s">
        <v>1522</v>
      </c>
      <c r="C57" s="8" t="s">
        <v>1520</v>
      </c>
      <c r="D57" s="3" t="s">
        <v>1520</v>
      </c>
      <c r="E57" s="3" t="s">
        <v>1862</v>
      </c>
      <c r="F57" s="10">
        <f t="shared" si="0"/>
        <v>0</v>
      </c>
      <c r="G57" s="10">
        <f t="shared" si="1"/>
        <v>0</v>
      </c>
      <c r="H57" s="10">
        <f t="shared" si="2"/>
        <v>0</v>
      </c>
      <c r="I57" s="10">
        <f t="shared" si="3"/>
        <v>1</v>
      </c>
    </row>
    <row r="58" spans="1:9" ht="14.6" x14ac:dyDescent="0.4">
      <c r="A58" s="7" t="s">
        <v>958</v>
      </c>
      <c r="B58" s="8" t="s">
        <v>1520</v>
      </c>
      <c r="C58" s="8" t="s">
        <v>1522</v>
      </c>
      <c r="D58" s="3" t="s">
        <v>1520</v>
      </c>
      <c r="E58" s="3" t="s">
        <v>1864</v>
      </c>
      <c r="F58" s="10">
        <f t="shared" si="0"/>
        <v>0</v>
      </c>
      <c r="G58" s="10">
        <f t="shared" si="1"/>
        <v>0</v>
      </c>
      <c r="H58" s="10">
        <f t="shared" si="2"/>
        <v>1</v>
      </c>
      <c r="I58" s="10">
        <f t="shared" si="3"/>
        <v>0</v>
      </c>
    </row>
    <row r="59" spans="1:9" ht="14.6" x14ac:dyDescent="0.4">
      <c r="A59" s="7" t="s">
        <v>964</v>
      </c>
      <c r="B59" s="8" t="s">
        <v>1520</v>
      </c>
      <c r="C59" s="8" t="s">
        <v>1520</v>
      </c>
      <c r="D59" s="3" t="s">
        <v>1522</v>
      </c>
      <c r="E59" s="3" t="s">
        <v>1865</v>
      </c>
      <c r="F59" s="10">
        <f t="shared" si="0"/>
        <v>0</v>
      </c>
      <c r="G59" s="10">
        <f t="shared" si="1"/>
        <v>1</v>
      </c>
      <c r="H59" s="10">
        <f t="shared" si="2"/>
        <v>0</v>
      </c>
      <c r="I59" s="10">
        <f t="shared" si="3"/>
        <v>0</v>
      </c>
    </row>
    <row r="60" spans="1:9" ht="14.6" x14ac:dyDescent="0.4">
      <c r="A60" s="7" t="s">
        <v>967</v>
      </c>
      <c r="B60" s="8" t="s">
        <v>1522</v>
      </c>
      <c r="C60" s="8" t="s">
        <v>1522</v>
      </c>
      <c r="D60" s="3" t="s">
        <v>1522</v>
      </c>
      <c r="E60" s="3" t="s">
        <v>1862</v>
      </c>
      <c r="F60" s="10">
        <f t="shared" si="0"/>
        <v>1</v>
      </c>
      <c r="G60" s="10">
        <f t="shared" si="1"/>
        <v>0</v>
      </c>
      <c r="H60" s="10">
        <f t="shared" si="2"/>
        <v>0</v>
      </c>
      <c r="I60" s="10">
        <f t="shared" si="3"/>
        <v>0</v>
      </c>
    </row>
    <row r="61" spans="1:9" ht="14.6" x14ac:dyDescent="0.4">
      <c r="A61" s="7" t="s">
        <v>1042</v>
      </c>
      <c r="B61" s="8" t="s">
        <v>1522</v>
      </c>
      <c r="C61" s="8" t="s">
        <v>1522</v>
      </c>
      <c r="D61" s="3" t="s">
        <v>1522</v>
      </c>
      <c r="E61" s="3" t="s">
        <v>1863</v>
      </c>
      <c r="F61" s="10">
        <f t="shared" si="0"/>
        <v>1</v>
      </c>
      <c r="G61" s="10">
        <f t="shared" si="1"/>
        <v>0</v>
      </c>
      <c r="H61" s="10">
        <f t="shared" si="2"/>
        <v>0</v>
      </c>
      <c r="I61" s="10">
        <f t="shared" si="3"/>
        <v>0</v>
      </c>
    </row>
    <row r="62" spans="1:9" ht="14.6" x14ac:dyDescent="0.4">
      <c r="A62" s="7" t="s">
        <v>1061</v>
      </c>
      <c r="B62" s="8" t="s">
        <v>1520</v>
      </c>
      <c r="C62" s="8" t="s">
        <v>1522</v>
      </c>
      <c r="D62" s="3" t="s">
        <v>1520</v>
      </c>
      <c r="E62" s="3" t="s">
        <v>1865</v>
      </c>
      <c r="F62" s="10">
        <f t="shared" si="0"/>
        <v>0</v>
      </c>
      <c r="G62" s="10">
        <f t="shared" si="1"/>
        <v>0</v>
      </c>
      <c r="H62" s="10">
        <f t="shared" si="2"/>
        <v>1</v>
      </c>
      <c r="I62" s="10">
        <f t="shared" si="3"/>
        <v>0</v>
      </c>
    </row>
    <row r="63" spans="1:9" ht="14.6" x14ac:dyDescent="0.4">
      <c r="A63" s="7" t="s">
        <v>1071</v>
      </c>
      <c r="B63" s="8" t="s">
        <v>1520</v>
      </c>
      <c r="C63" s="8" t="s">
        <v>1520</v>
      </c>
      <c r="D63" s="3" t="s">
        <v>1522</v>
      </c>
      <c r="E63" s="3" t="s">
        <v>1864</v>
      </c>
      <c r="F63" s="10">
        <f t="shared" si="0"/>
        <v>0</v>
      </c>
      <c r="G63" s="10">
        <f t="shared" si="1"/>
        <v>1</v>
      </c>
      <c r="H63" s="10">
        <f t="shared" si="2"/>
        <v>0</v>
      </c>
      <c r="I63" s="10">
        <f t="shared" si="3"/>
        <v>0</v>
      </c>
    </row>
    <row r="64" spans="1:9" ht="14.6" x14ac:dyDescent="0.4">
      <c r="A64" s="7" t="s">
        <v>1079</v>
      </c>
      <c r="B64" s="8" t="s">
        <v>1520</v>
      </c>
      <c r="C64" s="8" t="s">
        <v>1522</v>
      </c>
      <c r="D64" s="3" t="s">
        <v>1520</v>
      </c>
      <c r="E64" s="3" t="s">
        <v>1864</v>
      </c>
      <c r="F64" s="10">
        <f t="shared" si="0"/>
        <v>0</v>
      </c>
      <c r="G64" s="10">
        <f t="shared" si="1"/>
        <v>0</v>
      </c>
      <c r="H64" s="10">
        <f t="shared" si="2"/>
        <v>1</v>
      </c>
      <c r="I64" s="10">
        <f t="shared" si="3"/>
        <v>0</v>
      </c>
    </row>
    <row r="65" spans="1:9" ht="14.6" x14ac:dyDescent="0.4">
      <c r="A65" s="7" t="s">
        <v>1111</v>
      </c>
      <c r="B65" s="8" t="s">
        <v>1522</v>
      </c>
      <c r="C65" s="8" t="s">
        <v>1520</v>
      </c>
      <c r="D65" s="3" t="s">
        <v>1520</v>
      </c>
      <c r="E65" s="3" t="s">
        <v>1862</v>
      </c>
      <c r="F65" s="10">
        <f t="shared" si="0"/>
        <v>0</v>
      </c>
      <c r="G65" s="10">
        <f t="shared" si="1"/>
        <v>0</v>
      </c>
      <c r="H65" s="10">
        <f t="shared" si="2"/>
        <v>0</v>
      </c>
      <c r="I65" s="10">
        <f t="shared" si="3"/>
        <v>1</v>
      </c>
    </row>
    <row r="66" spans="1:9" ht="14.6" x14ac:dyDescent="0.4">
      <c r="A66" s="7" t="s">
        <v>1133</v>
      </c>
      <c r="B66" s="8" t="s">
        <v>1520</v>
      </c>
      <c r="C66" s="8" t="s">
        <v>1522</v>
      </c>
      <c r="D66" s="3" t="s">
        <v>1520</v>
      </c>
      <c r="E66" s="3" t="s">
        <v>1865</v>
      </c>
      <c r="F66" s="10">
        <f t="shared" si="0"/>
        <v>0</v>
      </c>
      <c r="G66" s="10">
        <f t="shared" si="1"/>
        <v>0</v>
      </c>
      <c r="H66" s="10">
        <f t="shared" si="2"/>
        <v>1</v>
      </c>
      <c r="I66" s="10">
        <f t="shared" si="3"/>
        <v>0</v>
      </c>
    </row>
    <row r="67" spans="1:9" ht="14.6" x14ac:dyDescent="0.4">
      <c r="A67" s="7" t="s">
        <v>1136</v>
      </c>
      <c r="B67" s="8" t="s">
        <v>1522</v>
      </c>
      <c r="C67" s="8" t="s">
        <v>1522</v>
      </c>
      <c r="D67" s="3" t="s">
        <v>1522</v>
      </c>
      <c r="E67" s="3" t="s">
        <v>1863</v>
      </c>
      <c r="F67" s="10">
        <f t="shared" si="0"/>
        <v>1</v>
      </c>
      <c r="G67" s="10">
        <f t="shared" si="1"/>
        <v>0</v>
      </c>
      <c r="H67" s="10">
        <f t="shared" si="2"/>
        <v>0</v>
      </c>
      <c r="I67" s="10">
        <f t="shared" si="3"/>
        <v>0</v>
      </c>
    </row>
    <row r="68" spans="1:9" ht="14.6" x14ac:dyDescent="0.4">
      <c r="A68" s="7" t="s">
        <v>1184</v>
      </c>
      <c r="B68" s="8" t="s">
        <v>1520</v>
      </c>
      <c r="C68" s="8" t="s">
        <v>1522</v>
      </c>
      <c r="D68" s="3" t="s">
        <v>1520</v>
      </c>
      <c r="E68" s="3" t="s">
        <v>1864</v>
      </c>
      <c r="F68" s="10">
        <f t="shared" si="0"/>
        <v>0</v>
      </c>
      <c r="G68" s="10">
        <f t="shared" si="1"/>
        <v>0</v>
      </c>
      <c r="H68" s="10">
        <f t="shared" si="2"/>
        <v>1</v>
      </c>
      <c r="I68" s="10">
        <f t="shared" si="3"/>
        <v>0</v>
      </c>
    </row>
    <row r="69" spans="1:9" ht="14.6" x14ac:dyDescent="0.4">
      <c r="A69" s="7" t="s">
        <v>1186</v>
      </c>
      <c r="B69" s="8" t="s">
        <v>1520</v>
      </c>
      <c r="C69" s="8" t="s">
        <v>1522</v>
      </c>
      <c r="D69" s="3" t="s">
        <v>1520</v>
      </c>
      <c r="E69" s="3" t="s">
        <v>1864</v>
      </c>
      <c r="F69" s="10">
        <f t="shared" si="0"/>
        <v>0</v>
      </c>
      <c r="G69" s="10">
        <f t="shared" si="1"/>
        <v>0</v>
      </c>
      <c r="H69" s="10">
        <f t="shared" si="2"/>
        <v>1</v>
      </c>
      <c r="I69" s="10">
        <f t="shared" si="3"/>
        <v>0</v>
      </c>
    </row>
    <row r="70" spans="1:9" ht="14.6" x14ac:dyDescent="0.4">
      <c r="A70" s="7" t="s">
        <v>1199</v>
      </c>
      <c r="B70" s="8" t="s">
        <v>1522</v>
      </c>
      <c r="C70" s="8" t="s">
        <v>1522</v>
      </c>
      <c r="D70" s="3" t="s">
        <v>1522</v>
      </c>
      <c r="E70" s="3" t="s">
        <v>1862</v>
      </c>
      <c r="F70" s="10">
        <f t="shared" si="0"/>
        <v>1</v>
      </c>
      <c r="G70" s="10">
        <f t="shared" si="1"/>
        <v>0</v>
      </c>
      <c r="H70" s="10">
        <f t="shared" si="2"/>
        <v>0</v>
      </c>
      <c r="I70" s="10">
        <f t="shared" si="3"/>
        <v>0</v>
      </c>
    </row>
    <row r="71" spans="1:9" ht="14.6" x14ac:dyDescent="0.4">
      <c r="A71" s="7" t="s">
        <v>1207</v>
      </c>
      <c r="B71" s="8" t="s">
        <v>1522</v>
      </c>
      <c r="C71" s="8" t="s">
        <v>1520</v>
      </c>
      <c r="D71" s="3" t="s">
        <v>1520</v>
      </c>
      <c r="E71" s="3" t="s">
        <v>1862</v>
      </c>
      <c r="F71" s="10">
        <f t="shared" si="0"/>
        <v>0</v>
      </c>
      <c r="G71" s="10">
        <f t="shared" si="1"/>
        <v>0</v>
      </c>
      <c r="H71" s="10">
        <f t="shared" si="2"/>
        <v>0</v>
      </c>
      <c r="I71" s="10">
        <f t="shared" si="3"/>
        <v>1</v>
      </c>
    </row>
    <row r="72" spans="1:9" ht="14.6" x14ac:dyDescent="0.4">
      <c r="A72" s="7" t="s">
        <v>1216</v>
      </c>
      <c r="B72" s="8" t="s">
        <v>1520</v>
      </c>
      <c r="C72" s="8" t="s">
        <v>1520</v>
      </c>
      <c r="D72" s="3" t="s">
        <v>1522</v>
      </c>
      <c r="E72" s="3" t="s">
        <v>1864</v>
      </c>
      <c r="F72" s="10">
        <f t="shared" si="0"/>
        <v>0</v>
      </c>
      <c r="G72" s="10">
        <f t="shared" si="1"/>
        <v>1</v>
      </c>
      <c r="H72" s="10">
        <f t="shared" si="2"/>
        <v>0</v>
      </c>
      <c r="I72" s="10">
        <f t="shared" si="3"/>
        <v>0</v>
      </c>
    </row>
    <row r="73" spans="1:9" ht="14.6" x14ac:dyDescent="0.4">
      <c r="A73" s="7" t="s">
        <v>1253</v>
      </c>
      <c r="B73" s="8" t="s">
        <v>1522</v>
      </c>
      <c r="C73" s="8" t="s">
        <v>1522</v>
      </c>
      <c r="D73" s="3" t="s">
        <v>1522</v>
      </c>
      <c r="E73" s="3" t="s">
        <v>1862</v>
      </c>
      <c r="F73" s="10">
        <f t="shared" si="0"/>
        <v>1</v>
      </c>
      <c r="G73" s="10">
        <f t="shared" si="1"/>
        <v>0</v>
      </c>
      <c r="H73" s="10">
        <f t="shared" si="2"/>
        <v>0</v>
      </c>
      <c r="I73" s="10">
        <f t="shared" si="3"/>
        <v>0</v>
      </c>
    </row>
    <row r="74" spans="1:9" ht="14.6" x14ac:dyDescent="0.4">
      <c r="A74" s="7" t="s">
        <v>1255</v>
      </c>
      <c r="B74" s="8" t="s">
        <v>1520</v>
      </c>
      <c r="C74" s="8" t="s">
        <v>1522</v>
      </c>
      <c r="D74" s="3" t="s">
        <v>1520</v>
      </c>
      <c r="E74" s="3" t="s">
        <v>1864</v>
      </c>
      <c r="F74" s="10">
        <f t="shared" si="0"/>
        <v>0</v>
      </c>
      <c r="G74" s="10">
        <f t="shared" si="1"/>
        <v>0</v>
      </c>
      <c r="H74" s="10">
        <f t="shared" si="2"/>
        <v>1</v>
      </c>
      <c r="I74" s="10">
        <f t="shared" si="3"/>
        <v>0</v>
      </c>
    </row>
    <row r="75" spans="1:9" ht="14.6" x14ac:dyDescent="0.4">
      <c r="A75" s="7" t="s">
        <v>1274</v>
      </c>
      <c r="B75" s="8" t="s">
        <v>1520</v>
      </c>
      <c r="C75" s="8" t="s">
        <v>1522</v>
      </c>
      <c r="D75" s="3" t="s">
        <v>1520</v>
      </c>
      <c r="E75" s="3" t="s">
        <v>1864</v>
      </c>
      <c r="F75" s="10">
        <f t="shared" si="0"/>
        <v>0</v>
      </c>
      <c r="G75" s="10">
        <f t="shared" si="1"/>
        <v>0</v>
      </c>
      <c r="H75" s="10">
        <f t="shared" si="2"/>
        <v>1</v>
      </c>
      <c r="I75" s="10">
        <f t="shared" si="3"/>
        <v>0</v>
      </c>
    </row>
    <row r="76" spans="1:9" ht="14.6" x14ac:dyDescent="0.4">
      <c r="A76" s="7" t="s">
        <v>1280</v>
      </c>
      <c r="B76" s="8" t="s">
        <v>1522</v>
      </c>
      <c r="C76" s="8" t="s">
        <v>1520</v>
      </c>
      <c r="D76" s="3" t="s">
        <v>1520</v>
      </c>
      <c r="E76" s="3" t="s">
        <v>1863</v>
      </c>
      <c r="F76" s="10">
        <f t="shared" si="0"/>
        <v>0</v>
      </c>
      <c r="G76" s="10">
        <f t="shared" si="1"/>
        <v>0</v>
      </c>
      <c r="H76" s="10">
        <f t="shared" si="2"/>
        <v>0</v>
      </c>
      <c r="I76" s="10">
        <f t="shared" si="3"/>
        <v>1</v>
      </c>
    </row>
    <row r="77" spans="1:9" ht="14.6" x14ac:dyDescent="0.4">
      <c r="A77" s="7" t="s">
        <v>1281</v>
      </c>
      <c r="B77" s="8" t="s">
        <v>1520</v>
      </c>
      <c r="C77" s="8" t="s">
        <v>1520</v>
      </c>
      <c r="D77" s="3" t="s">
        <v>1522</v>
      </c>
      <c r="E77" s="3" t="s">
        <v>1864</v>
      </c>
      <c r="F77" s="10">
        <f t="shared" si="0"/>
        <v>0</v>
      </c>
      <c r="G77" s="10">
        <f t="shared" si="1"/>
        <v>1</v>
      </c>
      <c r="H77" s="10">
        <f t="shared" si="2"/>
        <v>0</v>
      </c>
      <c r="I77" s="10">
        <f t="shared" si="3"/>
        <v>0</v>
      </c>
    </row>
    <row r="78" spans="1:9" ht="14.6" x14ac:dyDescent="0.4">
      <c r="A78" s="7" t="s">
        <v>1284</v>
      </c>
      <c r="B78" s="8" t="s">
        <v>1522</v>
      </c>
      <c r="C78" s="8" t="s">
        <v>1520</v>
      </c>
      <c r="D78" s="3" t="s">
        <v>1520</v>
      </c>
      <c r="E78" s="3" t="s">
        <v>1862</v>
      </c>
      <c r="F78" s="10">
        <f t="shared" si="0"/>
        <v>0</v>
      </c>
      <c r="G78" s="10">
        <f t="shared" si="1"/>
        <v>0</v>
      </c>
      <c r="H78" s="10">
        <f t="shared" si="2"/>
        <v>0</v>
      </c>
      <c r="I78" s="10">
        <f t="shared" si="3"/>
        <v>1</v>
      </c>
    </row>
    <row r="79" spans="1:9" ht="14.6" x14ac:dyDescent="0.4">
      <c r="A79" s="7" t="s">
        <v>1290</v>
      </c>
      <c r="B79" s="8" t="s">
        <v>1522</v>
      </c>
      <c r="C79" s="8" t="s">
        <v>1522</v>
      </c>
      <c r="D79" s="3" t="s">
        <v>1522</v>
      </c>
      <c r="E79" s="3" t="s">
        <v>1862</v>
      </c>
      <c r="F79" s="10">
        <f t="shared" si="0"/>
        <v>1</v>
      </c>
      <c r="G79" s="10">
        <f t="shared" si="1"/>
        <v>0</v>
      </c>
      <c r="H79" s="10">
        <f t="shared" si="2"/>
        <v>0</v>
      </c>
      <c r="I79" s="10">
        <f t="shared" si="3"/>
        <v>0</v>
      </c>
    </row>
    <row r="80" spans="1:9" ht="14.6" x14ac:dyDescent="0.4">
      <c r="A80" s="7" t="s">
        <v>1295</v>
      </c>
      <c r="B80" s="8" t="s">
        <v>1522</v>
      </c>
      <c r="C80" s="8" t="s">
        <v>1522</v>
      </c>
      <c r="D80" s="3" t="s">
        <v>1522</v>
      </c>
      <c r="E80" s="3" t="s">
        <v>1862</v>
      </c>
      <c r="F80" s="10">
        <f t="shared" si="0"/>
        <v>1</v>
      </c>
      <c r="G80" s="10">
        <f t="shared" si="1"/>
        <v>0</v>
      </c>
      <c r="H80" s="10">
        <f t="shared" si="2"/>
        <v>0</v>
      </c>
      <c r="I80" s="10">
        <f t="shared" si="3"/>
        <v>0</v>
      </c>
    </row>
    <row r="81" spans="1:23" ht="14.6" x14ac:dyDescent="0.4">
      <c r="A81" s="7" t="s">
        <v>1329</v>
      </c>
      <c r="B81" s="8" t="s">
        <v>1522</v>
      </c>
      <c r="C81" s="8" t="s">
        <v>1522</v>
      </c>
      <c r="D81" s="3" t="s">
        <v>1522</v>
      </c>
      <c r="E81" s="3" t="s">
        <v>1862</v>
      </c>
      <c r="F81" s="10">
        <f t="shared" si="0"/>
        <v>1</v>
      </c>
      <c r="G81" s="10">
        <f t="shared" si="1"/>
        <v>0</v>
      </c>
      <c r="H81" s="10">
        <f t="shared" si="2"/>
        <v>0</v>
      </c>
      <c r="I81" s="10">
        <f t="shared" si="3"/>
        <v>0</v>
      </c>
    </row>
    <row r="82" spans="1:23" ht="19.3" x14ac:dyDescent="0.5">
      <c r="A82" s="15"/>
      <c r="B82" s="15"/>
      <c r="C82" s="15"/>
      <c r="D82" s="15"/>
      <c r="E82" s="17" t="s">
        <v>1866</v>
      </c>
      <c r="F82" s="15">
        <f t="shared" ref="F82:I82" si="4">SUM(F2:F81)</f>
        <v>19</v>
      </c>
      <c r="G82" s="15">
        <f t="shared" si="4"/>
        <v>18</v>
      </c>
      <c r="H82" s="15">
        <f t="shared" si="4"/>
        <v>31</v>
      </c>
      <c r="I82" s="15">
        <f t="shared" si="4"/>
        <v>12</v>
      </c>
      <c r="J82" s="15">
        <f>F82/(F82+H82)</f>
        <v>0.38</v>
      </c>
      <c r="K82" s="15">
        <f>F82/(F82+I82)</f>
        <v>0.61290322580645162</v>
      </c>
      <c r="L82" s="15">
        <f>2*(J82*K82)/(J82+K82)</f>
        <v>0.46913580246913583</v>
      </c>
      <c r="M82" s="15"/>
      <c r="N82" s="15"/>
      <c r="O82" s="15"/>
      <c r="P82" s="15"/>
      <c r="Q82" s="15"/>
      <c r="R82" s="15"/>
      <c r="S82" s="15"/>
      <c r="T82" s="15"/>
      <c r="U82" s="15"/>
      <c r="V82" s="15"/>
      <c r="W82" s="15"/>
    </row>
    <row r="83" spans="1:23" ht="12.45" x14ac:dyDescent="0.3">
      <c r="A83"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selection activeCell="B91" sqref="B91"/>
    </sheetView>
  </sheetViews>
  <sheetFormatPr defaultColWidth="12.61328125" defaultRowHeight="15.75" customHeight="1" x14ac:dyDescent="0.3"/>
  <cols>
    <col min="2" max="2" width="56.765625" customWidth="1"/>
    <col min="3" max="3" width="44" customWidth="1"/>
  </cols>
  <sheetData>
    <row r="1" spans="1:3" ht="15.75" customHeight="1" x14ac:dyDescent="0.45">
      <c r="A1" s="18" t="s">
        <v>1868</v>
      </c>
      <c r="B1" s="18" t="s">
        <v>1869</v>
      </c>
      <c r="C1" s="18" t="s">
        <v>2</v>
      </c>
    </row>
    <row r="2" spans="1:3" ht="15.75" customHeight="1" x14ac:dyDescent="0.4">
      <c r="A2" s="8" t="s">
        <v>45</v>
      </c>
      <c r="B2" s="8" t="s">
        <v>46</v>
      </c>
      <c r="C2" s="8" t="s">
        <v>47</v>
      </c>
    </row>
    <row r="3" spans="1:3" ht="15.75" customHeight="1" x14ac:dyDescent="0.4">
      <c r="A3" s="8" t="s">
        <v>87</v>
      </c>
      <c r="B3" s="8" t="s">
        <v>88</v>
      </c>
      <c r="C3" s="8" t="s">
        <v>47</v>
      </c>
    </row>
    <row r="4" spans="1:3" ht="15.75" customHeight="1" x14ac:dyDescent="0.4">
      <c r="A4" s="8" t="s">
        <v>104</v>
      </c>
      <c r="B4" s="8" t="s">
        <v>105</v>
      </c>
      <c r="C4" s="8" t="s">
        <v>47</v>
      </c>
    </row>
    <row r="5" spans="1:3" ht="15.75" customHeight="1" x14ac:dyDescent="0.4">
      <c r="A5" s="8" t="s">
        <v>107</v>
      </c>
      <c r="B5" s="8" t="s">
        <v>108</v>
      </c>
      <c r="C5" s="8" t="s">
        <v>47</v>
      </c>
    </row>
    <row r="6" spans="1:3" ht="15.75" customHeight="1" x14ac:dyDescent="0.4">
      <c r="A6" s="8" t="s">
        <v>19</v>
      </c>
      <c r="B6" s="8" t="s">
        <v>20</v>
      </c>
      <c r="C6" s="8" t="s">
        <v>21</v>
      </c>
    </row>
    <row r="7" spans="1:3" ht="15.75" customHeight="1" x14ac:dyDescent="0.4">
      <c r="A7" s="8" t="s">
        <v>35</v>
      </c>
      <c r="B7" s="8" t="s">
        <v>36</v>
      </c>
      <c r="C7" s="8" t="s">
        <v>21</v>
      </c>
    </row>
    <row r="8" spans="1:3" ht="15.75" customHeight="1" x14ac:dyDescent="0.4">
      <c r="A8" s="8" t="s">
        <v>152</v>
      </c>
      <c r="B8" s="8" t="s">
        <v>11</v>
      </c>
      <c r="C8" s="8" t="s">
        <v>21</v>
      </c>
    </row>
    <row r="9" spans="1:3" ht="15.75" customHeight="1" x14ac:dyDescent="0.4">
      <c r="A9" s="8" t="s">
        <v>1417</v>
      </c>
      <c r="B9" s="8" t="s">
        <v>1355</v>
      </c>
      <c r="C9" s="8" t="s">
        <v>21</v>
      </c>
    </row>
    <row r="10" spans="1:3" ht="15.75" customHeight="1" x14ac:dyDescent="0.4">
      <c r="A10" s="8" t="s">
        <v>1039</v>
      </c>
      <c r="B10" s="8" t="s">
        <v>1040</v>
      </c>
      <c r="C10" s="8" t="s">
        <v>21</v>
      </c>
    </row>
    <row r="11" spans="1:3" ht="15.75" customHeight="1" x14ac:dyDescent="0.4">
      <c r="A11" s="8" t="s">
        <v>1068</v>
      </c>
      <c r="B11" s="8" t="s">
        <v>1033</v>
      </c>
      <c r="C11" s="8" t="s">
        <v>21</v>
      </c>
    </row>
    <row r="12" spans="1:3" ht="15.75" customHeight="1" x14ac:dyDescent="0.4">
      <c r="A12" s="8" t="s">
        <v>1089</v>
      </c>
      <c r="B12" s="8" t="s">
        <v>1062</v>
      </c>
      <c r="C12" s="8" t="s">
        <v>21</v>
      </c>
    </row>
    <row r="13" spans="1:3" ht="15.75" customHeight="1" x14ac:dyDescent="0.4">
      <c r="A13" s="8" t="s">
        <v>1100</v>
      </c>
      <c r="B13" s="8" t="s">
        <v>1070</v>
      </c>
      <c r="C13" s="8" t="s">
        <v>21</v>
      </c>
    </row>
    <row r="14" spans="1:3" ht="15.75" customHeight="1" x14ac:dyDescent="0.4">
      <c r="A14" s="8" t="s">
        <v>27</v>
      </c>
      <c r="B14" s="8" t="s">
        <v>28</v>
      </c>
      <c r="C14" s="8" t="s">
        <v>29</v>
      </c>
    </row>
    <row r="15" spans="1:3" ht="15.75" customHeight="1" x14ac:dyDescent="0.4">
      <c r="A15" s="8" t="s">
        <v>69</v>
      </c>
      <c r="B15" s="8" t="s">
        <v>70</v>
      </c>
      <c r="C15" s="8" t="s">
        <v>29</v>
      </c>
    </row>
    <row r="16" spans="1:3" ht="15.75" customHeight="1" x14ac:dyDescent="0.4">
      <c r="A16" s="8" t="s">
        <v>96</v>
      </c>
      <c r="B16" s="8" t="s">
        <v>8</v>
      </c>
      <c r="C16" s="8" t="s">
        <v>29</v>
      </c>
    </row>
    <row r="17" spans="1:3" ht="15.75" customHeight="1" x14ac:dyDescent="0.4">
      <c r="A17" s="8" t="s">
        <v>100</v>
      </c>
      <c r="B17" s="8" t="s">
        <v>101</v>
      </c>
      <c r="C17" s="8" t="s">
        <v>29</v>
      </c>
    </row>
    <row r="18" spans="1:3" ht="15.75" customHeight="1" x14ac:dyDescent="0.4">
      <c r="A18" s="8" t="s">
        <v>1144</v>
      </c>
      <c r="B18" s="8" t="s">
        <v>1145</v>
      </c>
      <c r="C18" s="8" t="s">
        <v>29</v>
      </c>
    </row>
    <row r="19" spans="1:3" ht="15.75" customHeight="1" x14ac:dyDescent="0.4">
      <c r="A19" s="8" t="s">
        <v>1194</v>
      </c>
      <c r="B19" s="8" t="s">
        <v>1158</v>
      </c>
      <c r="C19" s="8" t="s">
        <v>29</v>
      </c>
    </row>
    <row r="20" spans="1:3" ht="15.75" customHeight="1" x14ac:dyDescent="0.4">
      <c r="A20" s="8" t="s">
        <v>1207</v>
      </c>
      <c r="B20" s="8" t="s">
        <v>1156</v>
      </c>
      <c r="C20" s="8" t="s">
        <v>29</v>
      </c>
    </row>
    <row r="21" spans="1:3" ht="15.75" customHeight="1" x14ac:dyDescent="0.4">
      <c r="A21" s="8" t="s">
        <v>1254</v>
      </c>
      <c r="B21" s="8" t="s">
        <v>1145</v>
      </c>
      <c r="C21" s="8" t="s">
        <v>29</v>
      </c>
    </row>
    <row r="22" spans="1:3" ht="15.75" customHeight="1" x14ac:dyDescent="0.4">
      <c r="A22" s="8" t="s">
        <v>16</v>
      </c>
      <c r="B22" s="8" t="s">
        <v>17</v>
      </c>
      <c r="C22" s="8" t="s">
        <v>18</v>
      </c>
    </row>
    <row r="23" spans="1:3" ht="15.75" customHeight="1" x14ac:dyDescent="0.4">
      <c r="A23" s="8" t="s">
        <v>48</v>
      </c>
      <c r="B23" s="8" t="s">
        <v>49</v>
      </c>
      <c r="C23" s="8" t="s">
        <v>18</v>
      </c>
    </row>
    <row r="24" spans="1:3" ht="15.75" customHeight="1" x14ac:dyDescent="0.4">
      <c r="A24" s="8" t="s">
        <v>71</v>
      </c>
      <c r="B24" s="8" t="s">
        <v>72</v>
      </c>
      <c r="C24" s="8" t="s">
        <v>18</v>
      </c>
    </row>
    <row r="25" spans="1:3" ht="15.75" customHeight="1" x14ac:dyDescent="0.4">
      <c r="A25" s="8" t="s">
        <v>92</v>
      </c>
      <c r="B25" s="8" t="s">
        <v>93</v>
      </c>
      <c r="C25" s="8" t="s">
        <v>18</v>
      </c>
    </row>
    <row r="26" spans="1:3" ht="15.75" customHeight="1" x14ac:dyDescent="0.4">
      <c r="A26" s="8" t="s">
        <v>1065</v>
      </c>
      <c r="B26" s="8" t="s">
        <v>1062</v>
      </c>
      <c r="C26" s="8" t="s">
        <v>18</v>
      </c>
    </row>
    <row r="27" spans="1:3" ht="15.75" customHeight="1" x14ac:dyDescent="0.4">
      <c r="A27" s="8" t="s">
        <v>1134</v>
      </c>
      <c r="B27" s="8" t="s">
        <v>1070</v>
      </c>
      <c r="C27" s="8" t="s">
        <v>18</v>
      </c>
    </row>
    <row r="28" spans="1:3" ht="15.75" customHeight="1" x14ac:dyDescent="0.4">
      <c r="A28" s="8" t="s">
        <v>63</v>
      </c>
      <c r="B28" s="8" t="s">
        <v>64</v>
      </c>
      <c r="C28" s="8" t="s">
        <v>65</v>
      </c>
    </row>
    <row r="29" spans="1:3" ht="15.75" customHeight="1" x14ac:dyDescent="0.4">
      <c r="A29" s="8" t="s">
        <v>73</v>
      </c>
      <c r="B29" s="8" t="s">
        <v>74</v>
      </c>
      <c r="C29" s="8" t="s">
        <v>65</v>
      </c>
    </row>
    <row r="30" spans="1:3" ht="15.75" customHeight="1" x14ac:dyDescent="0.4">
      <c r="A30" s="8" t="s">
        <v>75</v>
      </c>
      <c r="B30" s="8" t="s">
        <v>76</v>
      </c>
      <c r="C30" s="8" t="s">
        <v>65</v>
      </c>
    </row>
    <row r="31" spans="1:3" ht="15.75" customHeight="1" x14ac:dyDescent="0.4">
      <c r="A31" s="8" t="s">
        <v>89</v>
      </c>
      <c r="B31" s="8" t="s">
        <v>90</v>
      </c>
      <c r="C31" s="8" t="s">
        <v>65</v>
      </c>
    </row>
    <row r="32" spans="1:3" ht="15.75" customHeight="1" x14ac:dyDescent="0.4">
      <c r="A32" s="8" t="s">
        <v>1069</v>
      </c>
      <c r="B32" s="8" t="s">
        <v>1070</v>
      </c>
      <c r="C32" s="8" t="s">
        <v>65</v>
      </c>
    </row>
    <row r="33" spans="1:3" ht="15.75" customHeight="1" x14ac:dyDescent="0.4">
      <c r="A33" s="8" t="s">
        <v>1097</v>
      </c>
      <c r="B33" s="8" t="s">
        <v>1038</v>
      </c>
      <c r="C33" s="8" t="s">
        <v>65</v>
      </c>
    </row>
    <row r="34" spans="1:3" ht="15.75" customHeight="1" x14ac:dyDescent="0.4">
      <c r="A34" s="8" t="s">
        <v>1115</v>
      </c>
      <c r="B34" s="8" t="s">
        <v>1047</v>
      </c>
      <c r="C34" s="8" t="s">
        <v>65</v>
      </c>
    </row>
    <row r="35" spans="1:3" ht="15.75" customHeight="1" x14ac:dyDescent="0.4">
      <c r="A35" s="8" t="s">
        <v>1121</v>
      </c>
      <c r="B35" s="8" t="s">
        <v>1031</v>
      </c>
      <c r="C35" s="8" t="s">
        <v>65</v>
      </c>
    </row>
    <row r="36" spans="1:3" ht="15.75" customHeight="1" x14ac:dyDescent="0.4">
      <c r="A36" s="8" t="s">
        <v>66</v>
      </c>
      <c r="B36" s="8" t="s">
        <v>67</v>
      </c>
      <c r="C36" s="8" t="s">
        <v>68</v>
      </c>
    </row>
    <row r="37" spans="1:3" ht="14.6" x14ac:dyDescent="0.4">
      <c r="A37" s="8" t="s">
        <v>81</v>
      </c>
      <c r="B37" s="8" t="s">
        <v>82</v>
      </c>
      <c r="C37" s="8" t="s">
        <v>68</v>
      </c>
    </row>
    <row r="38" spans="1:3" ht="14.6" x14ac:dyDescent="0.4">
      <c r="A38" s="8" t="s">
        <v>119</v>
      </c>
      <c r="B38" s="8" t="s">
        <v>120</v>
      </c>
      <c r="C38" s="8" t="s">
        <v>68</v>
      </c>
    </row>
    <row r="39" spans="1:3" ht="14.6" x14ac:dyDescent="0.4">
      <c r="A39" s="8" t="s">
        <v>134</v>
      </c>
      <c r="B39" s="8" t="s">
        <v>135</v>
      </c>
      <c r="C39" s="8" t="s">
        <v>68</v>
      </c>
    </row>
    <row r="40" spans="1:3" ht="14.6" x14ac:dyDescent="0.4">
      <c r="A40" s="8" t="s">
        <v>1052</v>
      </c>
      <c r="B40" s="8" t="s">
        <v>1038</v>
      </c>
      <c r="C40" s="8" t="s">
        <v>68</v>
      </c>
    </row>
    <row r="41" spans="1:3" ht="14.6" x14ac:dyDescent="0.4">
      <c r="A41" s="8" t="s">
        <v>1055</v>
      </c>
      <c r="B41" s="8" t="s">
        <v>1029</v>
      </c>
      <c r="C41" s="8" t="s">
        <v>68</v>
      </c>
    </row>
    <row r="42" spans="1:3" ht="14.6" x14ac:dyDescent="0.4">
      <c r="A42" s="8" t="s">
        <v>1073</v>
      </c>
      <c r="B42" s="8" t="s">
        <v>1074</v>
      </c>
      <c r="C42" s="8" t="s">
        <v>68</v>
      </c>
    </row>
    <row r="43" spans="1:3" ht="14.6" x14ac:dyDescent="0.4">
      <c r="A43" s="8" t="s">
        <v>1132</v>
      </c>
      <c r="B43" s="8" t="s">
        <v>1051</v>
      </c>
      <c r="C43" s="8" t="s">
        <v>68</v>
      </c>
    </row>
    <row r="44" spans="1:3" ht="14.6" x14ac:dyDescent="0.4">
      <c r="A44" s="8" t="s">
        <v>13</v>
      </c>
      <c r="B44" s="8" t="s">
        <v>14</v>
      </c>
      <c r="C44" s="8" t="s">
        <v>15</v>
      </c>
    </row>
    <row r="45" spans="1:3" ht="14.6" x14ac:dyDescent="0.4">
      <c r="A45" s="8" t="s">
        <v>25</v>
      </c>
      <c r="B45" s="8" t="s">
        <v>26</v>
      </c>
      <c r="C45" s="8" t="s">
        <v>15</v>
      </c>
    </row>
    <row r="46" spans="1:3" ht="14.6" x14ac:dyDescent="0.4">
      <c r="A46" s="8" t="s">
        <v>39</v>
      </c>
      <c r="B46" s="8" t="s">
        <v>40</v>
      </c>
      <c r="C46" s="8" t="s">
        <v>15</v>
      </c>
    </row>
    <row r="47" spans="1:3" ht="14.6" x14ac:dyDescent="0.4">
      <c r="A47" s="8" t="s">
        <v>43</v>
      </c>
      <c r="B47" s="8" t="s">
        <v>44</v>
      </c>
      <c r="C47" s="8" t="s">
        <v>15</v>
      </c>
    </row>
    <row r="48" spans="1:3" ht="14.6" x14ac:dyDescent="0.4">
      <c r="A48" s="8" t="s">
        <v>1136</v>
      </c>
      <c r="B48" s="8" t="s">
        <v>1074</v>
      </c>
      <c r="C48" s="8" t="s">
        <v>15</v>
      </c>
    </row>
    <row r="49" spans="1:3" ht="14.6" x14ac:dyDescent="0.4">
      <c r="A49" s="8" t="s">
        <v>1137</v>
      </c>
      <c r="B49" s="8" t="s">
        <v>1033</v>
      </c>
      <c r="C49" s="8" t="s">
        <v>15</v>
      </c>
    </row>
    <row r="50" spans="1:3" ht="14.6" x14ac:dyDescent="0.4">
      <c r="A50" s="8" t="s">
        <v>1155</v>
      </c>
      <c r="B50" s="8" t="s">
        <v>1156</v>
      </c>
      <c r="C50" s="8" t="s">
        <v>15</v>
      </c>
    </row>
    <row r="51" spans="1:3" ht="14.6" x14ac:dyDescent="0.4">
      <c r="A51" s="8" t="s">
        <v>1163</v>
      </c>
      <c r="B51" s="8" t="s">
        <v>1156</v>
      </c>
      <c r="C51" s="8" t="s">
        <v>15</v>
      </c>
    </row>
    <row r="52" spans="1:3" ht="14.6" x14ac:dyDescent="0.4">
      <c r="A52" s="8" t="s">
        <v>22</v>
      </c>
      <c r="B52" s="8" t="s">
        <v>23</v>
      </c>
      <c r="C52" s="8" t="s">
        <v>24</v>
      </c>
    </row>
    <row r="53" spans="1:3" ht="14.6" x14ac:dyDescent="0.4">
      <c r="A53" s="8" t="s">
        <v>85</v>
      </c>
      <c r="B53" s="8" t="s">
        <v>86</v>
      </c>
      <c r="C53" s="8" t="s">
        <v>24</v>
      </c>
    </row>
    <row r="54" spans="1:3" ht="14.6" x14ac:dyDescent="0.4">
      <c r="A54" s="8" t="s">
        <v>196</v>
      </c>
      <c r="B54" s="8" t="s">
        <v>197</v>
      </c>
      <c r="C54" s="8" t="s">
        <v>24</v>
      </c>
    </row>
    <row r="55" spans="1:3" ht="14.6" x14ac:dyDescent="0.4">
      <c r="A55" s="8" t="s">
        <v>1368</v>
      </c>
      <c r="B55" s="8" t="s">
        <v>1355</v>
      </c>
      <c r="C55" s="8" t="s">
        <v>24</v>
      </c>
    </row>
    <row r="56" spans="1:3" ht="14.6" x14ac:dyDescent="0.4">
      <c r="A56" s="8" t="s">
        <v>1358</v>
      </c>
      <c r="B56" s="8" t="s">
        <v>1359</v>
      </c>
      <c r="C56" s="8" t="s">
        <v>24</v>
      </c>
    </row>
    <row r="57" spans="1:3" ht="14.6" x14ac:dyDescent="0.4">
      <c r="A57" s="8" t="s">
        <v>1398</v>
      </c>
      <c r="B57" s="8" t="s">
        <v>1359</v>
      </c>
      <c r="C57" s="8" t="s">
        <v>24</v>
      </c>
    </row>
    <row r="58" spans="1:3" ht="14.6" x14ac:dyDescent="0.4">
      <c r="A58" s="8" t="s">
        <v>1403</v>
      </c>
      <c r="B58" s="8" t="s">
        <v>1345</v>
      </c>
      <c r="C58" s="8" t="s">
        <v>24</v>
      </c>
    </row>
    <row r="59" spans="1:3" ht="14.6" x14ac:dyDescent="0.4">
      <c r="A59" s="8" t="s">
        <v>51</v>
      </c>
      <c r="B59" s="8" t="s">
        <v>46</v>
      </c>
      <c r="C59" s="8" t="s">
        <v>52</v>
      </c>
    </row>
    <row r="60" spans="1:3" ht="14.6" x14ac:dyDescent="0.4">
      <c r="A60" s="8" t="s">
        <v>102</v>
      </c>
      <c r="B60" s="8" t="s">
        <v>103</v>
      </c>
      <c r="C60" s="8" t="s">
        <v>52</v>
      </c>
    </row>
    <row r="61" spans="1:3" ht="14.6" x14ac:dyDescent="0.4">
      <c r="A61" s="8" t="s">
        <v>155</v>
      </c>
      <c r="B61" s="8" t="s">
        <v>156</v>
      </c>
      <c r="C61" s="8" t="s">
        <v>52</v>
      </c>
    </row>
    <row r="62" spans="1:3" ht="14.6" x14ac:dyDescent="0.4">
      <c r="A62" s="8" t="s">
        <v>168</v>
      </c>
      <c r="B62" s="8" t="s">
        <v>169</v>
      </c>
      <c r="C62" s="8" t="s">
        <v>52</v>
      </c>
    </row>
    <row r="63" spans="1:3" ht="14.6" x14ac:dyDescent="0.4">
      <c r="A63" s="8" t="s">
        <v>1370</v>
      </c>
      <c r="B63" s="8" t="s">
        <v>1359</v>
      </c>
      <c r="C63" s="8" t="s">
        <v>52</v>
      </c>
    </row>
    <row r="64" spans="1:3" ht="14.6" x14ac:dyDescent="0.4">
      <c r="A64" s="8" t="s">
        <v>1380</v>
      </c>
      <c r="B64" s="8" t="s">
        <v>1353</v>
      </c>
      <c r="C64" s="8" t="s">
        <v>52</v>
      </c>
    </row>
    <row r="65" spans="1:3" ht="14.6" x14ac:dyDescent="0.4">
      <c r="A65" s="8" t="s">
        <v>1399</v>
      </c>
      <c r="B65" s="8" t="s">
        <v>1351</v>
      </c>
      <c r="C65" s="8" t="s">
        <v>52</v>
      </c>
    </row>
    <row r="66" spans="1:3" ht="14.6" x14ac:dyDescent="0.4">
      <c r="A66" s="8" t="s">
        <v>1044</v>
      </c>
      <c r="B66" s="8" t="s">
        <v>1045</v>
      </c>
      <c r="C66" s="8" t="s">
        <v>52</v>
      </c>
    </row>
    <row r="67" spans="1:3" ht="14.6" x14ac:dyDescent="0.4">
      <c r="A67" s="8" t="s">
        <v>4</v>
      </c>
      <c r="B67" s="8" t="s">
        <v>5</v>
      </c>
      <c r="C67" s="8" t="s">
        <v>6</v>
      </c>
    </row>
    <row r="68" spans="1:3" ht="14.6" x14ac:dyDescent="0.4">
      <c r="A68" s="8" t="s">
        <v>99</v>
      </c>
      <c r="B68" s="8" t="s">
        <v>98</v>
      </c>
      <c r="C68" s="8" t="s">
        <v>6</v>
      </c>
    </row>
    <row r="69" spans="1:3" ht="14.6" x14ac:dyDescent="0.4">
      <c r="A69" s="8" t="s">
        <v>130</v>
      </c>
      <c r="B69" s="8" t="s">
        <v>131</v>
      </c>
      <c r="C69" s="8" t="s">
        <v>6</v>
      </c>
    </row>
    <row r="70" spans="1:3" ht="14.6" x14ac:dyDescent="0.4">
      <c r="A70" s="8" t="s">
        <v>140</v>
      </c>
      <c r="B70" s="8" t="s">
        <v>141</v>
      </c>
      <c r="C70" s="8" t="s">
        <v>6</v>
      </c>
    </row>
    <row r="71" spans="1:3" ht="14.6" x14ac:dyDescent="0.4">
      <c r="A71" s="8" t="s">
        <v>1026</v>
      </c>
      <c r="B71" s="8" t="s">
        <v>1027</v>
      </c>
      <c r="C71" s="8" t="s">
        <v>6</v>
      </c>
    </row>
    <row r="72" spans="1:3" ht="14.6" x14ac:dyDescent="0.4">
      <c r="A72" s="8" t="s">
        <v>1043</v>
      </c>
      <c r="B72" s="8" t="s">
        <v>1031</v>
      </c>
      <c r="C72" s="8" t="s">
        <v>6</v>
      </c>
    </row>
    <row r="73" spans="1:3" ht="14.6" x14ac:dyDescent="0.4">
      <c r="A73" s="8" t="s">
        <v>1053</v>
      </c>
      <c r="B73" s="8" t="s">
        <v>1054</v>
      </c>
      <c r="C73" s="8" t="s">
        <v>6</v>
      </c>
    </row>
    <row r="74" spans="1:3" ht="14.6" x14ac:dyDescent="0.4">
      <c r="A74" s="8" t="s">
        <v>1122</v>
      </c>
      <c r="B74" s="8" t="s">
        <v>1054</v>
      </c>
      <c r="C74" s="8" t="s">
        <v>6</v>
      </c>
    </row>
    <row r="75" spans="1:3" ht="14.6" x14ac:dyDescent="0.4">
      <c r="A75" s="8" t="s">
        <v>53</v>
      </c>
      <c r="B75" s="8" t="s">
        <v>54</v>
      </c>
      <c r="C75" s="8" t="s">
        <v>55</v>
      </c>
    </row>
    <row r="76" spans="1:3" ht="14.6" x14ac:dyDescent="0.4">
      <c r="A76" s="8" t="s">
        <v>77</v>
      </c>
      <c r="B76" s="8" t="s">
        <v>78</v>
      </c>
      <c r="C76" s="8" t="s">
        <v>55</v>
      </c>
    </row>
    <row r="77" spans="1:3" ht="14.6" x14ac:dyDescent="0.4">
      <c r="A77" s="8" t="s">
        <v>79</v>
      </c>
      <c r="B77" s="8" t="s">
        <v>80</v>
      </c>
      <c r="C77" s="8" t="s">
        <v>55</v>
      </c>
    </row>
    <row r="78" spans="1:3" ht="14.6" x14ac:dyDescent="0.4">
      <c r="A78" s="8" t="s">
        <v>115</v>
      </c>
      <c r="B78" s="8" t="s">
        <v>116</v>
      </c>
      <c r="C78" s="8" t="s">
        <v>55</v>
      </c>
    </row>
    <row r="79" spans="1:3" ht="14.6" x14ac:dyDescent="0.4">
      <c r="A79" s="8" t="s">
        <v>1390</v>
      </c>
      <c r="B79" s="8" t="s">
        <v>1353</v>
      </c>
      <c r="C79" s="8" t="s">
        <v>55</v>
      </c>
    </row>
    <row r="80" spans="1:3" ht="14.6" x14ac:dyDescent="0.4">
      <c r="A80" s="8" t="s">
        <v>1028</v>
      </c>
      <c r="B80" s="8" t="s">
        <v>1029</v>
      </c>
      <c r="C80" s="8" t="s">
        <v>55</v>
      </c>
    </row>
    <row r="81" spans="1:3" ht="14.6" x14ac:dyDescent="0.4">
      <c r="A81" s="8" t="s">
        <v>1036</v>
      </c>
      <c r="B81" s="8" t="s">
        <v>1035</v>
      </c>
      <c r="C81" s="8" t="s">
        <v>55</v>
      </c>
    </row>
    <row r="82" spans="1:3" ht="14.6" x14ac:dyDescent="0.4">
      <c r="A82" s="8" t="s">
        <v>1093</v>
      </c>
      <c r="B82" s="8" t="s">
        <v>1051</v>
      </c>
      <c r="C82" s="8" t="s">
        <v>55</v>
      </c>
    </row>
    <row r="83" spans="1:3" ht="14.6" x14ac:dyDescent="0.4">
      <c r="A83" s="8" t="s">
        <v>32</v>
      </c>
      <c r="B83" s="8" t="s">
        <v>33</v>
      </c>
      <c r="C83" s="8" t="s">
        <v>34</v>
      </c>
    </row>
    <row r="84" spans="1:3" ht="14.6" x14ac:dyDescent="0.4">
      <c r="A84" s="8" t="s">
        <v>41</v>
      </c>
      <c r="B84" s="8" t="s">
        <v>42</v>
      </c>
      <c r="C84" s="8" t="s">
        <v>34</v>
      </c>
    </row>
    <row r="85" spans="1:3" ht="14.6" x14ac:dyDescent="0.4">
      <c r="A85" s="8" t="s">
        <v>50</v>
      </c>
      <c r="B85" s="8" t="s">
        <v>40</v>
      </c>
      <c r="C85" s="8" t="s">
        <v>34</v>
      </c>
    </row>
    <row r="86" spans="1:3" ht="14.6" x14ac:dyDescent="0.4">
      <c r="A86" s="8" t="s">
        <v>106</v>
      </c>
      <c r="B86" s="8" t="s">
        <v>82</v>
      </c>
      <c r="C86" s="8" t="s">
        <v>34</v>
      </c>
    </row>
    <row r="87" spans="1:3" ht="14.6" x14ac:dyDescent="0.4">
      <c r="A87" s="8" t="s">
        <v>1050</v>
      </c>
      <c r="B87" s="8" t="s">
        <v>1051</v>
      </c>
      <c r="C87" s="8" t="s">
        <v>34</v>
      </c>
    </row>
    <row r="88" spans="1:3" ht="14.6" x14ac:dyDescent="0.4">
      <c r="A88" s="8" t="s">
        <v>1088</v>
      </c>
      <c r="B88" s="8" t="s">
        <v>1029</v>
      </c>
      <c r="C88" s="8" t="s">
        <v>34</v>
      </c>
    </row>
    <row r="89" spans="1:3" ht="14.6" x14ac:dyDescent="0.4">
      <c r="A89" s="8" t="s">
        <v>1116</v>
      </c>
      <c r="B89" s="8" t="s">
        <v>1080</v>
      </c>
      <c r="C89" s="8" t="s">
        <v>34</v>
      </c>
    </row>
    <row r="90" spans="1:3" ht="14.6" x14ac:dyDescent="0.4">
      <c r="A90" s="8" t="s">
        <v>7</v>
      </c>
      <c r="B90" s="8" t="s">
        <v>8</v>
      </c>
      <c r="C90" s="8" t="s">
        <v>9</v>
      </c>
    </row>
    <row r="91" spans="1:3" ht="14.6" x14ac:dyDescent="0.4">
      <c r="A91" s="8" t="s">
        <v>61</v>
      </c>
      <c r="B91" s="8" t="s">
        <v>62</v>
      </c>
      <c r="C91" s="8" t="s">
        <v>9</v>
      </c>
    </row>
    <row r="92" spans="1:3" ht="14.6" x14ac:dyDescent="0.4">
      <c r="A92" s="8" t="s">
        <v>83</v>
      </c>
      <c r="B92" s="8" t="s">
        <v>84</v>
      </c>
      <c r="C92" s="8" t="s">
        <v>9</v>
      </c>
    </row>
    <row r="93" spans="1:3" ht="14.6" x14ac:dyDescent="0.4">
      <c r="A93" s="8" t="s">
        <v>127</v>
      </c>
      <c r="B93" s="8" t="s">
        <v>128</v>
      </c>
      <c r="C93" s="8" t="s">
        <v>9</v>
      </c>
    </row>
    <row r="94" spans="1:3" ht="14.6" x14ac:dyDescent="0.4">
      <c r="A94" s="8" t="s">
        <v>1030</v>
      </c>
      <c r="B94" s="8" t="s">
        <v>1031</v>
      </c>
      <c r="C94" s="8" t="s">
        <v>9</v>
      </c>
    </row>
    <row r="95" spans="1:3" ht="14.6" x14ac:dyDescent="0.4">
      <c r="A95" s="8" t="s">
        <v>1037</v>
      </c>
      <c r="B95" s="8" t="s">
        <v>1038</v>
      </c>
      <c r="C95" s="8" t="s">
        <v>9</v>
      </c>
    </row>
    <row r="96" spans="1:3" ht="14.6" x14ac:dyDescent="0.4">
      <c r="A96" s="8" t="s">
        <v>1042</v>
      </c>
      <c r="B96" s="8" t="s">
        <v>1038</v>
      </c>
      <c r="C96" s="8" t="s">
        <v>9</v>
      </c>
    </row>
    <row r="97" spans="1:3" ht="14.6" x14ac:dyDescent="0.4">
      <c r="A97" s="8" t="s">
        <v>1056</v>
      </c>
      <c r="B97" s="8" t="s">
        <v>1054</v>
      </c>
      <c r="C97" s="8" t="s">
        <v>9</v>
      </c>
    </row>
    <row r="98" spans="1:3" ht="14.6" x14ac:dyDescent="0.4">
      <c r="A98" s="8" t="s">
        <v>56</v>
      </c>
      <c r="B98" s="8" t="s">
        <v>57</v>
      </c>
      <c r="C98" s="8" t="s">
        <v>58</v>
      </c>
    </row>
    <row r="99" spans="1:3" ht="14.6" x14ac:dyDescent="0.4">
      <c r="A99" s="8" t="s">
        <v>111</v>
      </c>
      <c r="B99" s="8" t="s">
        <v>112</v>
      </c>
      <c r="C99" s="8" t="s">
        <v>58</v>
      </c>
    </row>
    <row r="100" spans="1:3" ht="14.6" x14ac:dyDescent="0.4">
      <c r="A100" s="8" t="s">
        <v>159</v>
      </c>
      <c r="B100" s="8" t="s">
        <v>160</v>
      </c>
      <c r="C100" s="8" t="s">
        <v>58</v>
      </c>
    </row>
    <row r="101" spans="1:3" ht="14.6" x14ac:dyDescent="0.4">
      <c r="A101" s="8" t="s">
        <v>199</v>
      </c>
      <c r="B101" s="8" t="s">
        <v>200</v>
      </c>
      <c r="C101" s="8" t="s">
        <v>58</v>
      </c>
    </row>
    <row r="102" spans="1:3" ht="14.6" x14ac:dyDescent="0.4">
      <c r="A102" s="8" t="s">
        <v>1103</v>
      </c>
      <c r="B102" s="8" t="s">
        <v>1080</v>
      </c>
      <c r="C102" s="8" t="s">
        <v>58</v>
      </c>
    </row>
    <row r="103" spans="1:3" ht="14.6" x14ac:dyDescent="0.4">
      <c r="A103" s="8" t="s">
        <v>1111</v>
      </c>
      <c r="B103" s="8" t="s">
        <v>1029</v>
      </c>
      <c r="C103" s="8" t="s">
        <v>58</v>
      </c>
    </row>
    <row r="104" spans="1:3" ht="14.6" x14ac:dyDescent="0.4">
      <c r="A104" s="8" t="s">
        <v>1213</v>
      </c>
      <c r="B104" s="8" t="s">
        <v>1156</v>
      </c>
      <c r="C104" s="8" t="s">
        <v>58</v>
      </c>
    </row>
    <row r="105" spans="1:3" ht="14.6" x14ac:dyDescent="0.4">
      <c r="A105" s="8" t="s">
        <v>1247</v>
      </c>
      <c r="B105" s="8" t="s">
        <v>1145</v>
      </c>
      <c r="C105" s="8" t="s">
        <v>58</v>
      </c>
    </row>
    <row r="106" spans="1:3" ht="14.6" x14ac:dyDescent="0.4">
      <c r="A106" s="8" t="s">
        <v>10</v>
      </c>
      <c r="B106" s="8" t="s">
        <v>11</v>
      </c>
      <c r="C106" s="8" t="s">
        <v>12</v>
      </c>
    </row>
    <row r="107" spans="1:3" ht="14.6" x14ac:dyDescent="0.4">
      <c r="A107" s="8" t="s">
        <v>30</v>
      </c>
      <c r="B107" s="8" t="s">
        <v>31</v>
      </c>
      <c r="C107" s="8" t="s">
        <v>12</v>
      </c>
    </row>
    <row r="108" spans="1:3" ht="14.6" x14ac:dyDescent="0.4">
      <c r="A108" s="8" t="s">
        <v>37</v>
      </c>
      <c r="B108" s="8" t="s">
        <v>38</v>
      </c>
      <c r="C108" s="8" t="s">
        <v>12</v>
      </c>
    </row>
    <row r="109" spans="1:3" ht="14.6" x14ac:dyDescent="0.4">
      <c r="A109" s="8" t="s">
        <v>59</v>
      </c>
      <c r="B109" s="8" t="s">
        <v>60</v>
      </c>
      <c r="C109" s="8" t="s">
        <v>12</v>
      </c>
    </row>
    <row r="110" spans="1:3" ht="14.6" x14ac:dyDescent="0.4">
      <c r="A110" s="8" t="s">
        <v>1352</v>
      </c>
      <c r="B110" s="8" t="s">
        <v>1353</v>
      </c>
      <c r="C110" s="8" t="s">
        <v>12</v>
      </c>
    </row>
    <row r="111" spans="1:3" ht="14.6" x14ac:dyDescent="0.4">
      <c r="A111" s="8" t="s">
        <v>1424</v>
      </c>
      <c r="B111" s="8" t="s">
        <v>1359</v>
      </c>
      <c r="C111" s="8" t="s">
        <v>12</v>
      </c>
    </row>
    <row r="112" spans="1:3" ht="14.6" x14ac:dyDescent="0.4">
      <c r="A112" s="8" t="s">
        <v>1034</v>
      </c>
      <c r="B112" s="8" t="s">
        <v>1035</v>
      </c>
      <c r="C112" s="8" t="s">
        <v>12</v>
      </c>
    </row>
    <row r="113" spans="1:3" ht="14.6" x14ac:dyDescent="0.4">
      <c r="A113" s="8" t="s">
        <v>1079</v>
      </c>
      <c r="B113" s="8" t="s">
        <v>1080</v>
      </c>
      <c r="C113" s="8" t="s">
        <v>12</v>
      </c>
    </row>
    <row r="114" spans="1:3" ht="12.45" x14ac:dyDescent="0.3">
      <c r="A114" s="7"/>
      <c r="B114" s="7"/>
      <c r="C114" s="7"/>
    </row>
    <row r="115" spans="1:3" ht="12.45" x14ac:dyDescent="0.3">
      <c r="A115" s="7"/>
      <c r="B115" s="7"/>
      <c r="C115" s="7"/>
    </row>
    <row r="116" spans="1:3" ht="12.45" x14ac:dyDescent="0.3">
      <c r="A116" s="7"/>
      <c r="B116" s="7"/>
      <c r="C116" s="7"/>
    </row>
    <row r="117" spans="1:3" ht="12.45" x14ac:dyDescent="0.3">
      <c r="A117" s="7"/>
      <c r="B117" s="7"/>
      <c r="C117" s="7"/>
    </row>
    <row r="118" spans="1:3" ht="12.45" x14ac:dyDescent="0.3">
      <c r="A118" s="7"/>
      <c r="B118" s="7"/>
      <c r="C118" s="7"/>
    </row>
    <row r="119" spans="1:3" ht="12.45" x14ac:dyDescent="0.3">
      <c r="A119" s="7"/>
      <c r="B119" s="7"/>
      <c r="C119" s="7"/>
    </row>
    <row r="120" spans="1:3" ht="12.45" x14ac:dyDescent="0.3">
      <c r="A120" s="7"/>
      <c r="B120" s="7"/>
      <c r="C120" s="7"/>
    </row>
    <row r="121" spans="1:3" ht="12.45" x14ac:dyDescent="0.3">
      <c r="A121" s="7"/>
      <c r="B121" s="7"/>
      <c r="C121" s="7"/>
    </row>
    <row r="122" spans="1:3" ht="12.45" x14ac:dyDescent="0.3">
      <c r="A122" s="7"/>
      <c r="B122" s="7"/>
      <c r="C122" s="7"/>
    </row>
    <row r="123" spans="1:3" ht="12.45" x14ac:dyDescent="0.3">
      <c r="A123" s="7"/>
      <c r="B123" s="7"/>
      <c r="C123" s="7"/>
    </row>
    <row r="124" spans="1:3" ht="12.45" x14ac:dyDescent="0.3">
      <c r="A124" s="7"/>
      <c r="B124" s="7"/>
      <c r="C124" s="7"/>
    </row>
    <row r="125" spans="1:3" ht="12.45" x14ac:dyDescent="0.3">
      <c r="A125" s="7"/>
      <c r="B125" s="7"/>
      <c r="C125" s="7"/>
    </row>
    <row r="126" spans="1:3" ht="12.45" x14ac:dyDescent="0.3">
      <c r="A126" s="7"/>
      <c r="B126" s="7"/>
      <c r="C126" s="7"/>
    </row>
    <row r="127" spans="1:3" ht="12.45" x14ac:dyDescent="0.3">
      <c r="A127" s="7"/>
      <c r="B127" s="7"/>
      <c r="C127" s="7"/>
    </row>
    <row r="128" spans="1:3" ht="12.45" x14ac:dyDescent="0.3">
      <c r="A128" s="7"/>
      <c r="B128" s="7"/>
      <c r="C128" s="7"/>
    </row>
    <row r="129" spans="1:3" ht="12.45" x14ac:dyDescent="0.3">
      <c r="A129" s="7"/>
      <c r="B129" s="7"/>
      <c r="C129" s="7"/>
    </row>
    <row r="130" spans="1:3" ht="12.45" x14ac:dyDescent="0.3">
      <c r="A130" s="7"/>
      <c r="B130" s="7"/>
      <c r="C130" s="7"/>
    </row>
    <row r="131" spans="1:3" ht="12.45" x14ac:dyDescent="0.3">
      <c r="A131" s="7"/>
      <c r="B131" s="7"/>
      <c r="C131" s="7"/>
    </row>
    <row r="132" spans="1:3" ht="12.45" x14ac:dyDescent="0.3">
      <c r="A132" s="7"/>
      <c r="B132" s="7"/>
      <c r="C132" s="7"/>
    </row>
    <row r="133" spans="1:3" ht="12.45" x14ac:dyDescent="0.3">
      <c r="A133" s="7"/>
      <c r="B133" s="7"/>
      <c r="C133" s="7"/>
    </row>
    <row r="134" spans="1:3" ht="12.45" x14ac:dyDescent="0.3">
      <c r="A134" s="7"/>
      <c r="B134" s="7"/>
      <c r="C134" s="7"/>
    </row>
    <row r="135" spans="1:3" ht="12.45" x14ac:dyDescent="0.3">
      <c r="A135" s="7"/>
      <c r="B135" s="7"/>
      <c r="C135" s="7"/>
    </row>
    <row r="136" spans="1:3" ht="12.45" x14ac:dyDescent="0.3">
      <c r="A136" s="7"/>
      <c r="B136" s="7"/>
      <c r="C136" s="7"/>
    </row>
    <row r="137" spans="1:3" ht="12.45" x14ac:dyDescent="0.3">
      <c r="A137" s="7"/>
      <c r="B137" s="7"/>
      <c r="C137" s="7"/>
    </row>
    <row r="138" spans="1:3" ht="12.45" x14ac:dyDescent="0.3">
      <c r="A138" s="7"/>
      <c r="B138" s="7"/>
      <c r="C138" s="7"/>
    </row>
    <row r="139" spans="1:3" ht="12.45" x14ac:dyDescent="0.3">
      <c r="A139" s="7"/>
      <c r="B139" s="7"/>
      <c r="C139" s="7"/>
    </row>
    <row r="140" spans="1:3" ht="12.45" x14ac:dyDescent="0.3">
      <c r="A140" s="7"/>
      <c r="B140" s="7"/>
      <c r="C140" s="7"/>
    </row>
    <row r="141" spans="1:3" ht="12.45" x14ac:dyDescent="0.3">
      <c r="A141" s="7"/>
      <c r="B141" s="7"/>
      <c r="C141" s="7"/>
    </row>
    <row r="142" spans="1:3" ht="12.45" x14ac:dyDescent="0.3">
      <c r="A142" s="7"/>
      <c r="B142" s="7"/>
      <c r="C142" s="7"/>
    </row>
    <row r="143" spans="1:3" ht="12.45" x14ac:dyDescent="0.3">
      <c r="A143" s="7"/>
      <c r="B143" s="7"/>
      <c r="C143" s="7"/>
    </row>
    <row r="144" spans="1:3" ht="12.45" x14ac:dyDescent="0.3">
      <c r="A144" s="7"/>
      <c r="B144" s="7"/>
      <c r="C144" s="7"/>
    </row>
    <row r="145" spans="1:3" ht="12.45" x14ac:dyDescent="0.3">
      <c r="A145" s="7"/>
      <c r="B145" s="7"/>
      <c r="C145" s="7"/>
    </row>
    <row r="146" spans="1:3" ht="12.45" x14ac:dyDescent="0.3">
      <c r="A146" s="7"/>
      <c r="B146" s="7"/>
      <c r="C146" s="7"/>
    </row>
    <row r="147" spans="1:3" ht="12.45" x14ac:dyDescent="0.3">
      <c r="A147" s="7"/>
      <c r="B147" s="7"/>
      <c r="C147" s="7"/>
    </row>
    <row r="148" spans="1:3" ht="12.45" x14ac:dyDescent="0.3">
      <c r="A148" s="7"/>
      <c r="B148" s="7"/>
      <c r="C148" s="7"/>
    </row>
    <row r="149" spans="1:3" ht="12.45" x14ac:dyDescent="0.3">
      <c r="A149" s="7"/>
      <c r="B149" s="7"/>
      <c r="C149" s="7"/>
    </row>
    <row r="150" spans="1:3" ht="12.45" x14ac:dyDescent="0.3">
      <c r="A150" s="7"/>
      <c r="B150" s="7"/>
      <c r="C150" s="7"/>
    </row>
    <row r="151" spans="1:3" ht="12.45" x14ac:dyDescent="0.3">
      <c r="A151" s="7"/>
      <c r="B151" s="7"/>
      <c r="C151" s="7"/>
    </row>
    <row r="152" spans="1:3" ht="12.45" x14ac:dyDescent="0.3">
      <c r="A152" s="7"/>
      <c r="B152" s="7"/>
      <c r="C152" s="7"/>
    </row>
    <row r="153" spans="1:3" ht="12.45" x14ac:dyDescent="0.3">
      <c r="A153" s="7"/>
      <c r="B153" s="7"/>
      <c r="C153" s="7"/>
    </row>
    <row r="154" spans="1:3" ht="12.45" x14ac:dyDescent="0.3">
      <c r="A154" s="7"/>
      <c r="B154" s="7"/>
      <c r="C154" s="7"/>
    </row>
    <row r="155" spans="1:3" ht="12.45" x14ac:dyDescent="0.3">
      <c r="A155" s="7"/>
      <c r="B155" s="7"/>
      <c r="C155" s="7"/>
    </row>
    <row r="156" spans="1:3" ht="12.45" x14ac:dyDescent="0.3">
      <c r="A156" s="7"/>
      <c r="B156" s="7"/>
      <c r="C156" s="7"/>
    </row>
    <row r="157" spans="1:3" ht="12.45" x14ac:dyDescent="0.3">
      <c r="A157" s="7"/>
      <c r="B157" s="7"/>
      <c r="C157" s="7"/>
    </row>
    <row r="158" spans="1:3" ht="12.45" x14ac:dyDescent="0.3">
      <c r="A158" s="7"/>
      <c r="B158" s="7"/>
      <c r="C158" s="7"/>
    </row>
    <row r="159" spans="1:3" ht="12.45" x14ac:dyDescent="0.3">
      <c r="A159" s="7"/>
      <c r="B159" s="7"/>
      <c r="C159" s="7"/>
    </row>
    <row r="160" spans="1:3" ht="12.45" x14ac:dyDescent="0.3">
      <c r="A160" s="7"/>
      <c r="B160" s="7"/>
      <c r="C160" s="7"/>
    </row>
    <row r="161" spans="1:3" ht="12.45" x14ac:dyDescent="0.3">
      <c r="A161" s="7"/>
      <c r="B161" s="7"/>
      <c r="C161" s="7"/>
    </row>
    <row r="162" spans="1:3" ht="12.45" x14ac:dyDescent="0.3">
      <c r="A162" s="7"/>
      <c r="B162" s="7"/>
      <c r="C162" s="7"/>
    </row>
    <row r="163" spans="1:3" ht="12.45" x14ac:dyDescent="0.3">
      <c r="A163" s="7"/>
      <c r="B163" s="7"/>
      <c r="C163" s="7"/>
    </row>
    <row r="164" spans="1:3" ht="12.45" x14ac:dyDescent="0.3">
      <c r="A164" s="7"/>
      <c r="B164" s="7"/>
      <c r="C164" s="7"/>
    </row>
    <row r="165" spans="1:3" ht="12.45" x14ac:dyDescent="0.3">
      <c r="A165" s="7"/>
      <c r="B165" s="7"/>
      <c r="C165" s="7"/>
    </row>
    <row r="166" spans="1:3" ht="12.45" x14ac:dyDescent="0.3">
      <c r="A166" s="7"/>
      <c r="B166" s="7"/>
      <c r="C166" s="7"/>
    </row>
    <row r="167" spans="1:3" ht="12.45" x14ac:dyDescent="0.3">
      <c r="A167" s="7"/>
      <c r="B167" s="7"/>
      <c r="C167" s="7"/>
    </row>
    <row r="168" spans="1:3" ht="12.45" x14ac:dyDescent="0.3">
      <c r="A168" s="7"/>
      <c r="B168" s="7"/>
      <c r="C168" s="7"/>
    </row>
    <row r="169" spans="1:3" ht="12.45" x14ac:dyDescent="0.3">
      <c r="A169" s="7"/>
      <c r="B169" s="7"/>
      <c r="C169" s="7"/>
    </row>
    <row r="170" spans="1:3" ht="12.45" x14ac:dyDescent="0.3">
      <c r="A170" s="7"/>
      <c r="B170" s="7"/>
      <c r="C170" s="7"/>
    </row>
    <row r="171" spans="1:3" ht="12.45" x14ac:dyDescent="0.3">
      <c r="A171" s="7"/>
      <c r="B171" s="7"/>
      <c r="C171" s="7"/>
    </row>
    <row r="172" spans="1:3" ht="12.45" x14ac:dyDescent="0.3">
      <c r="A172" s="7"/>
      <c r="B172" s="7"/>
      <c r="C172" s="7"/>
    </row>
    <row r="173" spans="1:3" ht="12.45" x14ac:dyDescent="0.3">
      <c r="A173" s="7"/>
      <c r="B173" s="7"/>
      <c r="C173" s="7"/>
    </row>
    <row r="174" spans="1:3" ht="12.45" x14ac:dyDescent="0.3">
      <c r="A174" s="7"/>
      <c r="B174" s="7"/>
      <c r="C174" s="7"/>
    </row>
    <row r="175" spans="1:3" ht="12.45" x14ac:dyDescent="0.3">
      <c r="A175" s="7"/>
      <c r="B175" s="7"/>
      <c r="C175" s="7"/>
    </row>
    <row r="176" spans="1:3" ht="12.45" x14ac:dyDescent="0.3">
      <c r="A176" s="7"/>
      <c r="B176" s="7"/>
      <c r="C176" s="7"/>
    </row>
    <row r="177" spans="1:3" ht="12.45" x14ac:dyDescent="0.3">
      <c r="A177" s="7"/>
      <c r="B177" s="7"/>
      <c r="C177" s="7"/>
    </row>
    <row r="178" spans="1:3" ht="12.45" x14ac:dyDescent="0.3">
      <c r="A178" s="7"/>
      <c r="B178" s="7"/>
      <c r="C178" s="7"/>
    </row>
    <row r="179" spans="1:3" ht="12.45" x14ac:dyDescent="0.3">
      <c r="A179" s="7"/>
      <c r="B179" s="7"/>
      <c r="C179" s="7"/>
    </row>
    <row r="180" spans="1:3" ht="12.45" x14ac:dyDescent="0.3">
      <c r="A180" s="7"/>
      <c r="B180" s="7"/>
      <c r="C180" s="7"/>
    </row>
    <row r="181" spans="1:3" ht="12.45" x14ac:dyDescent="0.3">
      <c r="A181" s="7"/>
      <c r="B181" s="7"/>
      <c r="C181" s="7"/>
    </row>
    <row r="182" spans="1:3" ht="12.45" x14ac:dyDescent="0.3">
      <c r="A182" s="7"/>
      <c r="B182" s="7"/>
      <c r="C182" s="7"/>
    </row>
    <row r="183" spans="1:3" ht="12.45" x14ac:dyDescent="0.3">
      <c r="A183" s="7"/>
      <c r="B183" s="7"/>
      <c r="C183" s="7"/>
    </row>
    <row r="184" spans="1:3" ht="12.45" x14ac:dyDescent="0.3">
      <c r="A184" s="7"/>
      <c r="B184" s="7"/>
      <c r="C184" s="7"/>
    </row>
    <row r="185" spans="1:3" ht="12.45" x14ac:dyDescent="0.3">
      <c r="A185" s="7"/>
      <c r="B185" s="7"/>
      <c r="C185" s="7"/>
    </row>
    <row r="186" spans="1:3" ht="12.45" x14ac:dyDescent="0.3">
      <c r="A186" s="7"/>
      <c r="B186" s="7"/>
      <c r="C186" s="7"/>
    </row>
    <row r="187" spans="1:3" ht="12.45" x14ac:dyDescent="0.3">
      <c r="A187" s="7"/>
      <c r="B187" s="7"/>
      <c r="C187" s="7"/>
    </row>
    <row r="188" spans="1:3" ht="12.45" x14ac:dyDescent="0.3">
      <c r="A188" s="7"/>
      <c r="B188" s="7"/>
      <c r="C188" s="7"/>
    </row>
    <row r="189" spans="1:3" ht="12.45" x14ac:dyDescent="0.3">
      <c r="A189" s="7"/>
      <c r="B189" s="7"/>
      <c r="C189" s="7"/>
    </row>
    <row r="190" spans="1:3" ht="12.45" x14ac:dyDescent="0.3">
      <c r="A190" s="7"/>
      <c r="B190" s="7"/>
      <c r="C190" s="7"/>
    </row>
    <row r="191" spans="1:3" ht="12.45" x14ac:dyDescent="0.3">
      <c r="A191" s="7"/>
      <c r="B191" s="7"/>
      <c r="C191" s="7"/>
    </row>
    <row r="192" spans="1:3" ht="12.45" x14ac:dyDescent="0.3">
      <c r="A192" s="7"/>
      <c r="B192" s="7"/>
      <c r="C192" s="7"/>
    </row>
    <row r="193" spans="1:3" ht="12.45" x14ac:dyDescent="0.3">
      <c r="A193" s="7"/>
      <c r="B193" s="7"/>
      <c r="C193" s="7"/>
    </row>
    <row r="194" spans="1:3" ht="12.45" x14ac:dyDescent="0.3">
      <c r="A194" s="7"/>
      <c r="B194" s="7"/>
      <c r="C194" s="7"/>
    </row>
    <row r="195" spans="1:3" ht="12.45" x14ac:dyDescent="0.3">
      <c r="A195" s="7"/>
      <c r="B195" s="7"/>
      <c r="C195" s="7"/>
    </row>
    <row r="196" spans="1:3" ht="12.45" x14ac:dyDescent="0.3">
      <c r="A196" s="7"/>
      <c r="B196" s="7"/>
      <c r="C196" s="7"/>
    </row>
    <row r="197" spans="1:3" ht="12.45" x14ac:dyDescent="0.3">
      <c r="A197" s="7"/>
      <c r="B197" s="7"/>
      <c r="C197" s="7"/>
    </row>
    <row r="198" spans="1:3" ht="12.45" x14ac:dyDescent="0.3">
      <c r="A198" s="7"/>
      <c r="B198" s="7"/>
      <c r="C198" s="7"/>
    </row>
    <row r="199" spans="1:3" ht="12.45" x14ac:dyDescent="0.3">
      <c r="A199" s="7"/>
      <c r="B199" s="7"/>
      <c r="C199" s="7"/>
    </row>
    <row r="200" spans="1:3" ht="12.45" x14ac:dyDescent="0.3">
      <c r="A200" s="7"/>
      <c r="B200" s="7"/>
      <c r="C200" s="7"/>
    </row>
    <row r="201" spans="1:3" ht="12.45" x14ac:dyDescent="0.3">
      <c r="A201" s="7"/>
      <c r="B201" s="7"/>
      <c r="C201" s="7"/>
    </row>
    <row r="202" spans="1:3" ht="12.45" x14ac:dyDescent="0.3">
      <c r="A202" s="7"/>
      <c r="B202" s="7"/>
      <c r="C202" s="7"/>
    </row>
    <row r="203" spans="1:3" ht="12.45" x14ac:dyDescent="0.3">
      <c r="A203" s="7"/>
      <c r="B203" s="7"/>
      <c r="C203" s="7"/>
    </row>
    <row r="204" spans="1:3" ht="12.45" x14ac:dyDescent="0.3">
      <c r="A204" s="7"/>
      <c r="B204" s="7"/>
      <c r="C204" s="7"/>
    </row>
    <row r="205" spans="1:3" ht="12.45" x14ac:dyDescent="0.3">
      <c r="A205" s="7"/>
      <c r="B205" s="7"/>
      <c r="C205" s="7"/>
    </row>
    <row r="206" spans="1:3" ht="12.45" x14ac:dyDescent="0.3">
      <c r="A206" s="7"/>
      <c r="B206" s="7"/>
      <c r="C206" s="7"/>
    </row>
    <row r="207" spans="1:3" ht="12.45" x14ac:dyDescent="0.3">
      <c r="A207" s="7"/>
      <c r="B207" s="7"/>
      <c r="C207" s="7"/>
    </row>
    <row r="208" spans="1:3" ht="12.45" x14ac:dyDescent="0.3">
      <c r="A208" s="7"/>
      <c r="B208" s="7"/>
      <c r="C208" s="7"/>
    </row>
    <row r="209" spans="1:3" ht="12.45" x14ac:dyDescent="0.3">
      <c r="A209" s="7"/>
      <c r="B209" s="7"/>
      <c r="C209" s="7"/>
    </row>
    <row r="210" spans="1:3" ht="12.45" x14ac:dyDescent="0.3">
      <c r="A210" s="7"/>
      <c r="B210" s="7"/>
      <c r="C210" s="7"/>
    </row>
    <row r="211" spans="1:3" ht="12.45" x14ac:dyDescent="0.3">
      <c r="A211" s="7"/>
      <c r="B211" s="7"/>
      <c r="C211" s="7"/>
    </row>
    <row r="212" spans="1:3" ht="12.45" x14ac:dyDescent="0.3">
      <c r="A212" s="7"/>
      <c r="B212" s="7"/>
      <c r="C212" s="7"/>
    </row>
    <row r="213" spans="1:3" ht="12.45" x14ac:dyDescent="0.3">
      <c r="A213" s="7"/>
      <c r="B213" s="7"/>
      <c r="C213" s="7"/>
    </row>
    <row r="214" spans="1:3" ht="12.45" x14ac:dyDescent="0.3">
      <c r="A214" s="7"/>
      <c r="B214" s="7"/>
      <c r="C214" s="7"/>
    </row>
    <row r="215" spans="1:3" ht="12.45" x14ac:dyDescent="0.3">
      <c r="A215" s="7"/>
      <c r="B215" s="7"/>
      <c r="C215" s="7"/>
    </row>
    <row r="216" spans="1:3" ht="12.45" x14ac:dyDescent="0.3">
      <c r="A216" s="7"/>
      <c r="B216" s="7"/>
      <c r="C216" s="7"/>
    </row>
    <row r="217" spans="1:3" ht="12.45" x14ac:dyDescent="0.3">
      <c r="A217" s="7"/>
      <c r="B217" s="7"/>
      <c r="C217" s="7"/>
    </row>
    <row r="218" spans="1:3" ht="12.45" x14ac:dyDescent="0.3">
      <c r="A218" s="7"/>
      <c r="B218" s="7"/>
      <c r="C218" s="7"/>
    </row>
    <row r="219" spans="1:3" ht="12.45" x14ac:dyDescent="0.3">
      <c r="A219" s="7"/>
      <c r="B219" s="7"/>
      <c r="C219" s="7"/>
    </row>
    <row r="220" spans="1:3" ht="12.45" x14ac:dyDescent="0.3">
      <c r="A220" s="7"/>
      <c r="B220" s="7"/>
      <c r="C220" s="7"/>
    </row>
    <row r="221" spans="1:3" ht="12.45" x14ac:dyDescent="0.3">
      <c r="A221" s="7"/>
      <c r="B221" s="7"/>
      <c r="C221" s="7"/>
    </row>
    <row r="222" spans="1:3" ht="12.45" x14ac:dyDescent="0.3">
      <c r="A222" s="7"/>
      <c r="B222" s="7"/>
      <c r="C222" s="7"/>
    </row>
    <row r="223" spans="1:3" ht="12.45" x14ac:dyDescent="0.3">
      <c r="A223" s="7"/>
      <c r="B223" s="7"/>
      <c r="C223" s="7"/>
    </row>
    <row r="224" spans="1:3" ht="12.45" x14ac:dyDescent="0.3">
      <c r="A224" s="7"/>
      <c r="B224" s="7"/>
      <c r="C224" s="7"/>
    </row>
    <row r="225" spans="1:3" ht="12.45" x14ac:dyDescent="0.3">
      <c r="A225" s="7"/>
      <c r="B225" s="7"/>
      <c r="C225" s="7"/>
    </row>
    <row r="226" spans="1:3" ht="12.45" x14ac:dyDescent="0.3">
      <c r="A226" s="7"/>
      <c r="B226" s="7"/>
      <c r="C226" s="7"/>
    </row>
    <row r="227" spans="1:3" ht="12.45" x14ac:dyDescent="0.3">
      <c r="A227" s="7"/>
      <c r="B227" s="7"/>
      <c r="C227" s="7"/>
    </row>
    <row r="228" spans="1:3" ht="12.45" x14ac:dyDescent="0.3">
      <c r="A228" s="7"/>
      <c r="B228" s="7"/>
      <c r="C228" s="7"/>
    </row>
    <row r="229" spans="1:3" ht="12.45" x14ac:dyDescent="0.3">
      <c r="A229" s="7"/>
      <c r="B229" s="7"/>
      <c r="C229" s="7"/>
    </row>
    <row r="230" spans="1:3" ht="12.45" x14ac:dyDescent="0.3">
      <c r="A230" s="7"/>
      <c r="B230" s="7"/>
      <c r="C230" s="7"/>
    </row>
    <row r="231" spans="1:3" ht="12.45" x14ac:dyDescent="0.3">
      <c r="A231" s="7"/>
      <c r="B231" s="7"/>
      <c r="C231" s="7"/>
    </row>
    <row r="232" spans="1:3" ht="12.45" x14ac:dyDescent="0.3">
      <c r="A232" s="7"/>
      <c r="B232" s="7"/>
      <c r="C232" s="7"/>
    </row>
    <row r="233" spans="1:3" ht="12.45" x14ac:dyDescent="0.3">
      <c r="A233" s="7"/>
      <c r="B233" s="7"/>
      <c r="C233" s="7"/>
    </row>
    <row r="234" spans="1:3" ht="12.45" x14ac:dyDescent="0.3">
      <c r="A234" s="7"/>
      <c r="B234" s="7"/>
      <c r="C234" s="7"/>
    </row>
    <row r="235" spans="1:3" ht="12.45" x14ac:dyDescent="0.3">
      <c r="A235" s="7"/>
      <c r="B235" s="7"/>
      <c r="C235" s="7"/>
    </row>
    <row r="236" spans="1:3" ht="12.45" x14ac:dyDescent="0.3">
      <c r="A236" s="7"/>
      <c r="B236" s="7"/>
      <c r="C236" s="7"/>
    </row>
    <row r="237" spans="1:3" ht="12.45" x14ac:dyDescent="0.3">
      <c r="A237" s="7"/>
      <c r="B237" s="7"/>
      <c r="C237" s="7"/>
    </row>
    <row r="238" spans="1:3" ht="12.45" x14ac:dyDescent="0.3">
      <c r="A238" s="7"/>
      <c r="B238" s="7"/>
      <c r="C238" s="7"/>
    </row>
    <row r="239" spans="1:3" ht="12.45" x14ac:dyDescent="0.3">
      <c r="A239" s="7"/>
      <c r="B239" s="7"/>
      <c r="C239" s="7"/>
    </row>
    <row r="240" spans="1:3" ht="12.45" x14ac:dyDescent="0.3">
      <c r="A240" s="7"/>
      <c r="B240" s="7"/>
      <c r="C240" s="7"/>
    </row>
    <row r="241" spans="1:3" ht="12.45" x14ac:dyDescent="0.3">
      <c r="A241" s="7"/>
      <c r="B241" s="7"/>
      <c r="C241" s="7"/>
    </row>
    <row r="242" spans="1:3" ht="12.45" x14ac:dyDescent="0.3">
      <c r="A242" s="7"/>
      <c r="B242" s="7"/>
      <c r="C242" s="7"/>
    </row>
    <row r="243" spans="1:3" ht="12.45" x14ac:dyDescent="0.3">
      <c r="A243" s="7"/>
      <c r="B243" s="7"/>
      <c r="C243" s="7"/>
    </row>
    <row r="244" spans="1:3" ht="12.45" x14ac:dyDescent="0.3">
      <c r="A244" s="7"/>
      <c r="B244" s="7"/>
      <c r="C244" s="7"/>
    </row>
    <row r="245" spans="1:3" ht="12.45" x14ac:dyDescent="0.3">
      <c r="A245" s="7"/>
      <c r="B245" s="7"/>
      <c r="C245" s="7"/>
    </row>
    <row r="246" spans="1:3" ht="12.45" x14ac:dyDescent="0.3">
      <c r="A246" s="7"/>
      <c r="B246" s="7"/>
      <c r="C246" s="7"/>
    </row>
    <row r="247" spans="1:3" ht="12.45" x14ac:dyDescent="0.3">
      <c r="A247" s="7"/>
      <c r="B247" s="7"/>
      <c r="C247" s="7"/>
    </row>
    <row r="248" spans="1:3" ht="12.45" x14ac:dyDescent="0.3">
      <c r="A248" s="7"/>
      <c r="B248" s="7"/>
      <c r="C248" s="7"/>
    </row>
    <row r="249" spans="1:3" ht="12.45" x14ac:dyDescent="0.3">
      <c r="A249" s="7"/>
      <c r="B249" s="7"/>
      <c r="C249" s="7"/>
    </row>
    <row r="250" spans="1:3" ht="12.45" x14ac:dyDescent="0.3">
      <c r="A250" s="7"/>
      <c r="B250" s="7"/>
      <c r="C250" s="7"/>
    </row>
    <row r="251" spans="1:3" ht="12.45" x14ac:dyDescent="0.3">
      <c r="A251" s="7"/>
      <c r="B251" s="7"/>
      <c r="C251" s="7"/>
    </row>
    <row r="252" spans="1:3" ht="12.45" x14ac:dyDescent="0.3">
      <c r="A252" s="7"/>
      <c r="B252" s="7"/>
      <c r="C252" s="7"/>
    </row>
    <row r="253" spans="1:3" ht="12.45" x14ac:dyDescent="0.3">
      <c r="A253" s="7"/>
      <c r="B253" s="7"/>
      <c r="C253" s="7"/>
    </row>
    <row r="254" spans="1:3" ht="12.45" x14ac:dyDescent="0.3">
      <c r="A254" s="7"/>
      <c r="B254" s="7"/>
      <c r="C254" s="7"/>
    </row>
    <row r="255" spans="1:3" ht="12.45" x14ac:dyDescent="0.3">
      <c r="A255" s="7"/>
      <c r="B255" s="7"/>
      <c r="C255" s="7"/>
    </row>
    <row r="256" spans="1:3" ht="12.45" x14ac:dyDescent="0.3">
      <c r="A256" s="7"/>
      <c r="B256" s="7"/>
      <c r="C256" s="7"/>
    </row>
    <row r="257" spans="1:3" ht="12.45" x14ac:dyDescent="0.3">
      <c r="A257" s="7"/>
      <c r="B257" s="7"/>
      <c r="C257" s="7"/>
    </row>
    <row r="258" spans="1:3" ht="12.45" x14ac:dyDescent="0.3">
      <c r="A258" s="7"/>
      <c r="B258" s="7"/>
      <c r="C258" s="7"/>
    </row>
    <row r="259" spans="1:3" ht="12.45" x14ac:dyDescent="0.3">
      <c r="A259" s="7"/>
      <c r="B259" s="7"/>
      <c r="C259" s="7"/>
    </row>
    <row r="260" spans="1:3" ht="12.45" x14ac:dyDescent="0.3">
      <c r="A260" s="7"/>
      <c r="B260" s="7"/>
      <c r="C260" s="7"/>
    </row>
    <row r="261" spans="1:3" ht="12.45" x14ac:dyDescent="0.3">
      <c r="A261" s="7"/>
      <c r="B261" s="7"/>
      <c r="C261" s="7"/>
    </row>
    <row r="262" spans="1:3" ht="12.45" x14ac:dyDescent="0.3">
      <c r="A262" s="7"/>
      <c r="B262" s="7"/>
      <c r="C262" s="7"/>
    </row>
    <row r="263" spans="1:3" ht="12.45" x14ac:dyDescent="0.3">
      <c r="A263" s="7"/>
      <c r="B263" s="7"/>
      <c r="C263" s="7"/>
    </row>
    <row r="264" spans="1:3" ht="12.45" x14ac:dyDescent="0.3">
      <c r="A264" s="7"/>
      <c r="B264" s="7"/>
      <c r="C264" s="7"/>
    </row>
    <row r="265" spans="1:3" ht="12.45" x14ac:dyDescent="0.3">
      <c r="A265" s="7"/>
      <c r="B265" s="7"/>
      <c r="C265" s="7"/>
    </row>
    <row r="266" spans="1:3" ht="12.45" x14ac:dyDescent="0.3">
      <c r="A266" s="7"/>
      <c r="B266" s="7"/>
      <c r="C266" s="7"/>
    </row>
    <row r="267" spans="1:3" ht="12.45" x14ac:dyDescent="0.3">
      <c r="A267" s="7"/>
      <c r="B267" s="7"/>
      <c r="C267" s="7"/>
    </row>
    <row r="268" spans="1:3" ht="12.45" x14ac:dyDescent="0.3">
      <c r="A268" s="7"/>
      <c r="B268" s="7"/>
      <c r="C268" s="7"/>
    </row>
    <row r="269" spans="1:3" ht="12.45" x14ac:dyDescent="0.3">
      <c r="A269" s="7"/>
      <c r="B269" s="7"/>
      <c r="C269" s="7"/>
    </row>
    <row r="270" spans="1:3" ht="12.45" x14ac:dyDescent="0.3">
      <c r="A270" s="7"/>
      <c r="B270" s="7"/>
      <c r="C270" s="7"/>
    </row>
    <row r="271" spans="1:3" ht="12.45" x14ac:dyDescent="0.3">
      <c r="A271" s="7"/>
      <c r="B271" s="7"/>
      <c r="C271" s="7"/>
    </row>
    <row r="272" spans="1:3" ht="12.45" x14ac:dyDescent="0.3">
      <c r="A272" s="7"/>
      <c r="B272" s="7"/>
      <c r="C272" s="7"/>
    </row>
    <row r="273" spans="1:3" ht="12.45" x14ac:dyDescent="0.3">
      <c r="A273" s="7"/>
      <c r="B273" s="7"/>
      <c r="C273" s="7"/>
    </row>
    <row r="274" spans="1:3" ht="12.45" x14ac:dyDescent="0.3">
      <c r="A274" s="7"/>
      <c r="B274" s="7"/>
      <c r="C274" s="7"/>
    </row>
    <row r="275" spans="1:3" ht="12.45" x14ac:dyDescent="0.3">
      <c r="A275" s="7"/>
      <c r="B275" s="7"/>
      <c r="C275" s="7"/>
    </row>
    <row r="276" spans="1:3" ht="12.45" x14ac:dyDescent="0.3">
      <c r="A276" s="7"/>
      <c r="B276" s="7"/>
      <c r="C276" s="7"/>
    </row>
    <row r="277" spans="1:3" ht="12.45" x14ac:dyDescent="0.3">
      <c r="A277" s="7"/>
      <c r="B277" s="7"/>
      <c r="C277" s="7"/>
    </row>
    <row r="278" spans="1:3" ht="12.45" x14ac:dyDescent="0.3">
      <c r="A278" s="7"/>
      <c r="B278" s="7"/>
      <c r="C278" s="7"/>
    </row>
    <row r="279" spans="1:3" ht="12.45" x14ac:dyDescent="0.3">
      <c r="A279" s="7"/>
      <c r="B279" s="7"/>
      <c r="C279" s="7"/>
    </row>
    <row r="280" spans="1:3" ht="12.45" x14ac:dyDescent="0.3">
      <c r="A280" s="7"/>
      <c r="B280" s="7"/>
      <c r="C280" s="7"/>
    </row>
    <row r="281" spans="1:3" ht="12.45" x14ac:dyDescent="0.3">
      <c r="A281" s="7"/>
      <c r="B281" s="7"/>
      <c r="C281" s="7"/>
    </row>
    <row r="282" spans="1:3" ht="12.45" x14ac:dyDescent="0.3">
      <c r="A282" s="7"/>
      <c r="B282" s="7"/>
      <c r="C282" s="7"/>
    </row>
    <row r="283" spans="1:3" ht="12.45" x14ac:dyDescent="0.3">
      <c r="A283" s="7"/>
      <c r="B283" s="7"/>
      <c r="C283" s="7"/>
    </row>
    <row r="284" spans="1:3" ht="12.45" x14ac:dyDescent="0.3">
      <c r="A284" s="7"/>
      <c r="B284" s="7"/>
      <c r="C284" s="7"/>
    </row>
    <row r="285" spans="1:3" ht="12.45" x14ac:dyDescent="0.3">
      <c r="A285" s="7"/>
      <c r="B285" s="7"/>
      <c r="C285" s="7"/>
    </row>
    <row r="286" spans="1:3" ht="12.45" x14ac:dyDescent="0.3">
      <c r="A286" s="7"/>
      <c r="B286" s="7"/>
      <c r="C286" s="7"/>
    </row>
    <row r="287" spans="1:3" ht="12.45" x14ac:dyDescent="0.3">
      <c r="A287" s="7"/>
      <c r="B287" s="7"/>
      <c r="C287" s="7"/>
    </row>
    <row r="288" spans="1:3" ht="12.45" x14ac:dyDescent="0.3">
      <c r="A288" s="7"/>
      <c r="B288" s="7"/>
      <c r="C288" s="7"/>
    </row>
    <row r="289" spans="1:3" ht="12.45" x14ac:dyDescent="0.3">
      <c r="A289" s="7"/>
      <c r="B289" s="7"/>
      <c r="C289" s="7"/>
    </row>
    <row r="290" spans="1:3" ht="12.45" x14ac:dyDescent="0.3">
      <c r="A290" s="7"/>
      <c r="B290" s="7"/>
      <c r="C290" s="7"/>
    </row>
    <row r="291" spans="1:3" ht="12.45" x14ac:dyDescent="0.3">
      <c r="A291" s="7"/>
      <c r="B291" s="7"/>
      <c r="C291" s="7"/>
    </row>
    <row r="292" spans="1:3" ht="12.45" x14ac:dyDescent="0.3">
      <c r="A292" s="7"/>
      <c r="B292" s="7"/>
      <c r="C292" s="7"/>
    </row>
    <row r="293" spans="1:3" ht="12.45" x14ac:dyDescent="0.3">
      <c r="A293" s="7"/>
      <c r="B293" s="7"/>
      <c r="C293" s="7"/>
    </row>
    <row r="294" spans="1:3" ht="12.45" x14ac:dyDescent="0.3">
      <c r="A294" s="7"/>
      <c r="B294" s="7"/>
      <c r="C294" s="7"/>
    </row>
    <row r="295" spans="1:3" ht="12.45" x14ac:dyDescent="0.3">
      <c r="A295" s="7"/>
      <c r="B295" s="7"/>
      <c r="C295" s="7"/>
    </row>
    <row r="296" spans="1:3" ht="12.45" x14ac:dyDescent="0.3">
      <c r="A296" s="7"/>
      <c r="B296" s="7"/>
      <c r="C296" s="7"/>
    </row>
    <row r="297" spans="1:3" ht="12.45" x14ac:dyDescent="0.3">
      <c r="A297" s="7"/>
      <c r="B297" s="7"/>
      <c r="C297" s="7"/>
    </row>
    <row r="298" spans="1:3" ht="12.45" x14ac:dyDescent="0.3">
      <c r="A298" s="7"/>
      <c r="B298" s="7"/>
      <c r="C298" s="7"/>
    </row>
    <row r="299" spans="1:3" ht="12.45" x14ac:dyDescent="0.3">
      <c r="A299" s="7"/>
      <c r="B299" s="7"/>
      <c r="C299" s="7"/>
    </row>
    <row r="300" spans="1:3" ht="12.45" x14ac:dyDescent="0.3">
      <c r="A300" s="7"/>
      <c r="B300" s="7"/>
      <c r="C300" s="7"/>
    </row>
    <row r="301" spans="1:3" ht="12.45" x14ac:dyDescent="0.3">
      <c r="A301" s="7"/>
      <c r="B301" s="7"/>
      <c r="C301" s="7"/>
    </row>
    <row r="302" spans="1:3" ht="12.45" x14ac:dyDescent="0.3">
      <c r="A302" s="7"/>
      <c r="B302" s="7"/>
      <c r="C302" s="7"/>
    </row>
    <row r="303" spans="1:3" ht="12.45" x14ac:dyDescent="0.3">
      <c r="A303" s="7"/>
      <c r="B303" s="7"/>
      <c r="C303" s="7"/>
    </row>
    <row r="304" spans="1:3" ht="12.45" x14ac:dyDescent="0.3">
      <c r="A304" s="7"/>
      <c r="B304" s="7"/>
      <c r="C304" s="7"/>
    </row>
    <row r="305" spans="1:3" ht="12.45" x14ac:dyDescent="0.3">
      <c r="A305" s="7"/>
      <c r="B305" s="7"/>
      <c r="C305" s="7"/>
    </row>
    <row r="306" spans="1:3" ht="12.45" x14ac:dyDescent="0.3">
      <c r="A306" s="7"/>
      <c r="B306" s="7"/>
      <c r="C306" s="7"/>
    </row>
    <row r="307" spans="1:3" ht="12.45" x14ac:dyDescent="0.3">
      <c r="A307" s="7"/>
      <c r="B307" s="7"/>
      <c r="C307" s="7"/>
    </row>
    <row r="308" spans="1:3" ht="12.45" x14ac:dyDescent="0.3">
      <c r="A308" s="7"/>
      <c r="B308" s="7"/>
      <c r="C308" s="7"/>
    </row>
    <row r="309" spans="1:3" ht="12.45" x14ac:dyDescent="0.3">
      <c r="A309" s="7"/>
      <c r="B309" s="7"/>
      <c r="C309" s="7"/>
    </row>
    <row r="310" spans="1:3" ht="12.45" x14ac:dyDescent="0.3">
      <c r="A310" s="7"/>
      <c r="B310" s="7"/>
      <c r="C310" s="7"/>
    </row>
    <row r="311" spans="1:3" ht="12.45" x14ac:dyDescent="0.3">
      <c r="A311" s="7"/>
      <c r="B311" s="7"/>
      <c r="C311" s="7"/>
    </row>
    <row r="312" spans="1:3" ht="12.45" x14ac:dyDescent="0.3">
      <c r="A312" s="7"/>
      <c r="B312" s="7"/>
      <c r="C312" s="7"/>
    </row>
    <row r="313" spans="1:3" ht="12.45" x14ac:dyDescent="0.3">
      <c r="A313" s="7"/>
      <c r="B313" s="7"/>
      <c r="C313" s="7"/>
    </row>
    <row r="314" spans="1:3" ht="12.45" x14ac:dyDescent="0.3">
      <c r="A314" s="7"/>
      <c r="B314" s="7"/>
      <c r="C314" s="7"/>
    </row>
    <row r="315" spans="1:3" ht="12.45" x14ac:dyDescent="0.3">
      <c r="A315" s="7"/>
      <c r="B315" s="7"/>
      <c r="C315" s="7"/>
    </row>
    <row r="316" spans="1:3" ht="12.45" x14ac:dyDescent="0.3">
      <c r="A316" s="7"/>
      <c r="B316" s="7"/>
      <c r="C316" s="7"/>
    </row>
    <row r="317" spans="1:3" ht="12.45" x14ac:dyDescent="0.3">
      <c r="A317" s="7"/>
      <c r="B317" s="7"/>
      <c r="C317" s="7"/>
    </row>
    <row r="318" spans="1:3" ht="12.45" x14ac:dyDescent="0.3">
      <c r="A318" s="7"/>
      <c r="B318" s="7"/>
      <c r="C318" s="7"/>
    </row>
    <row r="319" spans="1:3" ht="12.45" x14ac:dyDescent="0.3">
      <c r="A319" s="7"/>
      <c r="B319" s="7"/>
      <c r="C319" s="7"/>
    </row>
    <row r="320" spans="1:3" ht="12.45" x14ac:dyDescent="0.3">
      <c r="A320" s="7"/>
      <c r="B320" s="7"/>
      <c r="C320" s="7"/>
    </row>
    <row r="321" spans="1:3" ht="12.45" x14ac:dyDescent="0.3">
      <c r="A321" s="7"/>
      <c r="B321" s="7"/>
      <c r="C321" s="7"/>
    </row>
    <row r="322" spans="1:3" ht="12.45" x14ac:dyDescent="0.3">
      <c r="A322" s="7"/>
      <c r="B322" s="7"/>
      <c r="C322" s="7"/>
    </row>
    <row r="323" spans="1:3" ht="12.45" x14ac:dyDescent="0.3">
      <c r="A323" s="7"/>
      <c r="B323" s="7"/>
      <c r="C323" s="7"/>
    </row>
    <row r="324" spans="1:3" ht="12.45" x14ac:dyDescent="0.3">
      <c r="A324" s="7"/>
      <c r="B324" s="7"/>
      <c r="C324" s="7"/>
    </row>
    <row r="325" spans="1:3" ht="12.45" x14ac:dyDescent="0.3">
      <c r="A325" s="7"/>
      <c r="B325" s="7"/>
      <c r="C325" s="7"/>
    </row>
    <row r="326" spans="1:3" ht="12.45" x14ac:dyDescent="0.3">
      <c r="A326" s="7"/>
      <c r="B326" s="7"/>
      <c r="C326" s="7"/>
    </row>
    <row r="327" spans="1:3" ht="12.45" x14ac:dyDescent="0.3">
      <c r="A327" s="7"/>
      <c r="B327" s="7"/>
      <c r="C327" s="7"/>
    </row>
    <row r="328" spans="1:3" ht="12.45" x14ac:dyDescent="0.3">
      <c r="A328" s="7"/>
      <c r="B328" s="7"/>
      <c r="C328" s="7"/>
    </row>
    <row r="329" spans="1:3" ht="12.45" x14ac:dyDescent="0.3">
      <c r="A329" s="7"/>
      <c r="B329" s="7"/>
      <c r="C329" s="7"/>
    </row>
    <row r="330" spans="1:3" ht="12.45" x14ac:dyDescent="0.3">
      <c r="A330" s="7"/>
      <c r="B330" s="7"/>
      <c r="C330" s="7"/>
    </row>
    <row r="331" spans="1:3" ht="12.45" x14ac:dyDescent="0.3">
      <c r="A331" s="7"/>
      <c r="B331" s="7"/>
      <c r="C331" s="7"/>
    </row>
    <row r="332" spans="1:3" ht="12.45" x14ac:dyDescent="0.3">
      <c r="A332" s="7"/>
      <c r="B332" s="7"/>
      <c r="C332" s="7"/>
    </row>
    <row r="333" spans="1:3" ht="12.45" x14ac:dyDescent="0.3">
      <c r="A333" s="7"/>
      <c r="B333" s="7"/>
      <c r="C333" s="7"/>
    </row>
    <row r="334" spans="1:3" ht="12.45" x14ac:dyDescent="0.3">
      <c r="A334" s="7"/>
      <c r="B334" s="7"/>
      <c r="C334" s="7"/>
    </row>
    <row r="335" spans="1:3" ht="12.45" x14ac:dyDescent="0.3">
      <c r="A335" s="7"/>
      <c r="B335" s="7"/>
      <c r="C335" s="7"/>
    </row>
    <row r="336" spans="1:3" ht="12.45" x14ac:dyDescent="0.3">
      <c r="A336" s="7"/>
      <c r="B336" s="7"/>
      <c r="C336" s="7"/>
    </row>
    <row r="337" spans="1:3" ht="12.45" x14ac:dyDescent="0.3">
      <c r="A337" s="7"/>
      <c r="B337" s="7"/>
      <c r="C337" s="7"/>
    </row>
    <row r="338" spans="1:3" ht="12.45" x14ac:dyDescent="0.3">
      <c r="A338" s="7"/>
      <c r="B338" s="7"/>
      <c r="C338" s="7"/>
    </row>
    <row r="339" spans="1:3" ht="12.45" x14ac:dyDescent="0.3">
      <c r="A339" s="7"/>
      <c r="B339" s="7"/>
      <c r="C339" s="7"/>
    </row>
    <row r="340" spans="1:3" ht="12.45" x14ac:dyDescent="0.3">
      <c r="A340" s="7"/>
      <c r="B340" s="7"/>
      <c r="C340" s="7"/>
    </row>
    <row r="341" spans="1:3" ht="12.45" x14ac:dyDescent="0.3">
      <c r="A341" s="7"/>
      <c r="B341" s="7"/>
      <c r="C341" s="7"/>
    </row>
    <row r="342" spans="1:3" ht="12.45" x14ac:dyDescent="0.3">
      <c r="A342" s="7"/>
      <c r="B342" s="7"/>
      <c r="C342" s="7"/>
    </row>
    <row r="343" spans="1:3" ht="12.45" x14ac:dyDescent="0.3">
      <c r="A343" s="7"/>
      <c r="B343" s="7"/>
      <c r="C343" s="7"/>
    </row>
    <row r="344" spans="1:3" ht="12.45" x14ac:dyDescent="0.3">
      <c r="A344" s="7"/>
      <c r="B344" s="7"/>
      <c r="C344" s="7"/>
    </row>
    <row r="345" spans="1:3" ht="12.45" x14ac:dyDescent="0.3">
      <c r="A345" s="7"/>
      <c r="B345" s="7"/>
      <c r="C345" s="7"/>
    </row>
    <row r="346" spans="1:3" ht="12.45" x14ac:dyDescent="0.3">
      <c r="A346" s="7"/>
      <c r="B346" s="7"/>
      <c r="C346" s="7"/>
    </row>
    <row r="347" spans="1:3" ht="12.45" x14ac:dyDescent="0.3">
      <c r="A347" s="7"/>
      <c r="B347" s="7"/>
      <c r="C347" s="7"/>
    </row>
    <row r="348" spans="1:3" ht="12.45" x14ac:dyDescent="0.3">
      <c r="A348" s="7"/>
      <c r="B348" s="7"/>
      <c r="C348" s="7"/>
    </row>
    <row r="349" spans="1:3" ht="12.45" x14ac:dyDescent="0.3">
      <c r="A349" s="7"/>
      <c r="B349" s="7"/>
      <c r="C349" s="7"/>
    </row>
    <row r="350" spans="1:3" ht="12.45" x14ac:dyDescent="0.3">
      <c r="A350" s="7"/>
      <c r="B350" s="7"/>
      <c r="C350" s="7"/>
    </row>
    <row r="351" spans="1:3" ht="12.45" x14ac:dyDescent="0.3">
      <c r="A351" s="7"/>
      <c r="B351" s="7"/>
      <c r="C351" s="7"/>
    </row>
    <row r="352" spans="1:3" ht="12.45" x14ac:dyDescent="0.3">
      <c r="A352" s="7"/>
      <c r="B352" s="7"/>
      <c r="C352" s="7"/>
    </row>
    <row r="353" spans="1:3" ht="12.45" x14ac:dyDescent="0.3">
      <c r="A353" s="7"/>
      <c r="B353" s="7"/>
      <c r="C353" s="7"/>
    </row>
    <row r="354" spans="1:3" ht="12.45" x14ac:dyDescent="0.3">
      <c r="A354" s="7"/>
      <c r="B354" s="7"/>
      <c r="C354" s="7"/>
    </row>
    <row r="355" spans="1:3" ht="12.45" x14ac:dyDescent="0.3">
      <c r="A355" s="7"/>
      <c r="B355" s="7"/>
      <c r="C355" s="7"/>
    </row>
    <row r="356" spans="1:3" ht="12.45" x14ac:dyDescent="0.3">
      <c r="A356" s="7"/>
      <c r="B356" s="7"/>
      <c r="C356" s="7"/>
    </row>
    <row r="357" spans="1:3" ht="12.45" x14ac:dyDescent="0.3">
      <c r="A357" s="7"/>
      <c r="B357" s="7"/>
      <c r="C357" s="7"/>
    </row>
    <row r="358" spans="1:3" ht="12.45" x14ac:dyDescent="0.3">
      <c r="A358" s="7"/>
      <c r="B358" s="7"/>
      <c r="C358" s="7"/>
    </row>
    <row r="359" spans="1:3" ht="12.45" x14ac:dyDescent="0.3">
      <c r="A359" s="7"/>
      <c r="B359" s="7"/>
      <c r="C359" s="7"/>
    </row>
    <row r="360" spans="1:3" ht="12.45" x14ac:dyDescent="0.3">
      <c r="A360" s="7"/>
      <c r="B360" s="7"/>
      <c r="C360" s="7"/>
    </row>
    <row r="361" spans="1:3" ht="12.45" x14ac:dyDescent="0.3">
      <c r="A361" s="7"/>
      <c r="B361" s="7"/>
      <c r="C361" s="7"/>
    </row>
    <row r="362" spans="1:3" ht="12.45" x14ac:dyDescent="0.3">
      <c r="A362" s="7"/>
      <c r="B362" s="7"/>
      <c r="C362" s="7"/>
    </row>
    <row r="363" spans="1:3" ht="12.45" x14ac:dyDescent="0.3">
      <c r="A363" s="7"/>
      <c r="B363" s="7"/>
      <c r="C363" s="7"/>
    </row>
    <row r="364" spans="1:3" ht="12.45" x14ac:dyDescent="0.3">
      <c r="A364" s="7"/>
      <c r="B364" s="7"/>
      <c r="C364" s="7"/>
    </row>
    <row r="365" spans="1:3" ht="12.45" x14ac:dyDescent="0.3">
      <c r="A365" s="7"/>
      <c r="B365" s="7"/>
      <c r="C365" s="7"/>
    </row>
    <row r="366" spans="1:3" ht="12.45" x14ac:dyDescent="0.3">
      <c r="A366" s="7"/>
      <c r="B366" s="7"/>
      <c r="C366" s="7"/>
    </row>
    <row r="367" spans="1:3" ht="12.45" x14ac:dyDescent="0.3">
      <c r="A367" s="7"/>
      <c r="B367" s="7"/>
      <c r="C367" s="7"/>
    </row>
    <row r="368" spans="1:3" ht="12.45" x14ac:dyDescent="0.3">
      <c r="A368" s="7"/>
      <c r="B368" s="7"/>
      <c r="C368" s="7"/>
    </row>
    <row r="369" spans="1:3" ht="12.45" x14ac:dyDescent="0.3">
      <c r="A369" s="7"/>
      <c r="B369" s="7"/>
      <c r="C369" s="7"/>
    </row>
    <row r="370" spans="1:3" ht="12.45" x14ac:dyDescent="0.3">
      <c r="A370" s="7"/>
      <c r="B370" s="7"/>
      <c r="C370" s="7"/>
    </row>
    <row r="371" spans="1:3" ht="12.45" x14ac:dyDescent="0.3">
      <c r="A371" s="7"/>
      <c r="B371" s="7"/>
      <c r="C371" s="7"/>
    </row>
    <row r="372" spans="1:3" ht="12.45" x14ac:dyDescent="0.3">
      <c r="A372" s="7"/>
      <c r="B372" s="7"/>
      <c r="C372" s="7"/>
    </row>
    <row r="373" spans="1:3" ht="12.45" x14ac:dyDescent="0.3">
      <c r="A373" s="7"/>
      <c r="B373" s="7"/>
      <c r="C373" s="7"/>
    </row>
    <row r="374" spans="1:3" ht="12.45" x14ac:dyDescent="0.3">
      <c r="A374" s="7"/>
      <c r="B374" s="7"/>
      <c r="C374" s="7"/>
    </row>
    <row r="375" spans="1:3" ht="12.45" x14ac:dyDescent="0.3">
      <c r="A375" s="7"/>
      <c r="B375" s="7"/>
      <c r="C375" s="7"/>
    </row>
    <row r="376" spans="1:3" ht="12.45" x14ac:dyDescent="0.3">
      <c r="A376" s="7"/>
      <c r="B376" s="7"/>
      <c r="C376" s="7"/>
    </row>
    <row r="377" spans="1:3" ht="12.45" x14ac:dyDescent="0.3">
      <c r="A377" s="7"/>
      <c r="B377" s="7"/>
      <c r="C377" s="7"/>
    </row>
    <row r="378" spans="1:3" ht="12.45" x14ac:dyDescent="0.3">
      <c r="A378" s="7"/>
      <c r="B378" s="7"/>
      <c r="C378" s="7"/>
    </row>
    <row r="379" spans="1:3" ht="12.45" x14ac:dyDescent="0.3">
      <c r="A379" s="7"/>
      <c r="B379" s="7"/>
      <c r="C379" s="7"/>
    </row>
    <row r="380" spans="1:3" ht="12.45" x14ac:dyDescent="0.3">
      <c r="A380" s="7"/>
      <c r="B380" s="7"/>
      <c r="C380" s="7"/>
    </row>
    <row r="381" spans="1:3" ht="12.45" x14ac:dyDescent="0.3">
      <c r="A381" s="7"/>
      <c r="B381" s="7"/>
      <c r="C381" s="7"/>
    </row>
    <row r="382" spans="1:3" ht="12.45" x14ac:dyDescent="0.3">
      <c r="A382" s="7"/>
      <c r="B382" s="7"/>
      <c r="C382" s="7"/>
    </row>
    <row r="383" spans="1:3" ht="12.45" x14ac:dyDescent="0.3">
      <c r="A383" s="7"/>
      <c r="B383" s="7"/>
      <c r="C383" s="7"/>
    </row>
    <row r="384" spans="1:3" ht="12.45" x14ac:dyDescent="0.3">
      <c r="A384" s="7"/>
      <c r="B384" s="7"/>
      <c r="C384" s="7"/>
    </row>
    <row r="385" spans="1:3" ht="12.45" x14ac:dyDescent="0.3">
      <c r="A385" s="7"/>
      <c r="B385" s="7"/>
      <c r="C385" s="7"/>
    </row>
    <row r="386" spans="1:3" ht="12.45" x14ac:dyDescent="0.3">
      <c r="A386" s="7"/>
      <c r="B386" s="7"/>
      <c r="C386" s="7"/>
    </row>
    <row r="387" spans="1:3" ht="12.45" x14ac:dyDescent="0.3">
      <c r="A387" s="7"/>
      <c r="B387" s="7"/>
      <c r="C387" s="7"/>
    </row>
    <row r="388" spans="1:3" ht="12.45" x14ac:dyDescent="0.3">
      <c r="A388" s="7"/>
      <c r="B388" s="7"/>
      <c r="C388" s="7"/>
    </row>
    <row r="389" spans="1:3" ht="12.45" x14ac:dyDescent="0.3">
      <c r="A389" s="7"/>
      <c r="B389" s="7"/>
      <c r="C389" s="7"/>
    </row>
    <row r="390" spans="1:3" ht="12.45" x14ac:dyDescent="0.3">
      <c r="A390" s="7"/>
      <c r="B390" s="7"/>
      <c r="C390" s="7"/>
    </row>
    <row r="391" spans="1:3" ht="12.45" x14ac:dyDescent="0.3">
      <c r="A391" s="7"/>
      <c r="B391" s="7"/>
      <c r="C391" s="7"/>
    </row>
    <row r="392" spans="1:3" ht="12.45" x14ac:dyDescent="0.3">
      <c r="A392" s="7"/>
      <c r="B392" s="7"/>
      <c r="C392" s="7"/>
    </row>
    <row r="393" spans="1:3" ht="12.45" x14ac:dyDescent="0.3">
      <c r="A393" s="7"/>
      <c r="B393" s="7"/>
      <c r="C393" s="7"/>
    </row>
    <row r="394" spans="1:3" ht="12.45" x14ac:dyDescent="0.3">
      <c r="A394" s="7"/>
      <c r="B394" s="7"/>
      <c r="C394" s="7"/>
    </row>
    <row r="395" spans="1:3" ht="12.45" x14ac:dyDescent="0.3">
      <c r="A395" s="7"/>
      <c r="B395" s="7"/>
      <c r="C395" s="7"/>
    </row>
    <row r="396" spans="1:3" ht="12.45" x14ac:dyDescent="0.3">
      <c r="A396" s="7"/>
      <c r="B396" s="7"/>
      <c r="C396" s="7"/>
    </row>
    <row r="397" spans="1:3" ht="12.45" x14ac:dyDescent="0.3">
      <c r="A397" s="7"/>
      <c r="B397" s="7"/>
      <c r="C397" s="7"/>
    </row>
    <row r="398" spans="1:3" ht="12.45" x14ac:dyDescent="0.3">
      <c r="A398" s="7"/>
      <c r="B398" s="7"/>
      <c r="C398" s="7"/>
    </row>
    <row r="399" spans="1:3" ht="12.45" x14ac:dyDescent="0.3">
      <c r="A399" s="7"/>
      <c r="B399" s="7"/>
      <c r="C399" s="7"/>
    </row>
    <row r="400" spans="1:3" ht="12.45" x14ac:dyDescent="0.3">
      <c r="A400" s="7"/>
      <c r="B400" s="7"/>
      <c r="C400" s="7"/>
    </row>
    <row r="401" spans="1:3" ht="12.45" x14ac:dyDescent="0.3">
      <c r="A401" s="7"/>
      <c r="B401" s="7"/>
      <c r="C401" s="7"/>
    </row>
    <row r="402" spans="1:3" ht="12.45" x14ac:dyDescent="0.3">
      <c r="A402" s="7"/>
      <c r="B402" s="7"/>
      <c r="C402" s="7"/>
    </row>
    <row r="403" spans="1:3" ht="12.45" x14ac:dyDescent="0.3">
      <c r="A403" s="7"/>
      <c r="B403" s="7"/>
      <c r="C403" s="7"/>
    </row>
    <row r="404" spans="1:3" ht="12.45" x14ac:dyDescent="0.3">
      <c r="A404" s="7"/>
      <c r="B404" s="7"/>
      <c r="C404" s="7"/>
    </row>
    <row r="405" spans="1:3" ht="12.45" x14ac:dyDescent="0.3">
      <c r="A405" s="7"/>
      <c r="B405" s="7"/>
      <c r="C405" s="7"/>
    </row>
    <row r="406" spans="1:3" ht="12.45" x14ac:dyDescent="0.3">
      <c r="A406" s="7"/>
      <c r="B406" s="7"/>
      <c r="C406" s="7"/>
    </row>
    <row r="407" spans="1:3" ht="12.45" x14ac:dyDescent="0.3">
      <c r="A407" s="7"/>
      <c r="B407" s="7"/>
      <c r="C407" s="7"/>
    </row>
    <row r="408" spans="1:3" ht="12.45" x14ac:dyDescent="0.3">
      <c r="A408" s="7"/>
      <c r="B408" s="7"/>
      <c r="C408" s="7"/>
    </row>
    <row r="409" spans="1:3" ht="12.45" x14ac:dyDescent="0.3">
      <c r="A409" s="7"/>
      <c r="B409" s="7"/>
      <c r="C409" s="7"/>
    </row>
    <row r="410" spans="1:3" ht="12.45" x14ac:dyDescent="0.3">
      <c r="A410" s="7"/>
      <c r="B410" s="7"/>
      <c r="C410" s="7"/>
    </row>
    <row r="411" spans="1:3" ht="12.45" x14ac:dyDescent="0.3">
      <c r="A411" s="7"/>
      <c r="B411" s="7"/>
      <c r="C411" s="7"/>
    </row>
    <row r="412" spans="1:3" ht="12.45" x14ac:dyDescent="0.3">
      <c r="A412" s="7"/>
      <c r="B412" s="7"/>
      <c r="C412" s="7"/>
    </row>
    <row r="413" spans="1:3" ht="12.45" x14ac:dyDescent="0.3">
      <c r="A413" s="7"/>
      <c r="B413" s="7"/>
      <c r="C413" s="7"/>
    </row>
    <row r="414" spans="1:3" ht="12.45" x14ac:dyDescent="0.3">
      <c r="A414" s="7"/>
      <c r="B414" s="7"/>
      <c r="C414" s="7"/>
    </row>
    <row r="415" spans="1:3" ht="12.45" x14ac:dyDescent="0.3">
      <c r="A415" s="7"/>
      <c r="B415" s="7"/>
      <c r="C415" s="7"/>
    </row>
    <row r="416" spans="1:3" ht="12.45" x14ac:dyDescent="0.3">
      <c r="A416" s="7"/>
      <c r="B416" s="7"/>
      <c r="C416" s="7"/>
    </row>
    <row r="417" spans="1:3" ht="12.45" x14ac:dyDescent="0.3">
      <c r="A417" s="7"/>
      <c r="B417" s="7"/>
      <c r="C417" s="7"/>
    </row>
    <row r="418" spans="1:3" ht="12.45" x14ac:dyDescent="0.3">
      <c r="A418" s="7"/>
      <c r="B418" s="7"/>
      <c r="C418" s="7"/>
    </row>
    <row r="419" spans="1:3" ht="12.45" x14ac:dyDescent="0.3">
      <c r="A419" s="7"/>
      <c r="B419" s="7"/>
      <c r="C419" s="7"/>
    </row>
    <row r="420" spans="1:3" ht="12.45" x14ac:dyDescent="0.3">
      <c r="A420" s="7"/>
      <c r="B420" s="7"/>
      <c r="C420" s="7"/>
    </row>
    <row r="421" spans="1:3" ht="12.45" x14ac:dyDescent="0.3">
      <c r="A421" s="7"/>
      <c r="B421" s="7"/>
      <c r="C421" s="7"/>
    </row>
    <row r="422" spans="1:3" ht="12.45" x14ac:dyDescent="0.3">
      <c r="A422" s="7"/>
      <c r="B422" s="7"/>
      <c r="C422" s="7"/>
    </row>
    <row r="423" spans="1:3" ht="12.45" x14ac:dyDescent="0.3">
      <c r="A423" s="7"/>
      <c r="B423" s="7"/>
      <c r="C423" s="7"/>
    </row>
    <row r="424" spans="1:3" ht="12.45" x14ac:dyDescent="0.3">
      <c r="A424" s="7"/>
      <c r="B424" s="7"/>
      <c r="C424" s="7"/>
    </row>
    <row r="425" spans="1:3" ht="12.45" x14ac:dyDescent="0.3">
      <c r="A425" s="7"/>
      <c r="B425" s="7"/>
      <c r="C425" s="7"/>
    </row>
    <row r="426" spans="1:3" ht="12.45" x14ac:dyDescent="0.3">
      <c r="A426" s="7"/>
      <c r="B426" s="7"/>
      <c r="C426" s="7"/>
    </row>
    <row r="427" spans="1:3" ht="12.45" x14ac:dyDescent="0.3">
      <c r="A427" s="7"/>
      <c r="B427" s="7"/>
      <c r="C427" s="7"/>
    </row>
    <row r="428" spans="1:3" ht="12.45" x14ac:dyDescent="0.3">
      <c r="A428" s="7"/>
      <c r="B428" s="7"/>
      <c r="C428" s="7"/>
    </row>
    <row r="429" spans="1:3" ht="12.45" x14ac:dyDescent="0.3">
      <c r="A429" s="7"/>
      <c r="B429" s="7"/>
      <c r="C429" s="7"/>
    </row>
    <row r="430" spans="1:3" ht="12.45" x14ac:dyDescent="0.3">
      <c r="A430" s="7"/>
      <c r="B430" s="7"/>
      <c r="C430" s="7"/>
    </row>
    <row r="431" spans="1:3" ht="12.45" x14ac:dyDescent="0.3">
      <c r="A431" s="7"/>
      <c r="B431" s="7"/>
      <c r="C431" s="7"/>
    </row>
    <row r="432" spans="1:3" ht="12.45" x14ac:dyDescent="0.3">
      <c r="A432" s="7"/>
      <c r="B432" s="7"/>
      <c r="C432" s="7"/>
    </row>
    <row r="433" spans="1:3" ht="12.45" x14ac:dyDescent="0.3">
      <c r="A433" s="7"/>
      <c r="B433" s="7"/>
      <c r="C433" s="7"/>
    </row>
    <row r="434" spans="1:3" ht="12.45" x14ac:dyDescent="0.3">
      <c r="A434" s="7"/>
      <c r="B434" s="7"/>
      <c r="C434" s="7"/>
    </row>
    <row r="435" spans="1:3" ht="12.45" x14ac:dyDescent="0.3">
      <c r="A435" s="7"/>
      <c r="B435" s="7"/>
      <c r="C435" s="7"/>
    </row>
    <row r="436" spans="1:3" ht="12.45" x14ac:dyDescent="0.3">
      <c r="A436" s="7"/>
      <c r="B436" s="7"/>
      <c r="C436" s="7"/>
    </row>
    <row r="437" spans="1:3" ht="12.45" x14ac:dyDescent="0.3">
      <c r="A437" s="7"/>
      <c r="B437" s="7"/>
      <c r="C437" s="7"/>
    </row>
    <row r="438" spans="1:3" ht="12.45" x14ac:dyDescent="0.3">
      <c r="A438" s="7"/>
      <c r="B438" s="7"/>
      <c r="C438" s="7"/>
    </row>
    <row r="439" spans="1:3" ht="12.45" x14ac:dyDescent="0.3">
      <c r="A439" s="7"/>
      <c r="B439" s="7"/>
      <c r="C439" s="7"/>
    </row>
    <row r="440" spans="1:3" ht="12.45" x14ac:dyDescent="0.3">
      <c r="A440" s="7"/>
      <c r="B440" s="7"/>
      <c r="C440" s="7"/>
    </row>
    <row r="441" spans="1:3" ht="12.45" x14ac:dyDescent="0.3">
      <c r="A441" s="7"/>
      <c r="B441" s="7"/>
      <c r="C441" s="7"/>
    </row>
    <row r="442" spans="1:3" ht="12.45" x14ac:dyDescent="0.3">
      <c r="A442" s="7"/>
      <c r="B442" s="7"/>
      <c r="C442" s="7"/>
    </row>
    <row r="443" spans="1:3" ht="12.45" x14ac:dyDescent="0.3">
      <c r="A443" s="7"/>
      <c r="B443" s="7"/>
      <c r="C443" s="7"/>
    </row>
    <row r="444" spans="1:3" ht="12.45" x14ac:dyDescent="0.3">
      <c r="A444" s="7"/>
      <c r="B444" s="7"/>
      <c r="C444" s="7"/>
    </row>
    <row r="445" spans="1:3" ht="12.45" x14ac:dyDescent="0.3">
      <c r="A445" s="7"/>
      <c r="B445" s="7"/>
      <c r="C445" s="7"/>
    </row>
    <row r="446" spans="1:3" ht="12.45" x14ac:dyDescent="0.3">
      <c r="A446" s="7"/>
      <c r="B446" s="7"/>
      <c r="C446" s="7"/>
    </row>
    <row r="447" spans="1:3" ht="12.45" x14ac:dyDescent="0.3">
      <c r="A447" s="7"/>
      <c r="B447" s="7"/>
      <c r="C447" s="7"/>
    </row>
    <row r="448" spans="1:3" ht="12.45" x14ac:dyDescent="0.3">
      <c r="A448" s="7"/>
      <c r="B448" s="7"/>
      <c r="C448" s="7"/>
    </row>
    <row r="449" spans="1:3" ht="12.45" x14ac:dyDescent="0.3">
      <c r="A449" s="7"/>
      <c r="B449" s="7"/>
      <c r="C449" s="7"/>
    </row>
    <row r="450" spans="1:3" ht="12.45" x14ac:dyDescent="0.3">
      <c r="A450" s="7"/>
      <c r="B450" s="7"/>
      <c r="C450" s="7"/>
    </row>
    <row r="451" spans="1:3" ht="12.45" x14ac:dyDescent="0.3">
      <c r="A451" s="7"/>
      <c r="B451" s="7"/>
      <c r="C451" s="7"/>
    </row>
    <row r="452" spans="1:3" ht="12.45" x14ac:dyDescent="0.3">
      <c r="A452" s="7"/>
      <c r="B452" s="7"/>
      <c r="C452" s="7"/>
    </row>
    <row r="453" spans="1:3" ht="12.45" x14ac:dyDescent="0.3">
      <c r="A453" s="7"/>
      <c r="B453" s="7"/>
      <c r="C453" s="7"/>
    </row>
    <row r="454" spans="1:3" ht="12.45" x14ac:dyDescent="0.3">
      <c r="A454" s="7"/>
      <c r="B454" s="7"/>
      <c r="C454" s="7"/>
    </row>
    <row r="455" spans="1:3" ht="12.45" x14ac:dyDescent="0.3">
      <c r="A455" s="7"/>
      <c r="B455" s="7"/>
      <c r="C455" s="7"/>
    </row>
    <row r="456" spans="1:3" ht="12.45" x14ac:dyDescent="0.3">
      <c r="A456" s="7"/>
      <c r="B456" s="7"/>
      <c r="C456" s="7"/>
    </row>
    <row r="457" spans="1:3" ht="12.45" x14ac:dyDescent="0.3">
      <c r="A457" s="7"/>
      <c r="B457" s="7"/>
      <c r="C457" s="7"/>
    </row>
    <row r="458" spans="1:3" ht="12.45" x14ac:dyDescent="0.3">
      <c r="A458" s="7"/>
      <c r="B458" s="7"/>
      <c r="C458" s="7"/>
    </row>
    <row r="459" spans="1:3" ht="12.45" x14ac:dyDescent="0.3">
      <c r="A459" s="7"/>
      <c r="B459" s="7"/>
      <c r="C459" s="7"/>
    </row>
    <row r="460" spans="1:3" ht="12.45" x14ac:dyDescent="0.3">
      <c r="A460" s="7"/>
      <c r="B460" s="7"/>
      <c r="C460" s="7"/>
    </row>
    <row r="461" spans="1:3" ht="12.45" x14ac:dyDescent="0.3">
      <c r="A461" s="7"/>
      <c r="B461" s="7"/>
      <c r="C461" s="7"/>
    </row>
    <row r="462" spans="1:3" ht="12.45" x14ac:dyDescent="0.3">
      <c r="A462" s="7"/>
      <c r="B462" s="7"/>
      <c r="C462" s="7"/>
    </row>
    <row r="463" spans="1:3" ht="12.45" x14ac:dyDescent="0.3">
      <c r="A463" s="7"/>
      <c r="B463" s="7"/>
      <c r="C463" s="7"/>
    </row>
    <row r="464" spans="1:3" ht="12.45" x14ac:dyDescent="0.3">
      <c r="A464" s="7"/>
      <c r="B464" s="7"/>
      <c r="C464" s="7"/>
    </row>
    <row r="465" spans="1:3" ht="12.45" x14ac:dyDescent="0.3">
      <c r="A465" s="7"/>
      <c r="B465" s="7"/>
      <c r="C465" s="7"/>
    </row>
    <row r="466" spans="1:3" ht="12.45" x14ac:dyDescent="0.3">
      <c r="A466" s="7"/>
      <c r="B466" s="7"/>
      <c r="C466" s="7"/>
    </row>
    <row r="467" spans="1:3" ht="12.45" x14ac:dyDescent="0.3">
      <c r="A467" s="7"/>
      <c r="B467" s="7"/>
      <c r="C467" s="7"/>
    </row>
    <row r="468" spans="1:3" ht="12.45" x14ac:dyDescent="0.3">
      <c r="A468" s="7"/>
      <c r="B468" s="7"/>
      <c r="C468" s="7"/>
    </row>
    <row r="469" spans="1:3" ht="12.45" x14ac:dyDescent="0.3">
      <c r="A469" s="7"/>
      <c r="B469" s="7"/>
      <c r="C469" s="7"/>
    </row>
    <row r="470" spans="1:3" ht="12.45" x14ac:dyDescent="0.3">
      <c r="A470" s="7"/>
      <c r="B470" s="7"/>
      <c r="C470" s="7"/>
    </row>
    <row r="471" spans="1:3" ht="12.45" x14ac:dyDescent="0.3">
      <c r="A471" s="7"/>
      <c r="B471" s="7"/>
      <c r="C471" s="7"/>
    </row>
    <row r="472" spans="1:3" ht="12.45" x14ac:dyDescent="0.3">
      <c r="A472" s="7"/>
      <c r="B472" s="7"/>
      <c r="C472" s="7"/>
    </row>
    <row r="473" spans="1:3" ht="12.45" x14ac:dyDescent="0.3">
      <c r="A473" s="7"/>
      <c r="B473" s="7"/>
      <c r="C473" s="7"/>
    </row>
    <row r="474" spans="1:3" ht="12.45" x14ac:dyDescent="0.3">
      <c r="A474" s="7"/>
      <c r="B474" s="7"/>
      <c r="C474" s="7"/>
    </row>
    <row r="475" spans="1:3" ht="12.45" x14ac:dyDescent="0.3">
      <c r="A475" s="7"/>
      <c r="B475" s="7"/>
      <c r="C475" s="7"/>
    </row>
    <row r="476" spans="1:3" ht="12.45" x14ac:dyDescent="0.3">
      <c r="A476" s="7"/>
      <c r="B476" s="7"/>
      <c r="C476" s="7"/>
    </row>
    <row r="477" spans="1:3" ht="12.45" x14ac:dyDescent="0.3">
      <c r="A477" s="7"/>
      <c r="B477" s="7"/>
      <c r="C477" s="7"/>
    </row>
    <row r="478" spans="1:3" ht="12.45" x14ac:dyDescent="0.3">
      <c r="A478" s="7"/>
      <c r="B478" s="7"/>
      <c r="C478" s="7"/>
    </row>
    <row r="479" spans="1:3" ht="12.45" x14ac:dyDescent="0.3">
      <c r="A479" s="7"/>
      <c r="B479" s="7"/>
      <c r="C479" s="7"/>
    </row>
    <row r="480" spans="1:3" ht="12.45" x14ac:dyDescent="0.3">
      <c r="A480" s="7"/>
      <c r="B480" s="7"/>
      <c r="C480" s="7"/>
    </row>
    <row r="481" spans="1:3" ht="12.45" x14ac:dyDescent="0.3">
      <c r="A481" s="7"/>
      <c r="B481" s="7"/>
      <c r="C481" s="7"/>
    </row>
    <row r="482" spans="1:3" ht="12.45" x14ac:dyDescent="0.3">
      <c r="A482" s="7"/>
      <c r="B482" s="7"/>
      <c r="C482" s="7"/>
    </row>
    <row r="483" spans="1:3" ht="12.45" x14ac:dyDescent="0.3">
      <c r="A483" s="7"/>
      <c r="B483" s="7"/>
      <c r="C483" s="7"/>
    </row>
    <row r="484" spans="1:3" ht="12.45" x14ac:dyDescent="0.3">
      <c r="A484" s="7"/>
      <c r="B484" s="7"/>
      <c r="C484" s="7"/>
    </row>
    <row r="485" spans="1:3" ht="12.45" x14ac:dyDescent="0.3">
      <c r="A485" s="7"/>
      <c r="B485" s="7"/>
      <c r="C485" s="7"/>
    </row>
    <row r="486" spans="1:3" ht="12.45" x14ac:dyDescent="0.3">
      <c r="A486" s="7"/>
      <c r="B486" s="7"/>
      <c r="C486" s="7"/>
    </row>
    <row r="487" spans="1:3" ht="12.45" x14ac:dyDescent="0.3">
      <c r="A487" s="7"/>
      <c r="B487" s="7"/>
      <c r="C487" s="7"/>
    </row>
    <row r="488" spans="1:3" ht="12.45" x14ac:dyDescent="0.3">
      <c r="A488" s="7"/>
      <c r="B488" s="7"/>
      <c r="C488" s="7"/>
    </row>
    <row r="489" spans="1:3" ht="12.45" x14ac:dyDescent="0.3">
      <c r="A489" s="7"/>
      <c r="B489" s="7"/>
      <c r="C489" s="7"/>
    </row>
    <row r="490" spans="1:3" ht="12.45" x14ac:dyDescent="0.3">
      <c r="A490" s="7"/>
      <c r="B490" s="7"/>
      <c r="C490" s="7"/>
    </row>
    <row r="491" spans="1:3" ht="12.45" x14ac:dyDescent="0.3">
      <c r="A491" s="7"/>
      <c r="B491" s="7"/>
      <c r="C491" s="7"/>
    </row>
    <row r="492" spans="1:3" ht="12.45" x14ac:dyDescent="0.3">
      <c r="A492" s="7"/>
      <c r="B492" s="7"/>
      <c r="C492" s="7"/>
    </row>
    <row r="493" spans="1:3" ht="12.45" x14ac:dyDescent="0.3">
      <c r="A493" s="7"/>
      <c r="B493" s="7"/>
      <c r="C493" s="7"/>
    </row>
    <row r="494" spans="1:3" ht="12.45" x14ac:dyDescent="0.3">
      <c r="A494" s="7"/>
      <c r="B494" s="7"/>
      <c r="C494" s="7"/>
    </row>
    <row r="495" spans="1:3" ht="12.45" x14ac:dyDescent="0.3">
      <c r="A495" s="7"/>
      <c r="B495" s="7"/>
      <c r="C495" s="7"/>
    </row>
    <row r="496" spans="1:3" ht="12.45" x14ac:dyDescent="0.3">
      <c r="A496" s="7"/>
      <c r="B496" s="7"/>
      <c r="C496" s="7"/>
    </row>
    <row r="497" spans="1:3" ht="12.45" x14ac:dyDescent="0.3">
      <c r="A497" s="7"/>
      <c r="B497" s="7"/>
      <c r="C497" s="7"/>
    </row>
    <row r="498" spans="1:3" ht="12.45" x14ac:dyDescent="0.3">
      <c r="A498" s="7"/>
      <c r="B498" s="7"/>
      <c r="C498" s="7"/>
    </row>
    <row r="499" spans="1:3" ht="12.45" x14ac:dyDescent="0.3">
      <c r="A499" s="7"/>
      <c r="B499" s="7"/>
      <c r="C499" s="7"/>
    </row>
    <row r="500" spans="1:3" ht="12.45" x14ac:dyDescent="0.3">
      <c r="A500" s="7"/>
      <c r="B500" s="7"/>
      <c r="C500" s="7"/>
    </row>
    <row r="501" spans="1:3" ht="12.45" x14ac:dyDescent="0.3">
      <c r="A501" s="7"/>
      <c r="B501" s="7"/>
      <c r="C501" s="7"/>
    </row>
    <row r="502" spans="1:3" ht="12.45" x14ac:dyDescent="0.3">
      <c r="A502" s="7"/>
      <c r="B502" s="7"/>
      <c r="C502" s="7"/>
    </row>
    <row r="503" spans="1:3" ht="12.45" x14ac:dyDescent="0.3">
      <c r="A503" s="7"/>
      <c r="B503" s="7"/>
      <c r="C503" s="7"/>
    </row>
    <row r="504" spans="1:3" ht="12.45" x14ac:dyDescent="0.3">
      <c r="A504" s="7"/>
      <c r="B504" s="7"/>
      <c r="C504" s="7"/>
    </row>
    <row r="505" spans="1:3" ht="12.45" x14ac:dyDescent="0.3">
      <c r="A505" s="7"/>
      <c r="B505" s="7"/>
      <c r="C505" s="7"/>
    </row>
    <row r="506" spans="1:3" ht="12.45" x14ac:dyDescent="0.3">
      <c r="A506" s="7"/>
      <c r="B506" s="7"/>
      <c r="C506" s="7"/>
    </row>
    <row r="507" spans="1:3" ht="12.45" x14ac:dyDescent="0.3">
      <c r="A507" s="7"/>
      <c r="B507" s="7"/>
      <c r="C507" s="7"/>
    </row>
    <row r="508" spans="1:3" ht="12.45" x14ac:dyDescent="0.3">
      <c r="A508" s="7"/>
      <c r="B508" s="7"/>
      <c r="C508" s="7"/>
    </row>
    <row r="509" spans="1:3" ht="12.45" x14ac:dyDescent="0.3">
      <c r="A509" s="7"/>
      <c r="B509" s="7"/>
      <c r="C509" s="7"/>
    </row>
    <row r="510" spans="1:3" ht="12.45" x14ac:dyDescent="0.3">
      <c r="A510" s="7"/>
      <c r="B510" s="7"/>
      <c r="C510" s="7"/>
    </row>
    <row r="511" spans="1:3" ht="12.45" x14ac:dyDescent="0.3">
      <c r="A511" s="7"/>
      <c r="B511" s="7"/>
      <c r="C511" s="7"/>
    </row>
    <row r="512" spans="1:3" ht="12.45" x14ac:dyDescent="0.3">
      <c r="A512" s="7"/>
      <c r="B512" s="7"/>
      <c r="C512" s="7"/>
    </row>
    <row r="513" spans="1:3" ht="12.45" x14ac:dyDescent="0.3">
      <c r="A513" s="7"/>
      <c r="B513" s="7"/>
      <c r="C513" s="7"/>
    </row>
    <row r="514" spans="1:3" ht="12.45" x14ac:dyDescent="0.3">
      <c r="A514" s="7"/>
      <c r="B514" s="7"/>
      <c r="C514" s="7"/>
    </row>
    <row r="515" spans="1:3" ht="12.45" x14ac:dyDescent="0.3">
      <c r="A515" s="7"/>
      <c r="B515" s="7"/>
      <c r="C515" s="7"/>
    </row>
    <row r="516" spans="1:3" ht="12.45" x14ac:dyDescent="0.3">
      <c r="A516" s="7"/>
      <c r="B516" s="7"/>
      <c r="C516" s="7"/>
    </row>
    <row r="517" spans="1:3" ht="12.45" x14ac:dyDescent="0.3">
      <c r="A517" s="7"/>
      <c r="B517" s="7"/>
      <c r="C517" s="7"/>
    </row>
    <row r="518" spans="1:3" ht="12.45" x14ac:dyDescent="0.3">
      <c r="A518" s="7"/>
      <c r="B518" s="7"/>
      <c r="C518" s="7"/>
    </row>
    <row r="519" spans="1:3" ht="12.45" x14ac:dyDescent="0.3">
      <c r="A519" s="7"/>
      <c r="B519" s="7"/>
      <c r="C519" s="7"/>
    </row>
    <row r="520" spans="1:3" ht="12.45" x14ac:dyDescent="0.3">
      <c r="A520" s="7"/>
      <c r="B520" s="7"/>
      <c r="C520" s="7"/>
    </row>
    <row r="521" spans="1:3" ht="12.45" x14ac:dyDescent="0.3">
      <c r="A521" s="7"/>
      <c r="B521" s="7"/>
      <c r="C521" s="7"/>
    </row>
    <row r="522" spans="1:3" ht="12.45" x14ac:dyDescent="0.3">
      <c r="A522" s="7"/>
      <c r="B522" s="7"/>
      <c r="C522" s="7"/>
    </row>
    <row r="523" spans="1:3" ht="12.45" x14ac:dyDescent="0.3">
      <c r="A523" s="7"/>
      <c r="B523" s="7"/>
      <c r="C523" s="7"/>
    </row>
    <row r="524" spans="1:3" ht="12.45" x14ac:dyDescent="0.3">
      <c r="A524" s="7"/>
      <c r="B524" s="7"/>
      <c r="C524" s="7"/>
    </row>
    <row r="525" spans="1:3" ht="12.45" x14ac:dyDescent="0.3">
      <c r="A525" s="7"/>
      <c r="B525" s="7"/>
      <c r="C525" s="7"/>
    </row>
    <row r="526" spans="1:3" ht="12.45" x14ac:dyDescent="0.3">
      <c r="A526" s="7"/>
      <c r="B526" s="7"/>
      <c r="C526" s="7"/>
    </row>
    <row r="527" spans="1:3" ht="12.45" x14ac:dyDescent="0.3">
      <c r="A527" s="7"/>
      <c r="B527" s="7"/>
      <c r="C527" s="7"/>
    </row>
    <row r="528" spans="1:3" ht="12.45" x14ac:dyDescent="0.3">
      <c r="A528" s="7"/>
      <c r="B528" s="7"/>
      <c r="C528" s="7"/>
    </row>
    <row r="529" spans="1:3" ht="12.45" x14ac:dyDescent="0.3">
      <c r="A529" s="7"/>
      <c r="B529" s="7"/>
      <c r="C529" s="7"/>
    </row>
    <row r="530" spans="1:3" ht="12.45" x14ac:dyDescent="0.3">
      <c r="A530" s="7"/>
      <c r="B530" s="7"/>
      <c r="C530" s="7"/>
    </row>
    <row r="531" spans="1:3" ht="12.45" x14ac:dyDescent="0.3">
      <c r="A531" s="7"/>
      <c r="B531" s="7"/>
      <c r="C531" s="7"/>
    </row>
    <row r="532" spans="1:3" ht="12.45" x14ac:dyDescent="0.3">
      <c r="A532" s="7"/>
      <c r="B532" s="7"/>
      <c r="C532" s="7"/>
    </row>
    <row r="533" spans="1:3" ht="12.45" x14ac:dyDescent="0.3">
      <c r="A533" s="7"/>
      <c r="B533" s="7"/>
      <c r="C533" s="7"/>
    </row>
    <row r="534" spans="1:3" ht="12.45" x14ac:dyDescent="0.3">
      <c r="A534" s="7"/>
      <c r="B534" s="7"/>
      <c r="C534" s="7"/>
    </row>
    <row r="535" spans="1:3" ht="12.45" x14ac:dyDescent="0.3">
      <c r="A535" s="7"/>
      <c r="B535" s="7"/>
      <c r="C535" s="7"/>
    </row>
    <row r="536" spans="1:3" ht="12.45" x14ac:dyDescent="0.3">
      <c r="A536" s="7"/>
      <c r="B536" s="7"/>
      <c r="C536" s="7"/>
    </row>
    <row r="537" spans="1:3" ht="12.45" x14ac:dyDescent="0.3">
      <c r="A537" s="7"/>
      <c r="B537" s="7"/>
      <c r="C537" s="7"/>
    </row>
    <row r="538" spans="1:3" ht="12.45" x14ac:dyDescent="0.3">
      <c r="A538" s="7"/>
      <c r="B538" s="7"/>
      <c r="C538" s="7"/>
    </row>
    <row r="539" spans="1:3" ht="12.45" x14ac:dyDescent="0.3">
      <c r="A539" s="7"/>
      <c r="B539" s="7"/>
      <c r="C539" s="7"/>
    </row>
    <row r="540" spans="1:3" ht="12.45" x14ac:dyDescent="0.3">
      <c r="A540" s="7"/>
      <c r="B540" s="7"/>
      <c r="C540" s="7"/>
    </row>
    <row r="541" spans="1:3" ht="12.45" x14ac:dyDescent="0.3">
      <c r="A541" s="7"/>
      <c r="B541" s="7"/>
      <c r="C541" s="7"/>
    </row>
    <row r="542" spans="1:3" ht="12.45" x14ac:dyDescent="0.3">
      <c r="A542" s="7"/>
      <c r="B542" s="7"/>
      <c r="C542" s="7"/>
    </row>
    <row r="543" spans="1:3" ht="12.45" x14ac:dyDescent="0.3">
      <c r="A543" s="7"/>
      <c r="B543" s="7"/>
      <c r="C543" s="7"/>
    </row>
    <row r="544" spans="1:3" ht="12.45" x14ac:dyDescent="0.3">
      <c r="A544" s="7"/>
      <c r="B544" s="7"/>
      <c r="C544" s="7"/>
    </row>
    <row r="545" spans="1:3" ht="12.45" x14ac:dyDescent="0.3">
      <c r="A545" s="7"/>
      <c r="B545" s="7"/>
      <c r="C545" s="7"/>
    </row>
    <row r="546" spans="1:3" ht="12.45" x14ac:dyDescent="0.3">
      <c r="A546" s="7"/>
      <c r="B546" s="7"/>
      <c r="C546" s="7"/>
    </row>
    <row r="547" spans="1:3" ht="12.45" x14ac:dyDescent="0.3">
      <c r="A547" s="7"/>
      <c r="B547" s="7"/>
      <c r="C547" s="7"/>
    </row>
    <row r="548" spans="1:3" ht="12.45" x14ac:dyDescent="0.3">
      <c r="A548" s="7"/>
      <c r="B548" s="7"/>
      <c r="C548" s="7"/>
    </row>
    <row r="549" spans="1:3" ht="12.45" x14ac:dyDescent="0.3">
      <c r="A549" s="7"/>
      <c r="B549" s="7"/>
      <c r="C549" s="7"/>
    </row>
    <row r="550" spans="1:3" ht="12.45" x14ac:dyDescent="0.3">
      <c r="A550" s="7"/>
      <c r="B550" s="7"/>
      <c r="C550" s="7"/>
    </row>
    <row r="551" spans="1:3" ht="12.45" x14ac:dyDescent="0.3">
      <c r="A551" s="7"/>
      <c r="B551" s="7"/>
      <c r="C551" s="7"/>
    </row>
    <row r="552" spans="1:3" ht="12.45" x14ac:dyDescent="0.3">
      <c r="A552" s="7"/>
      <c r="B552" s="7"/>
      <c r="C552" s="7"/>
    </row>
    <row r="553" spans="1:3" ht="12.45" x14ac:dyDescent="0.3">
      <c r="A553" s="7"/>
      <c r="B553" s="7"/>
      <c r="C553" s="7"/>
    </row>
    <row r="554" spans="1:3" ht="12.45" x14ac:dyDescent="0.3">
      <c r="A554" s="7"/>
      <c r="B554" s="7"/>
      <c r="C554" s="7"/>
    </row>
    <row r="555" spans="1:3" ht="12.45" x14ac:dyDescent="0.3">
      <c r="A555" s="7"/>
      <c r="B555" s="7"/>
      <c r="C555" s="7"/>
    </row>
    <row r="556" spans="1:3" ht="12.45" x14ac:dyDescent="0.3">
      <c r="A556" s="7"/>
      <c r="B556" s="7"/>
      <c r="C556" s="7"/>
    </row>
    <row r="557" spans="1:3" ht="12.45" x14ac:dyDescent="0.3">
      <c r="A557" s="7"/>
      <c r="B557" s="7"/>
      <c r="C557" s="7"/>
    </row>
    <row r="558" spans="1:3" ht="12.45" x14ac:dyDescent="0.3">
      <c r="A558" s="7"/>
      <c r="B558" s="7"/>
      <c r="C558" s="7"/>
    </row>
    <row r="559" spans="1:3" ht="12.45" x14ac:dyDescent="0.3">
      <c r="A559" s="7"/>
      <c r="B559" s="7"/>
      <c r="C559" s="7"/>
    </row>
    <row r="560" spans="1:3" ht="12.45" x14ac:dyDescent="0.3">
      <c r="A560" s="7"/>
      <c r="B560" s="7"/>
      <c r="C560" s="7"/>
    </row>
    <row r="561" spans="1:3" ht="12.45" x14ac:dyDescent="0.3">
      <c r="A561" s="7"/>
      <c r="B561" s="7"/>
      <c r="C561" s="7"/>
    </row>
    <row r="562" spans="1:3" ht="12.45" x14ac:dyDescent="0.3">
      <c r="A562" s="7"/>
      <c r="B562" s="7"/>
      <c r="C562" s="7"/>
    </row>
    <row r="563" spans="1:3" ht="12.45" x14ac:dyDescent="0.3">
      <c r="A563" s="7"/>
      <c r="B563" s="7"/>
      <c r="C563" s="7"/>
    </row>
    <row r="564" spans="1:3" ht="12.45" x14ac:dyDescent="0.3">
      <c r="A564" s="7"/>
      <c r="B564" s="7"/>
      <c r="C564" s="7"/>
    </row>
    <row r="565" spans="1:3" ht="12.45" x14ac:dyDescent="0.3">
      <c r="A565" s="7"/>
      <c r="B565" s="7"/>
      <c r="C565" s="7"/>
    </row>
    <row r="566" spans="1:3" ht="12.45" x14ac:dyDescent="0.3">
      <c r="A566" s="7"/>
      <c r="B566" s="7"/>
      <c r="C566" s="7"/>
    </row>
    <row r="567" spans="1:3" ht="12.45" x14ac:dyDescent="0.3">
      <c r="A567" s="7"/>
      <c r="B567" s="7"/>
      <c r="C567" s="7"/>
    </row>
    <row r="568" spans="1:3" ht="12.45" x14ac:dyDescent="0.3">
      <c r="A568" s="7"/>
      <c r="B568" s="7"/>
      <c r="C568" s="7"/>
    </row>
    <row r="569" spans="1:3" ht="12.45" x14ac:dyDescent="0.3">
      <c r="A569" s="7"/>
      <c r="B569" s="7"/>
      <c r="C569" s="7"/>
    </row>
    <row r="570" spans="1:3" ht="12.45" x14ac:dyDescent="0.3">
      <c r="A570" s="7"/>
      <c r="B570" s="7"/>
      <c r="C570" s="7"/>
    </row>
    <row r="571" spans="1:3" ht="12.45" x14ac:dyDescent="0.3">
      <c r="A571" s="7"/>
      <c r="B571" s="7"/>
      <c r="C571" s="7"/>
    </row>
    <row r="572" spans="1:3" ht="12.45" x14ac:dyDescent="0.3">
      <c r="A572" s="7"/>
      <c r="B572" s="7"/>
      <c r="C572" s="7"/>
    </row>
    <row r="573" spans="1:3" ht="12.45" x14ac:dyDescent="0.3">
      <c r="A573" s="7"/>
      <c r="B573" s="7"/>
      <c r="C573" s="7"/>
    </row>
    <row r="574" spans="1:3" ht="12.45" x14ac:dyDescent="0.3">
      <c r="A574" s="7"/>
      <c r="B574" s="7"/>
      <c r="C574" s="7"/>
    </row>
    <row r="575" spans="1:3" ht="12.45" x14ac:dyDescent="0.3">
      <c r="A575" s="7"/>
      <c r="B575" s="7"/>
      <c r="C575" s="7"/>
    </row>
    <row r="576" spans="1:3" ht="12.45" x14ac:dyDescent="0.3">
      <c r="A576" s="7"/>
      <c r="B576" s="7"/>
      <c r="C576" s="7"/>
    </row>
    <row r="577" spans="1:3" ht="12.45" x14ac:dyDescent="0.3">
      <c r="A577" s="7"/>
      <c r="B577" s="7"/>
      <c r="C577" s="7"/>
    </row>
    <row r="578" spans="1:3" ht="12.45" x14ac:dyDescent="0.3">
      <c r="A578" s="7"/>
      <c r="B578" s="7"/>
      <c r="C578" s="7"/>
    </row>
    <row r="579" spans="1:3" ht="12.45" x14ac:dyDescent="0.3">
      <c r="A579" s="7"/>
      <c r="B579" s="7"/>
      <c r="C579" s="7"/>
    </row>
    <row r="580" spans="1:3" ht="12.45" x14ac:dyDescent="0.3">
      <c r="A580" s="7"/>
      <c r="B580" s="7"/>
      <c r="C580" s="7"/>
    </row>
    <row r="581" spans="1:3" ht="12.45" x14ac:dyDescent="0.3">
      <c r="A581" s="7"/>
      <c r="B581" s="7"/>
      <c r="C581" s="7"/>
    </row>
    <row r="582" spans="1:3" ht="12.45" x14ac:dyDescent="0.3">
      <c r="A582" s="7"/>
      <c r="B582" s="7"/>
      <c r="C582" s="7"/>
    </row>
    <row r="583" spans="1:3" ht="12.45" x14ac:dyDescent="0.3">
      <c r="A583" s="7"/>
      <c r="B583" s="7"/>
      <c r="C583" s="7"/>
    </row>
    <row r="584" spans="1:3" ht="12.45" x14ac:dyDescent="0.3">
      <c r="A584" s="7"/>
      <c r="B584" s="7"/>
      <c r="C584" s="7"/>
    </row>
    <row r="585" spans="1:3" ht="12.45" x14ac:dyDescent="0.3">
      <c r="A585" s="7"/>
      <c r="B585" s="7"/>
      <c r="C585" s="7"/>
    </row>
    <row r="586" spans="1:3" ht="12.45" x14ac:dyDescent="0.3">
      <c r="A586" s="7"/>
      <c r="B586" s="7"/>
      <c r="C586" s="7"/>
    </row>
    <row r="587" spans="1:3" ht="12.45" x14ac:dyDescent="0.3">
      <c r="A587" s="7"/>
      <c r="B587" s="7"/>
      <c r="C587" s="7"/>
    </row>
    <row r="588" spans="1:3" ht="12.45" x14ac:dyDescent="0.3">
      <c r="A588" s="7"/>
      <c r="B588" s="7"/>
      <c r="C588" s="7"/>
    </row>
    <row r="589" spans="1:3" ht="12.45" x14ac:dyDescent="0.3">
      <c r="A589" s="7"/>
      <c r="B589" s="7"/>
      <c r="C589" s="7"/>
    </row>
    <row r="590" spans="1:3" ht="12.45" x14ac:dyDescent="0.3">
      <c r="A590" s="7"/>
      <c r="B590" s="7"/>
      <c r="C590" s="7"/>
    </row>
    <row r="591" spans="1:3" ht="12.45" x14ac:dyDescent="0.3">
      <c r="A591" s="7"/>
      <c r="B591" s="7"/>
      <c r="C591" s="7"/>
    </row>
    <row r="592" spans="1:3" ht="12.45" x14ac:dyDescent="0.3">
      <c r="A592" s="7"/>
      <c r="B592" s="7"/>
      <c r="C592" s="7"/>
    </row>
    <row r="593" spans="1:3" ht="12.45" x14ac:dyDescent="0.3">
      <c r="A593" s="7"/>
      <c r="B593" s="7"/>
      <c r="C593" s="7"/>
    </row>
    <row r="594" spans="1:3" ht="12.45" x14ac:dyDescent="0.3">
      <c r="A594" s="7"/>
      <c r="B594" s="7"/>
      <c r="C594" s="7"/>
    </row>
    <row r="595" spans="1:3" ht="12.45" x14ac:dyDescent="0.3">
      <c r="A595" s="7"/>
      <c r="B595" s="7"/>
      <c r="C595" s="7"/>
    </row>
    <row r="596" spans="1:3" ht="12.45" x14ac:dyDescent="0.3">
      <c r="A596" s="7"/>
      <c r="B596" s="7"/>
      <c r="C596" s="7"/>
    </row>
    <row r="597" spans="1:3" ht="12.45" x14ac:dyDescent="0.3">
      <c r="A597" s="7"/>
      <c r="B597" s="7"/>
      <c r="C597" s="7"/>
    </row>
    <row r="598" spans="1:3" ht="12.45" x14ac:dyDescent="0.3">
      <c r="A598" s="7"/>
      <c r="B598" s="7"/>
      <c r="C598" s="7"/>
    </row>
    <row r="599" spans="1:3" ht="12.45" x14ac:dyDescent="0.3">
      <c r="A599" s="7"/>
      <c r="B599" s="7"/>
      <c r="C599" s="7"/>
    </row>
    <row r="600" spans="1:3" ht="12.45" x14ac:dyDescent="0.3">
      <c r="A600" s="7"/>
      <c r="B600" s="7"/>
      <c r="C600" s="7"/>
    </row>
    <row r="601" spans="1:3" ht="12.45" x14ac:dyDescent="0.3">
      <c r="A601" s="7"/>
      <c r="B601" s="7"/>
      <c r="C601" s="7"/>
    </row>
    <row r="602" spans="1:3" ht="12.45" x14ac:dyDescent="0.3">
      <c r="A602" s="7"/>
      <c r="B602" s="7"/>
      <c r="C602" s="7"/>
    </row>
    <row r="603" spans="1:3" ht="12.45" x14ac:dyDescent="0.3">
      <c r="A603" s="7"/>
      <c r="B603" s="7"/>
      <c r="C603" s="7"/>
    </row>
    <row r="604" spans="1:3" ht="12.45" x14ac:dyDescent="0.3">
      <c r="A604" s="7"/>
      <c r="B604" s="7"/>
      <c r="C604" s="7"/>
    </row>
    <row r="605" spans="1:3" ht="12.45" x14ac:dyDescent="0.3">
      <c r="A605" s="7"/>
      <c r="B605" s="7"/>
      <c r="C605" s="7"/>
    </row>
    <row r="606" spans="1:3" ht="12.45" x14ac:dyDescent="0.3">
      <c r="A606" s="7"/>
      <c r="B606" s="7"/>
      <c r="C606" s="7"/>
    </row>
    <row r="607" spans="1:3" ht="12.45" x14ac:dyDescent="0.3">
      <c r="A607" s="7"/>
      <c r="B607" s="7"/>
      <c r="C607" s="7"/>
    </row>
    <row r="608" spans="1:3" ht="12.45" x14ac:dyDescent="0.3">
      <c r="A608" s="7"/>
      <c r="B608" s="7"/>
      <c r="C608" s="7"/>
    </row>
    <row r="609" spans="1:3" ht="12.45" x14ac:dyDescent="0.3">
      <c r="A609" s="7"/>
      <c r="B609" s="7"/>
      <c r="C609" s="7"/>
    </row>
    <row r="610" spans="1:3" ht="12.45" x14ac:dyDescent="0.3">
      <c r="A610" s="7"/>
      <c r="B610" s="7"/>
      <c r="C610" s="7"/>
    </row>
    <row r="611" spans="1:3" ht="12.45" x14ac:dyDescent="0.3">
      <c r="A611" s="7"/>
      <c r="B611" s="7"/>
      <c r="C611" s="7"/>
    </row>
    <row r="612" spans="1:3" ht="12.45" x14ac:dyDescent="0.3">
      <c r="A612" s="7"/>
      <c r="B612" s="7"/>
      <c r="C612" s="7"/>
    </row>
    <row r="613" spans="1:3" ht="12.45" x14ac:dyDescent="0.3">
      <c r="A613" s="7"/>
      <c r="B613" s="7"/>
      <c r="C613" s="7"/>
    </row>
    <row r="614" spans="1:3" ht="12.45" x14ac:dyDescent="0.3">
      <c r="A614" s="7"/>
      <c r="B614" s="7"/>
      <c r="C614" s="7"/>
    </row>
    <row r="615" spans="1:3" ht="12.45" x14ac:dyDescent="0.3">
      <c r="A615" s="7"/>
      <c r="B615" s="7"/>
      <c r="C615" s="7"/>
    </row>
    <row r="616" spans="1:3" ht="12.45" x14ac:dyDescent="0.3">
      <c r="A616" s="7"/>
      <c r="B616" s="7"/>
      <c r="C616" s="7"/>
    </row>
    <row r="617" spans="1:3" ht="12.45" x14ac:dyDescent="0.3">
      <c r="A617" s="7"/>
      <c r="B617" s="7"/>
      <c r="C617" s="7"/>
    </row>
    <row r="618" spans="1:3" ht="12.45" x14ac:dyDescent="0.3">
      <c r="A618" s="7"/>
      <c r="B618" s="7"/>
      <c r="C618" s="7"/>
    </row>
    <row r="619" spans="1:3" ht="12.45" x14ac:dyDescent="0.3">
      <c r="A619" s="7"/>
      <c r="B619" s="7"/>
      <c r="C619" s="7"/>
    </row>
    <row r="620" spans="1:3" ht="12.45" x14ac:dyDescent="0.3">
      <c r="A620" s="7"/>
      <c r="B620" s="7"/>
      <c r="C620" s="7"/>
    </row>
    <row r="621" spans="1:3" ht="12.45" x14ac:dyDescent="0.3">
      <c r="A621" s="7"/>
      <c r="B621" s="7"/>
      <c r="C621" s="7"/>
    </row>
    <row r="622" spans="1:3" ht="12.45" x14ac:dyDescent="0.3">
      <c r="A622" s="7"/>
      <c r="B622" s="7"/>
      <c r="C622" s="7"/>
    </row>
    <row r="623" spans="1:3" ht="12.45" x14ac:dyDescent="0.3">
      <c r="A623" s="7"/>
      <c r="B623" s="7"/>
      <c r="C623" s="7"/>
    </row>
    <row r="624" spans="1:3" ht="12.45" x14ac:dyDescent="0.3">
      <c r="A624" s="7"/>
      <c r="B624" s="7"/>
      <c r="C624" s="7"/>
    </row>
    <row r="625" spans="1:3" ht="12.45" x14ac:dyDescent="0.3">
      <c r="A625" s="7"/>
      <c r="B625" s="7"/>
      <c r="C625" s="7"/>
    </row>
    <row r="626" spans="1:3" ht="12.45" x14ac:dyDescent="0.3">
      <c r="A626" s="7"/>
      <c r="B626" s="7"/>
      <c r="C626" s="7"/>
    </row>
    <row r="627" spans="1:3" ht="12.45" x14ac:dyDescent="0.3">
      <c r="A627" s="7"/>
      <c r="B627" s="7"/>
      <c r="C627" s="7"/>
    </row>
    <row r="628" spans="1:3" ht="12.45" x14ac:dyDescent="0.3">
      <c r="A628" s="7"/>
      <c r="B628" s="7"/>
      <c r="C628" s="7"/>
    </row>
    <row r="629" spans="1:3" ht="12.45" x14ac:dyDescent="0.3">
      <c r="A629" s="7"/>
      <c r="B629" s="7"/>
      <c r="C629" s="7"/>
    </row>
    <row r="630" spans="1:3" ht="12.45" x14ac:dyDescent="0.3">
      <c r="A630" s="7"/>
      <c r="B630" s="7"/>
      <c r="C630" s="7"/>
    </row>
    <row r="631" spans="1:3" ht="12.45" x14ac:dyDescent="0.3">
      <c r="A631" s="7"/>
      <c r="B631" s="7"/>
      <c r="C631" s="7"/>
    </row>
    <row r="632" spans="1:3" ht="12.45" x14ac:dyDescent="0.3">
      <c r="A632" s="7"/>
      <c r="B632" s="7"/>
      <c r="C632" s="7"/>
    </row>
    <row r="633" spans="1:3" ht="12.45" x14ac:dyDescent="0.3">
      <c r="A633" s="7"/>
      <c r="B633" s="7"/>
      <c r="C633" s="7"/>
    </row>
    <row r="634" spans="1:3" ht="12.45" x14ac:dyDescent="0.3">
      <c r="A634" s="7"/>
      <c r="B634" s="7"/>
      <c r="C634" s="7"/>
    </row>
    <row r="635" spans="1:3" ht="12.45" x14ac:dyDescent="0.3">
      <c r="A635" s="7"/>
      <c r="B635" s="7"/>
      <c r="C635" s="7"/>
    </row>
    <row r="636" spans="1:3" ht="12.45" x14ac:dyDescent="0.3">
      <c r="A636" s="7"/>
      <c r="B636" s="7"/>
      <c r="C636" s="7"/>
    </row>
    <row r="637" spans="1:3" ht="12.45" x14ac:dyDescent="0.3">
      <c r="A637" s="7"/>
      <c r="B637" s="7"/>
      <c r="C637" s="7"/>
    </row>
    <row r="638" spans="1:3" ht="12.45" x14ac:dyDescent="0.3">
      <c r="A638" s="7"/>
      <c r="B638" s="7"/>
      <c r="C638" s="7"/>
    </row>
    <row r="639" spans="1:3" ht="12.45" x14ac:dyDescent="0.3">
      <c r="A639" s="7"/>
      <c r="B639" s="7"/>
      <c r="C639" s="7"/>
    </row>
    <row r="640" spans="1:3" ht="12.45" x14ac:dyDescent="0.3">
      <c r="A640" s="7"/>
      <c r="B640" s="7"/>
      <c r="C640" s="7"/>
    </row>
    <row r="641" spans="1:3" ht="12.45" x14ac:dyDescent="0.3">
      <c r="A641" s="7"/>
      <c r="B641" s="7"/>
      <c r="C641" s="7"/>
    </row>
    <row r="642" spans="1:3" ht="12.45" x14ac:dyDescent="0.3">
      <c r="A642" s="7"/>
      <c r="B642" s="7"/>
      <c r="C642" s="7"/>
    </row>
    <row r="643" spans="1:3" ht="12.45" x14ac:dyDescent="0.3">
      <c r="A643" s="7"/>
      <c r="B643" s="7"/>
      <c r="C643" s="7"/>
    </row>
    <row r="644" spans="1:3" ht="12.45" x14ac:dyDescent="0.3">
      <c r="A644" s="7"/>
      <c r="B644" s="7"/>
      <c r="C644" s="7"/>
    </row>
    <row r="645" spans="1:3" ht="12.45" x14ac:dyDescent="0.3">
      <c r="A645" s="7"/>
      <c r="B645" s="7"/>
      <c r="C645" s="7"/>
    </row>
    <row r="646" spans="1:3" ht="12.45" x14ac:dyDescent="0.3">
      <c r="A646" s="7"/>
      <c r="B646" s="7"/>
      <c r="C646" s="7"/>
    </row>
    <row r="647" spans="1:3" ht="12.45" x14ac:dyDescent="0.3">
      <c r="A647" s="7"/>
      <c r="B647" s="7"/>
      <c r="C647" s="7"/>
    </row>
    <row r="648" spans="1:3" ht="12.45" x14ac:dyDescent="0.3">
      <c r="A648" s="7"/>
      <c r="B648" s="7"/>
      <c r="C648" s="7"/>
    </row>
    <row r="649" spans="1:3" ht="12.45" x14ac:dyDescent="0.3">
      <c r="A649" s="7"/>
      <c r="B649" s="7"/>
      <c r="C649" s="7"/>
    </row>
    <row r="650" spans="1:3" ht="12.45" x14ac:dyDescent="0.3">
      <c r="A650" s="7"/>
      <c r="B650" s="7"/>
      <c r="C650" s="7"/>
    </row>
    <row r="651" spans="1:3" ht="12.45" x14ac:dyDescent="0.3">
      <c r="A651" s="7"/>
      <c r="B651" s="7"/>
      <c r="C651" s="7"/>
    </row>
    <row r="652" spans="1:3" ht="12.45" x14ac:dyDescent="0.3">
      <c r="A652" s="7"/>
      <c r="B652" s="7"/>
      <c r="C652" s="7"/>
    </row>
    <row r="653" spans="1:3" ht="12.45" x14ac:dyDescent="0.3">
      <c r="A653" s="7"/>
      <c r="B653" s="7"/>
      <c r="C653" s="7"/>
    </row>
    <row r="654" spans="1:3" ht="12.45" x14ac:dyDescent="0.3">
      <c r="A654" s="7"/>
      <c r="B654" s="7"/>
      <c r="C654" s="7"/>
    </row>
    <row r="655" spans="1:3" ht="12.45" x14ac:dyDescent="0.3">
      <c r="A655" s="7"/>
      <c r="B655" s="7"/>
      <c r="C655" s="7"/>
    </row>
    <row r="656" spans="1:3" ht="12.45" x14ac:dyDescent="0.3">
      <c r="A656" s="7"/>
      <c r="B656" s="7"/>
      <c r="C656" s="7"/>
    </row>
    <row r="657" spans="1:3" ht="12.45" x14ac:dyDescent="0.3">
      <c r="A657" s="7"/>
      <c r="B657" s="7"/>
      <c r="C657" s="7"/>
    </row>
    <row r="658" spans="1:3" ht="12.45" x14ac:dyDescent="0.3">
      <c r="A658" s="7"/>
      <c r="B658" s="7"/>
      <c r="C658" s="7"/>
    </row>
    <row r="659" spans="1:3" ht="12.45" x14ac:dyDescent="0.3">
      <c r="A659" s="7"/>
      <c r="B659" s="7"/>
      <c r="C659" s="7"/>
    </row>
    <row r="660" spans="1:3" ht="12.45" x14ac:dyDescent="0.3">
      <c r="A660" s="7"/>
      <c r="B660" s="7"/>
      <c r="C660" s="7"/>
    </row>
    <row r="661" spans="1:3" ht="12.45" x14ac:dyDescent="0.3">
      <c r="A661" s="7"/>
      <c r="B661" s="7"/>
      <c r="C661" s="7"/>
    </row>
    <row r="662" spans="1:3" ht="12.45" x14ac:dyDescent="0.3">
      <c r="A662" s="7"/>
      <c r="B662" s="7"/>
      <c r="C662" s="7"/>
    </row>
    <row r="663" spans="1:3" ht="12.45" x14ac:dyDescent="0.3">
      <c r="A663" s="7"/>
      <c r="B663" s="7"/>
      <c r="C663" s="7"/>
    </row>
    <row r="664" spans="1:3" ht="12.45" x14ac:dyDescent="0.3">
      <c r="A664" s="7"/>
      <c r="B664" s="7"/>
      <c r="C664" s="7"/>
    </row>
    <row r="665" spans="1:3" ht="12.45" x14ac:dyDescent="0.3">
      <c r="A665" s="7"/>
      <c r="B665" s="7"/>
      <c r="C665" s="7"/>
    </row>
    <row r="666" spans="1:3" ht="12.45" x14ac:dyDescent="0.3">
      <c r="A666" s="7"/>
      <c r="B666" s="7"/>
      <c r="C666" s="7"/>
    </row>
    <row r="667" spans="1:3" ht="12.45" x14ac:dyDescent="0.3">
      <c r="A667" s="7"/>
      <c r="B667" s="7"/>
      <c r="C667" s="7"/>
    </row>
    <row r="668" spans="1:3" ht="12.45" x14ac:dyDescent="0.3">
      <c r="A668" s="7"/>
      <c r="B668" s="7"/>
      <c r="C668" s="7"/>
    </row>
    <row r="669" spans="1:3" ht="12.45" x14ac:dyDescent="0.3">
      <c r="A669" s="7"/>
      <c r="B669" s="7"/>
      <c r="C669" s="7"/>
    </row>
    <row r="670" spans="1:3" ht="12.45" x14ac:dyDescent="0.3">
      <c r="A670" s="7"/>
      <c r="B670" s="7"/>
      <c r="C670" s="7"/>
    </row>
    <row r="671" spans="1:3" ht="12.45" x14ac:dyDescent="0.3">
      <c r="A671" s="7"/>
      <c r="B671" s="7"/>
      <c r="C671" s="7"/>
    </row>
    <row r="672" spans="1:3" ht="12.45" x14ac:dyDescent="0.3">
      <c r="A672" s="7"/>
      <c r="B672" s="7"/>
      <c r="C672" s="7"/>
    </row>
    <row r="673" spans="1:3" ht="12.45" x14ac:dyDescent="0.3">
      <c r="A673" s="7"/>
      <c r="B673" s="7"/>
      <c r="C673" s="7"/>
    </row>
    <row r="674" spans="1:3" ht="12.45" x14ac:dyDescent="0.3">
      <c r="A674" s="7"/>
      <c r="B674" s="7"/>
      <c r="C674" s="7"/>
    </row>
    <row r="675" spans="1:3" ht="12.45" x14ac:dyDescent="0.3">
      <c r="A675" s="7"/>
      <c r="B675" s="7"/>
      <c r="C675" s="7"/>
    </row>
    <row r="676" spans="1:3" ht="12.45" x14ac:dyDescent="0.3">
      <c r="A676" s="7"/>
      <c r="B676" s="7"/>
      <c r="C676" s="7"/>
    </row>
    <row r="677" spans="1:3" ht="12.45" x14ac:dyDescent="0.3">
      <c r="A677" s="7"/>
      <c r="B677" s="7"/>
      <c r="C677" s="7"/>
    </row>
    <row r="678" spans="1:3" ht="12.45" x14ac:dyDescent="0.3">
      <c r="A678" s="7"/>
      <c r="B678" s="7"/>
      <c r="C678" s="7"/>
    </row>
    <row r="679" spans="1:3" ht="12.45" x14ac:dyDescent="0.3">
      <c r="A679" s="7"/>
      <c r="B679" s="7"/>
      <c r="C679" s="7"/>
    </row>
    <row r="680" spans="1:3" ht="12.45" x14ac:dyDescent="0.3">
      <c r="A680" s="7"/>
      <c r="B680" s="7"/>
      <c r="C680" s="7"/>
    </row>
    <row r="681" spans="1:3" ht="12.45" x14ac:dyDescent="0.3">
      <c r="A681" s="7"/>
      <c r="B681" s="7"/>
      <c r="C681" s="7"/>
    </row>
    <row r="682" spans="1:3" ht="12.45" x14ac:dyDescent="0.3">
      <c r="A682" s="7"/>
      <c r="B682" s="7"/>
      <c r="C682" s="7"/>
    </row>
    <row r="683" spans="1:3" ht="12.45" x14ac:dyDescent="0.3">
      <c r="A683" s="7"/>
      <c r="B683" s="7"/>
      <c r="C683" s="7"/>
    </row>
    <row r="684" spans="1:3" ht="12.45" x14ac:dyDescent="0.3">
      <c r="A684" s="7"/>
      <c r="B684" s="7"/>
      <c r="C684" s="7"/>
    </row>
    <row r="685" spans="1:3" ht="12.45" x14ac:dyDescent="0.3">
      <c r="A685" s="7"/>
      <c r="B685" s="7"/>
      <c r="C685" s="7"/>
    </row>
    <row r="686" spans="1:3" ht="12.45" x14ac:dyDescent="0.3">
      <c r="A686" s="7"/>
      <c r="B686" s="7"/>
      <c r="C686" s="7"/>
    </row>
    <row r="687" spans="1:3" ht="12.45" x14ac:dyDescent="0.3">
      <c r="A687" s="7"/>
      <c r="B687" s="7"/>
      <c r="C687" s="7"/>
    </row>
    <row r="688" spans="1:3" ht="12.45" x14ac:dyDescent="0.3">
      <c r="A688" s="7"/>
      <c r="B688" s="7"/>
      <c r="C688" s="7"/>
    </row>
    <row r="689" spans="1:3" ht="12.45" x14ac:dyDescent="0.3">
      <c r="A689" s="7"/>
      <c r="B689" s="7"/>
      <c r="C689" s="7"/>
    </row>
    <row r="690" spans="1:3" ht="12.45" x14ac:dyDescent="0.3">
      <c r="A690" s="7"/>
      <c r="B690" s="7"/>
      <c r="C690" s="7"/>
    </row>
    <row r="691" spans="1:3" ht="12.45" x14ac:dyDescent="0.3">
      <c r="A691" s="7"/>
      <c r="B691" s="7"/>
      <c r="C691" s="7"/>
    </row>
    <row r="692" spans="1:3" ht="12.45" x14ac:dyDescent="0.3">
      <c r="A692" s="7"/>
      <c r="B692" s="7"/>
      <c r="C692" s="7"/>
    </row>
    <row r="693" spans="1:3" ht="12.45" x14ac:dyDescent="0.3">
      <c r="A693" s="7"/>
      <c r="B693" s="7"/>
      <c r="C693" s="7"/>
    </row>
    <row r="694" spans="1:3" ht="12.45" x14ac:dyDescent="0.3">
      <c r="A694" s="7"/>
      <c r="B694" s="7"/>
      <c r="C694" s="7"/>
    </row>
    <row r="695" spans="1:3" ht="12.45" x14ac:dyDescent="0.3">
      <c r="A695" s="7"/>
      <c r="B695" s="7"/>
      <c r="C695" s="7"/>
    </row>
    <row r="696" spans="1:3" ht="12.45" x14ac:dyDescent="0.3">
      <c r="A696" s="7"/>
      <c r="B696" s="7"/>
      <c r="C696" s="7"/>
    </row>
    <row r="697" spans="1:3" ht="12.45" x14ac:dyDescent="0.3">
      <c r="A697" s="7"/>
      <c r="B697" s="7"/>
      <c r="C697" s="7"/>
    </row>
    <row r="698" spans="1:3" ht="12.45" x14ac:dyDescent="0.3">
      <c r="A698" s="7"/>
      <c r="B698" s="7"/>
      <c r="C698" s="7"/>
    </row>
    <row r="699" spans="1:3" ht="12.45" x14ac:dyDescent="0.3">
      <c r="A699" s="7"/>
      <c r="B699" s="7"/>
      <c r="C699" s="7"/>
    </row>
    <row r="700" spans="1:3" ht="12.45" x14ac:dyDescent="0.3">
      <c r="A700" s="7"/>
      <c r="B700" s="7"/>
      <c r="C700" s="7"/>
    </row>
    <row r="701" spans="1:3" ht="12.45" x14ac:dyDescent="0.3">
      <c r="A701" s="7"/>
      <c r="B701" s="7"/>
      <c r="C701" s="7"/>
    </row>
    <row r="702" spans="1:3" ht="12.45" x14ac:dyDescent="0.3">
      <c r="A702" s="7"/>
      <c r="B702" s="7"/>
      <c r="C702" s="7"/>
    </row>
    <row r="703" spans="1:3" ht="12.45" x14ac:dyDescent="0.3">
      <c r="A703" s="7"/>
      <c r="B703" s="7"/>
      <c r="C703" s="7"/>
    </row>
    <row r="704" spans="1:3" ht="12.45" x14ac:dyDescent="0.3">
      <c r="A704" s="7"/>
      <c r="B704" s="7"/>
      <c r="C704" s="7"/>
    </row>
    <row r="705" spans="1:3" ht="12.45" x14ac:dyDescent="0.3">
      <c r="A705" s="7"/>
      <c r="B705" s="7"/>
      <c r="C705" s="7"/>
    </row>
    <row r="706" spans="1:3" ht="12.45" x14ac:dyDescent="0.3">
      <c r="A706" s="7"/>
      <c r="B706" s="7"/>
      <c r="C706" s="7"/>
    </row>
    <row r="707" spans="1:3" ht="12.45" x14ac:dyDescent="0.3">
      <c r="A707" s="7"/>
      <c r="B707" s="7"/>
      <c r="C707" s="7"/>
    </row>
    <row r="708" spans="1:3" ht="12.45" x14ac:dyDescent="0.3">
      <c r="A708" s="7"/>
      <c r="B708" s="7"/>
      <c r="C708" s="7"/>
    </row>
    <row r="709" spans="1:3" ht="12.45" x14ac:dyDescent="0.3">
      <c r="A709" s="7"/>
      <c r="B709" s="7"/>
      <c r="C709" s="7"/>
    </row>
    <row r="710" spans="1:3" ht="12.45" x14ac:dyDescent="0.3">
      <c r="A710" s="7"/>
      <c r="B710" s="7"/>
      <c r="C710" s="7"/>
    </row>
    <row r="711" spans="1:3" ht="12.45" x14ac:dyDescent="0.3">
      <c r="A711" s="7"/>
      <c r="B711" s="7"/>
      <c r="C711" s="7"/>
    </row>
    <row r="712" spans="1:3" ht="12.45" x14ac:dyDescent="0.3">
      <c r="A712" s="7"/>
      <c r="B712" s="7"/>
      <c r="C712" s="7"/>
    </row>
    <row r="713" spans="1:3" ht="12.45" x14ac:dyDescent="0.3">
      <c r="A713" s="7"/>
      <c r="B713" s="7"/>
      <c r="C713" s="7"/>
    </row>
    <row r="714" spans="1:3" ht="12.45" x14ac:dyDescent="0.3">
      <c r="A714" s="7"/>
      <c r="B714" s="7"/>
      <c r="C714" s="7"/>
    </row>
    <row r="715" spans="1:3" ht="12.45" x14ac:dyDescent="0.3">
      <c r="A715" s="7"/>
      <c r="B715" s="7"/>
      <c r="C715" s="7"/>
    </row>
    <row r="716" spans="1:3" ht="12.45" x14ac:dyDescent="0.3">
      <c r="A716" s="7"/>
      <c r="B716" s="7"/>
      <c r="C716" s="7"/>
    </row>
    <row r="717" spans="1:3" ht="12.45" x14ac:dyDescent="0.3">
      <c r="A717" s="7"/>
      <c r="B717" s="7"/>
      <c r="C717" s="7"/>
    </row>
    <row r="718" spans="1:3" ht="12.45" x14ac:dyDescent="0.3">
      <c r="A718" s="7"/>
      <c r="B718" s="7"/>
      <c r="C718" s="7"/>
    </row>
    <row r="719" spans="1:3" ht="12.45" x14ac:dyDescent="0.3">
      <c r="A719" s="7"/>
      <c r="B719" s="7"/>
      <c r="C719" s="7"/>
    </row>
    <row r="720" spans="1:3" ht="12.45" x14ac:dyDescent="0.3">
      <c r="A720" s="7"/>
      <c r="B720" s="7"/>
      <c r="C720" s="7"/>
    </row>
    <row r="721" spans="1:3" ht="12.45" x14ac:dyDescent="0.3">
      <c r="A721" s="7"/>
      <c r="B721" s="7"/>
      <c r="C721" s="7"/>
    </row>
    <row r="722" spans="1:3" ht="12.45" x14ac:dyDescent="0.3">
      <c r="A722" s="7"/>
      <c r="B722" s="7"/>
      <c r="C722" s="7"/>
    </row>
    <row r="723" spans="1:3" ht="12.45" x14ac:dyDescent="0.3">
      <c r="A723" s="7"/>
      <c r="B723" s="7"/>
      <c r="C723" s="7"/>
    </row>
    <row r="724" spans="1:3" ht="12.45" x14ac:dyDescent="0.3">
      <c r="A724" s="7"/>
      <c r="B724" s="7"/>
      <c r="C724" s="7"/>
    </row>
    <row r="725" spans="1:3" ht="12.45" x14ac:dyDescent="0.3">
      <c r="A725" s="7"/>
      <c r="B725" s="7"/>
      <c r="C725" s="7"/>
    </row>
    <row r="726" spans="1:3" ht="12.45" x14ac:dyDescent="0.3">
      <c r="A726" s="7"/>
      <c r="B726" s="7"/>
      <c r="C726" s="7"/>
    </row>
    <row r="727" spans="1:3" ht="12.45" x14ac:dyDescent="0.3">
      <c r="A727" s="7"/>
      <c r="B727" s="7"/>
      <c r="C727" s="7"/>
    </row>
    <row r="728" spans="1:3" ht="12.45" x14ac:dyDescent="0.3">
      <c r="A728" s="7"/>
      <c r="B728" s="7"/>
      <c r="C728" s="7"/>
    </row>
    <row r="729" spans="1:3" ht="12.45" x14ac:dyDescent="0.3">
      <c r="A729" s="7"/>
      <c r="B729" s="7"/>
      <c r="C729" s="7"/>
    </row>
    <row r="730" spans="1:3" ht="12.45" x14ac:dyDescent="0.3">
      <c r="A730" s="7"/>
      <c r="B730" s="7"/>
      <c r="C730" s="7"/>
    </row>
    <row r="731" spans="1:3" ht="12.45" x14ac:dyDescent="0.3">
      <c r="A731" s="7"/>
      <c r="B731" s="7"/>
      <c r="C731" s="7"/>
    </row>
    <row r="732" spans="1:3" ht="12.45" x14ac:dyDescent="0.3">
      <c r="A732" s="7"/>
      <c r="B732" s="7"/>
      <c r="C732" s="7"/>
    </row>
    <row r="733" spans="1:3" ht="12.45" x14ac:dyDescent="0.3">
      <c r="A733" s="7"/>
      <c r="B733" s="7"/>
      <c r="C733" s="7"/>
    </row>
    <row r="734" spans="1:3" ht="12.45" x14ac:dyDescent="0.3">
      <c r="A734" s="7"/>
      <c r="B734" s="7"/>
      <c r="C734" s="7"/>
    </row>
    <row r="735" spans="1:3" ht="12.45" x14ac:dyDescent="0.3">
      <c r="A735" s="7"/>
      <c r="B735" s="7"/>
      <c r="C735" s="7"/>
    </row>
    <row r="736" spans="1:3" ht="12.45" x14ac:dyDescent="0.3">
      <c r="A736" s="7"/>
      <c r="B736" s="7"/>
      <c r="C736" s="7"/>
    </row>
    <row r="737" spans="1:3" ht="12.45" x14ac:dyDescent="0.3">
      <c r="A737" s="7"/>
      <c r="B737" s="7"/>
      <c r="C737" s="7"/>
    </row>
    <row r="738" spans="1:3" ht="12.45" x14ac:dyDescent="0.3">
      <c r="A738" s="7"/>
      <c r="B738" s="7"/>
      <c r="C738" s="7"/>
    </row>
    <row r="739" spans="1:3" ht="12.45" x14ac:dyDescent="0.3">
      <c r="A739" s="7"/>
      <c r="B739" s="7"/>
      <c r="C739" s="7"/>
    </row>
    <row r="740" spans="1:3" ht="12.45" x14ac:dyDescent="0.3">
      <c r="A740" s="7"/>
      <c r="B740" s="7"/>
      <c r="C740" s="7"/>
    </row>
    <row r="741" spans="1:3" ht="12.45" x14ac:dyDescent="0.3">
      <c r="A741" s="7"/>
      <c r="B741" s="7"/>
      <c r="C741" s="7"/>
    </row>
    <row r="742" spans="1:3" ht="12.45" x14ac:dyDescent="0.3">
      <c r="A742" s="7"/>
      <c r="B742" s="7"/>
      <c r="C742" s="7"/>
    </row>
    <row r="743" spans="1:3" ht="12.45" x14ac:dyDescent="0.3">
      <c r="A743" s="7"/>
      <c r="B743" s="7"/>
      <c r="C743" s="7"/>
    </row>
    <row r="744" spans="1:3" ht="12.45" x14ac:dyDescent="0.3">
      <c r="A744" s="7"/>
      <c r="B744" s="7"/>
      <c r="C744" s="7"/>
    </row>
    <row r="745" spans="1:3" ht="12.45" x14ac:dyDescent="0.3">
      <c r="A745" s="7"/>
      <c r="B745" s="7"/>
      <c r="C745" s="7"/>
    </row>
    <row r="746" spans="1:3" ht="12.45" x14ac:dyDescent="0.3">
      <c r="A746" s="7"/>
      <c r="B746" s="7"/>
      <c r="C746" s="7"/>
    </row>
    <row r="747" spans="1:3" ht="12.45" x14ac:dyDescent="0.3">
      <c r="A747" s="7"/>
      <c r="B747" s="7"/>
      <c r="C747" s="7"/>
    </row>
    <row r="748" spans="1:3" ht="12.45" x14ac:dyDescent="0.3">
      <c r="A748" s="7"/>
      <c r="B748" s="7"/>
      <c r="C748" s="7"/>
    </row>
    <row r="749" spans="1:3" ht="12.45" x14ac:dyDescent="0.3">
      <c r="A749" s="7"/>
      <c r="B749" s="7"/>
      <c r="C749" s="7"/>
    </row>
    <row r="750" spans="1:3" ht="12.45" x14ac:dyDescent="0.3">
      <c r="A750" s="7"/>
      <c r="B750" s="7"/>
      <c r="C750" s="7"/>
    </row>
    <row r="751" spans="1:3" ht="12.45" x14ac:dyDescent="0.3">
      <c r="A751" s="7"/>
      <c r="B751" s="7"/>
      <c r="C751" s="7"/>
    </row>
    <row r="752" spans="1:3" ht="12.45" x14ac:dyDescent="0.3">
      <c r="A752" s="7"/>
      <c r="B752" s="7"/>
      <c r="C752" s="7"/>
    </row>
    <row r="753" spans="1:3" ht="12.45" x14ac:dyDescent="0.3">
      <c r="A753" s="7"/>
      <c r="B753" s="7"/>
      <c r="C753" s="7"/>
    </row>
    <row r="754" spans="1:3" ht="12.45" x14ac:dyDescent="0.3">
      <c r="A754" s="7"/>
      <c r="B754" s="7"/>
      <c r="C754" s="7"/>
    </row>
    <row r="755" spans="1:3" ht="12.45" x14ac:dyDescent="0.3">
      <c r="A755" s="7"/>
      <c r="B755" s="7"/>
      <c r="C755" s="7"/>
    </row>
    <row r="756" spans="1:3" ht="12.45" x14ac:dyDescent="0.3">
      <c r="A756" s="7"/>
      <c r="B756" s="7"/>
      <c r="C756" s="7"/>
    </row>
    <row r="757" spans="1:3" ht="12.45" x14ac:dyDescent="0.3">
      <c r="A757" s="7"/>
      <c r="B757" s="7"/>
      <c r="C757" s="7"/>
    </row>
    <row r="758" spans="1:3" ht="12.45" x14ac:dyDescent="0.3">
      <c r="A758" s="7"/>
      <c r="B758" s="7"/>
      <c r="C758" s="7"/>
    </row>
    <row r="759" spans="1:3" ht="12.45" x14ac:dyDescent="0.3">
      <c r="A759" s="7"/>
      <c r="B759" s="7"/>
      <c r="C759" s="7"/>
    </row>
    <row r="760" spans="1:3" ht="12.45" x14ac:dyDescent="0.3">
      <c r="A760" s="7"/>
      <c r="B760" s="7"/>
      <c r="C760" s="7"/>
    </row>
    <row r="761" spans="1:3" ht="12.45" x14ac:dyDescent="0.3">
      <c r="A761" s="7"/>
      <c r="B761" s="7"/>
      <c r="C761" s="7"/>
    </row>
    <row r="762" spans="1:3" ht="12.45" x14ac:dyDescent="0.3">
      <c r="A762" s="7"/>
      <c r="B762" s="7"/>
      <c r="C762" s="7"/>
    </row>
    <row r="763" spans="1:3" ht="12.45" x14ac:dyDescent="0.3">
      <c r="A763" s="7"/>
      <c r="B763" s="7"/>
      <c r="C763" s="7"/>
    </row>
    <row r="764" spans="1:3" ht="12.45" x14ac:dyDescent="0.3">
      <c r="A764" s="7"/>
      <c r="B764" s="7"/>
      <c r="C764" s="7"/>
    </row>
    <row r="765" spans="1:3" ht="12.45" x14ac:dyDescent="0.3">
      <c r="A765" s="7"/>
      <c r="B765" s="7"/>
      <c r="C765" s="7"/>
    </row>
    <row r="766" spans="1:3" ht="12.45" x14ac:dyDescent="0.3">
      <c r="A766" s="7"/>
      <c r="B766" s="7"/>
      <c r="C766" s="7"/>
    </row>
    <row r="767" spans="1:3" ht="12.45" x14ac:dyDescent="0.3">
      <c r="A767" s="7"/>
      <c r="B767" s="7"/>
      <c r="C767" s="7"/>
    </row>
    <row r="768" spans="1:3" ht="12.45" x14ac:dyDescent="0.3">
      <c r="A768" s="7"/>
      <c r="B768" s="7"/>
      <c r="C768" s="7"/>
    </row>
    <row r="769" spans="1:3" ht="12.45" x14ac:dyDescent="0.3">
      <c r="A769" s="7"/>
      <c r="B769" s="7"/>
      <c r="C769" s="7"/>
    </row>
    <row r="770" spans="1:3" ht="12.45" x14ac:dyDescent="0.3">
      <c r="A770" s="7"/>
      <c r="B770" s="7"/>
      <c r="C770" s="7"/>
    </row>
    <row r="771" spans="1:3" ht="12.45" x14ac:dyDescent="0.3">
      <c r="A771" s="7"/>
      <c r="B771" s="7"/>
      <c r="C771" s="7"/>
    </row>
    <row r="772" spans="1:3" ht="12.45" x14ac:dyDescent="0.3">
      <c r="A772" s="7"/>
      <c r="B772" s="7"/>
      <c r="C772" s="7"/>
    </row>
    <row r="773" spans="1:3" ht="12.45" x14ac:dyDescent="0.3">
      <c r="A773" s="7"/>
      <c r="B773" s="7"/>
      <c r="C773" s="7"/>
    </row>
    <row r="774" spans="1:3" ht="12.45" x14ac:dyDescent="0.3">
      <c r="A774" s="7"/>
      <c r="B774" s="7"/>
      <c r="C774" s="7"/>
    </row>
    <row r="775" spans="1:3" ht="12.45" x14ac:dyDescent="0.3">
      <c r="A775" s="7"/>
      <c r="B775" s="7"/>
      <c r="C775" s="7"/>
    </row>
    <row r="776" spans="1:3" ht="12.45" x14ac:dyDescent="0.3">
      <c r="A776" s="7"/>
      <c r="B776" s="7"/>
      <c r="C776" s="7"/>
    </row>
    <row r="777" spans="1:3" ht="12.45" x14ac:dyDescent="0.3">
      <c r="A777" s="7"/>
      <c r="B777" s="7"/>
      <c r="C777" s="7"/>
    </row>
    <row r="778" spans="1:3" ht="12.45" x14ac:dyDescent="0.3">
      <c r="A778" s="7"/>
      <c r="B778" s="7"/>
      <c r="C778" s="7"/>
    </row>
    <row r="779" spans="1:3" ht="12.45" x14ac:dyDescent="0.3">
      <c r="A779" s="7"/>
      <c r="B779" s="7"/>
      <c r="C779" s="7"/>
    </row>
    <row r="780" spans="1:3" ht="12.45" x14ac:dyDescent="0.3">
      <c r="A780" s="7"/>
      <c r="B780" s="7"/>
      <c r="C780" s="7"/>
    </row>
    <row r="781" spans="1:3" ht="12.45" x14ac:dyDescent="0.3">
      <c r="A781" s="7"/>
      <c r="B781" s="7"/>
      <c r="C781" s="7"/>
    </row>
    <row r="782" spans="1:3" ht="12.45" x14ac:dyDescent="0.3">
      <c r="A782" s="7"/>
      <c r="B782" s="7"/>
      <c r="C782" s="7"/>
    </row>
    <row r="783" spans="1:3" ht="12.45" x14ac:dyDescent="0.3">
      <c r="A783" s="7"/>
      <c r="B783" s="7"/>
      <c r="C783" s="7"/>
    </row>
    <row r="784" spans="1:3" ht="12.45" x14ac:dyDescent="0.3">
      <c r="A784" s="7"/>
      <c r="B784" s="7"/>
      <c r="C784" s="7"/>
    </row>
    <row r="785" spans="1:3" ht="12.45" x14ac:dyDescent="0.3">
      <c r="A785" s="7"/>
      <c r="B785" s="7"/>
      <c r="C785" s="7"/>
    </row>
    <row r="786" spans="1:3" ht="12.45" x14ac:dyDescent="0.3">
      <c r="A786" s="7"/>
      <c r="B786" s="7"/>
      <c r="C786" s="7"/>
    </row>
    <row r="787" spans="1:3" ht="12.45" x14ac:dyDescent="0.3">
      <c r="A787" s="7"/>
      <c r="B787" s="7"/>
      <c r="C787" s="7"/>
    </row>
    <row r="788" spans="1:3" ht="12.45" x14ac:dyDescent="0.3">
      <c r="A788" s="7"/>
      <c r="B788" s="7"/>
      <c r="C788" s="7"/>
    </row>
    <row r="789" spans="1:3" ht="12.45" x14ac:dyDescent="0.3">
      <c r="A789" s="7"/>
      <c r="B789" s="7"/>
      <c r="C789" s="7"/>
    </row>
    <row r="790" spans="1:3" ht="12.45" x14ac:dyDescent="0.3">
      <c r="A790" s="7"/>
      <c r="B790" s="7"/>
      <c r="C790" s="7"/>
    </row>
    <row r="791" spans="1:3" ht="12.45" x14ac:dyDescent="0.3">
      <c r="A791" s="7"/>
      <c r="B791" s="7"/>
      <c r="C791" s="7"/>
    </row>
    <row r="792" spans="1:3" ht="12.45" x14ac:dyDescent="0.3">
      <c r="A792" s="7"/>
      <c r="B792" s="7"/>
      <c r="C792" s="7"/>
    </row>
    <row r="793" spans="1:3" ht="12.45" x14ac:dyDescent="0.3">
      <c r="A793" s="7"/>
      <c r="B793" s="7"/>
      <c r="C793" s="7"/>
    </row>
    <row r="794" spans="1:3" ht="12.45" x14ac:dyDescent="0.3">
      <c r="A794" s="7"/>
      <c r="B794" s="7"/>
      <c r="C794" s="7"/>
    </row>
    <row r="795" spans="1:3" ht="12.45" x14ac:dyDescent="0.3">
      <c r="A795" s="7"/>
      <c r="B795" s="7"/>
      <c r="C795" s="7"/>
    </row>
    <row r="796" spans="1:3" ht="12.45" x14ac:dyDescent="0.3">
      <c r="A796" s="7"/>
      <c r="B796" s="7"/>
      <c r="C796" s="7"/>
    </row>
    <row r="797" spans="1:3" ht="12.45" x14ac:dyDescent="0.3">
      <c r="A797" s="7"/>
      <c r="B797" s="7"/>
      <c r="C797" s="7"/>
    </row>
    <row r="798" spans="1:3" ht="12.45" x14ac:dyDescent="0.3">
      <c r="A798" s="7"/>
      <c r="B798" s="7"/>
      <c r="C798" s="7"/>
    </row>
    <row r="799" spans="1:3" ht="12.45" x14ac:dyDescent="0.3">
      <c r="A799" s="7"/>
      <c r="B799" s="7"/>
      <c r="C799" s="7"/>
    </row>
    <row r="800" spans="1:3" ht="12.45" x14ac:dyDescent="0.3">
      <c r="A800" s="7"/>
      <c r="B800" s="7"/>
      <c r="C800" s="7"/>
    </row>
    <row r="801" spans="1:3" ht="12.45" x14ac:dyDescent="0.3">
      <c r="A801" s="7"/>
      <c r="B801" s="7"/>
      <c r="C801" s="7"/>
    </row>
    <row r="802" spans="1:3" ht="12.45" x14ac:dyDescent="0.3">
      <c r="A802" s="7"/>
      <c r="B802" s="7"/>
      <c r="C802" s="7"/>
    </row>
    <row r="803" spans="1:3" ht="12.45" x14ac:dyDescent="0.3">
      <c r="A803" s="7"/>
      <c r="B803" s="7"/>
      <c r="C803" s="7"/>
    </row>
    <row r="804" spans="1:3" ht="12.45" x14ac:dyDescent="0.3">
      <c r="A804" s="7"/>
      <c r="B804" s="7"/>
      <c r="C804" s="7"/>
    </row>
    <row r="805" spans="1:3" ht="12.45" x14ac:dyDescent="0.3">
      <c r="A805" s="7"/>
      <c r="B805" s="7"/>
      <c r="C805" s="7"/>
    </row>
    <row r="806" spans="1:3" ht="12.45" x14ac:dyDescent="0.3">
      <c r="A806" s="7"/>
      <c r="B806" s="7"/>
      <c r="C806" s="7"/>
    </row>
    <row r="807" spans="1:3" ht="12.45" x14ac:dyDescent="0.3">
      <c r="A807" s="7"/>
      <c r="B807" s="7"/>
      <c r="C807" s="7"/>
    </row>
    <row r="808" spans="1:3" ht="12.45" x14ac:dyDescent="0.3">
      <c r="A808" s="7"/>
      <c r="B808" s="7"/>
      <c r="C808" s="7"/>
    </row>
    <row r="809" spans="1:3" ht="12.45" x14ac:dyDescent="0.3">
      <c r="A809" s="7"/>
      <c r="B809" s="7"/>
      <c r="C809" s="7"/>
    </row>
    <row r="810" spans="1:3" ht="12.45" x14ac:dyDescent="0.3">
      <c r="A810" s="7"/>
      <c r="B810" s="7"/>
      <c r="C810" s="7"/>
    </row>
    <row r="811" spans="1:3" ht="12.45" x14ac:dyDescent="0.3">
      <c r="A811" s="7"/>
      <c r="B811" s="7"/>
      <c r="C811" s="7"/>
    </row>
    <row r="812" spans="1:3" ht="12.45" x14ac:dyDescent="0.3">
      <c r="A812" s="7"/>
      <c r="B812" s="7"/>
      <c r="C812" s="7"/>
    </row>
    <row r="813" spans="1:3" ht="12.45" x14ac:dyDescent="0.3">
      <c r="A813" s="7"/>
      <c r="B813" s="7"/>
      <c r="C813" s="7"/>
    </row>
    <row r="814" spans="1:3" ht="12.45" x14ac:dyDescent="0.3">
      <c r="A814" s="7"/>
      <c r="B814" s="7"/>
      <c r="C814" s="7"/>
    </row>
    <row r="815" spans="1:3" ht="12.45" x14ac:dyDescent="0.3">
      <c r="A815" s="7"/>
      <c r="B815" s="7"/>
      <c r="C815" s="7"/>
    </row>
    <row r="816" spans="1:3" ht="12.45" x14ac:dyDescent="0.3">
      <c r="A816" s="7"/>
      <c r="B816" s="7"/>
      <c r="C816" s="7"/>
    </row>
    <row r="817" spans="1:3" ht="12.45" x14ac:dyDescent="0.3">
      <c r="A817" s="7"/>
      <c r="B817" s="7"/>
      <c r="C817" s="7"/>
    </row>
    <row r="818" spans="1:3" ht="12.45" x14ac:dyDescent="0.3">
      <c r="A818" s="7"/>
      <c r="B818" s="7"/>
      <c r="C818" s="7"/>
    </row>
    <row r="819" spans="1:3" ht="12.45" x14ac:dyDescent="0.3">
      <c r="A819" s="7"/>
      <c r="B819" s="7"/>
      <c r="C819" s="7"/>
    </row>
    <row r="820" spans="1:3" ht="12.45" x14ac:dyDescent="0.3">
      <c r="A820" s="7"/>
      <c r="B820" s="7"/>
      <c r="C820" s="7"/>
    </row>
    <row r="821" spans="1:3" ht="12.45" x14ac:dyDescent="0.3">
      <c r="A821" s="7"/>
      <c r="B821" s="7"/>
      <c r="C821" s="7"/>
    </row>
    <row r="822" spans="1:3" ht="12.45" x14ac:dyDescent="0.3">
      <c r="A822" s="7"/>
      <c r="B822" s="7"/>
      <c r="C822" s="7"/>
    </row>
    <row r="823" spans="1:3" ht="12.45" x14ac:dyDescent="0.3">
      <c r="A823" s="7"/>
      <c r="B823" s="7"/>
      <c r="C823" s="7"/>
    </row>
    <row r="824" spans="1:3" ht="12.45" x14ac:dyDescent="0.3">
      <c r="A824" s="7"/>
      <c r="B824" s="7"/>
      <c r="C824" s="7"/>
    </row>
    <row r="825" spans="1:3" ht="12.45" x14ac:dyDescent="0.3">
      <c r="A825" s="7"/>
      <c r="B825" s="7"/>
      <c r="C825" s="7"/>
    </row>
    <row r="826" spans="1:3" ht="12.45" x14ac:dyDescent="0.3">
      <c r="A826" s="7"/>
      <c r="B826" s="7"/>
      <c r="C826" s="7"/>
    </row>
    <row r="827" spans="1:3" ht="12.45" x14ac:dyDescent="0.3">
      <c r="A827" s="7"/>
      <c r="B827" s="7"/>
      <c r="C827" s="7"/>
    </row>
    <row r="828" spans="1:3" ht="12.45" x14ac:dyDescent="0.3">
      <c r="A828" s="7"/>
      <c r="B828" s="7"/>
      <c r="C828" s="7"/>
    </row>
    <row r="829" spans="1:3" ht="12.45" x14ac:dyDescent="0.3">
      <c r="A829" s="7"/>
      <c r="B829" s="7"/>
      <c r="C829" s="7"/>
    </row>
    <row r="830" spans="1:3" ht="12.45" x14ac:dyDescent="0.3">
      <c r="A830" s="7"/>
      <c r="B830" s="7"/>
      <c r="C830" s="7"/>
    </row>
    <row r="831" spans="1:3" ht="12.45" x14ac:dyDescent="0.3">
      <c r="A831" s="7"/>
      <c r="B831" s="7"/>
      <c r="C831" s="7"/>
    </row>
    <row r="832" spans="1:3" ht="12.45" x14ac:dyDescent="0.3">
      <c r="A832" s="7"/>
      <c r="B832" s="7"/>
      <c r="C832" s="7"/>
    </row>
    <row r="833" spans="1:3" ht="12.45" x14ac:dyDescent="0.3">
      <c r="A833" s="7"/>
      <c r="B833" s="7"/>
      <c r="C833" s="7"/>
    </row>
    <row r="834" spans="1:3" ht="12.45" x14ac:dyDescent="0.3">
      <c r="A834" s="7"/>
      <c r="B834" s="7"/>
      <c r="C834" s="7"/>
    </row>
    <row r="835" spans="1:3" ht="12.45" x14ac:dyDescent="0.3">
      <c r="A835" s="7"/>
      <c r="B835" s="7"/>
      <c r="C835" s="7"/>
    </row>
    <row r="836" spans="1:3" ht="12.45" x14ac:dyDescent="0.3">
      <c r="A836" s="7"/>
      <c r="B836" s="7"/>
      <c r="C836" s="7"/>
    </row>
    <row r="837" spans="1:3" ht="12.45" x14ac:dyDescent="0.3">
      <c r="A837" s="7"/>
      <c r="B837" s="7"/>
      <c r="C837" s="7"/>
    </row>
    <row r="838" spans="1:3" ht="12.45" x14ac:dyDescent="0.3">
      <c r="A838" s="7"/>
      <c r="B838" s="7"/>
      <c r="C838" s="7"/>
    </row>
    <row r="839" spans="1:3" ht="12.45" x14ac:dyDescent="0.3">
      <c r="A839" s="7"/>
      <c r="B839" s="7"/>
      <c r="C839" s="7"/>
    </row>
    <row r="840" spans="1:3" ht="12.45" x14ac:dyDescent="0.3">
      <c r="A840" s="7"/>
      <c r="B840" s="7"/>
      <c r="C840" s="7"/>
    </row>
    <row r="841" spans="1:3" ht="12.45" x14ac:dyDescent="0.3">
      <c r="A841" s="7"/>
      <c r="B841" s="7"/>
      <c r="C841" s="7"/>
    </row>
    <row r="842" spans="1:3" ht="12.45" x14ac:dyDescent="0.3">
      <c r="A842" s="7"/>
      <c r="B842" s="7"/>
      <c r="C842" s="7"/>
    </row>
    <row r="843" spans="1:3" ht="12.45" x14ac:dyDescent="0.3">
      <c r="A843" s="7"/>
      <c r="B843" s="7"/>
      <c r="C843" s="7"/>
    </row>
    <row r="844" spans="1:3" ht="12.45" x14ac:dyDescent="0.3">
      <c r="A844" s="7"/>
      <c r="B844" s="7"/>
      <c r="C844" s="7"/>
    </row>
    <row r="845" spans="1:3" ht="12.45" x14ac:dyDescent="0.3">
      <c r="A845" s="7"/>
      <c r="B845" s="7"/>
      <c r="C845" s="7"/>
    </row>
    <row r="846" spans="1:3" ht="12.45" x14ac:dyDescent="0.3">
      <c r="A846" s="7"/>
      <c r="B846" s="7"/>
      <c r="C846" s="7"/>
    </row>
    <row r="847" spans="1:3" ht="12.45" x14ac:dyDescent="0.3">
      <c r="A847" s="7"/>
      <c r="B847" s="7"/>
      <c r="C847" s="7"/>
    </row>
    <row r="848" spans="1:3" ht="12.45" x14ac:dyDescent="0.3">
      <c r="A848" s="7"/>
      <c r="B848" s="7"/>
      <c r="C848" s="7"/>
    </row>
    <row r="849" spans="1:3" ht="12.45" x14ac:dyDescent="0.3">
      <c r="A849" s="7"/>
      <c r="B849" s="7"/>
      <c r="C849" s="7"/>
    </row>
    <row r="850" spans="1:3" ht="12.45" x14ac:dyDescent="0.3">
      <c r="A850" s="7"/>
      <c r="B850" s="7"/>
      <c r="C850" s="7"/>
    </row>
    <row r="851" spans="1:3" ht="12.45" x14ac:dyDescent="0.3">
      <c r="A851" s="7"/>
      <c r="B851" s="7"/>
      <c r="C851" s="7"/>
    </row>
    <row r="852" spans="1:3" ht="12.45" x14ac:dyDescent="0.3">
      <c r="A852" s="7"/>
      <c r="B852" s="7"/>
      <c r="C852" s="7"/>
    </row>
    <row r="853" spans="1:3" ht="12.45" x14ac:dyDescent="0.3">
      <c r="A853" s="7"/>
      <c r="B853" s="7"/>
      <c r="C853" s="7"/>
    </row>
    <row r="854" spans="1:3" ht="12.45" x14ac:dyDescent="0.3">
      <c r="A854" s="7"/>
      <c r="B854" s="7"/>
      <c r="C854" s="7"/>
    </row>
    <row r="855" spans="1:3" ht="12.45" x14ac:dyDescent="0.3">
      <c r="A855" s="7"/>
      <c r="B855" s="7"/>
      <c r="C855" s="7"/>
    </row>
    <row r="856" spans="1:3" ht="12.45" x14ac:dyDescent="0.3">
      <c r="A856" s="7"/>
      <c r="B856" s="7"/>
      <c r="C856" s="7"/>
    </row>
    <row r="857" spans="1:3" ht="12.45" x14ac:dyDescent="0.3">
      <c r="A857" s="7"/>
      <c r="B857" s="7"/>
      <c r="C857" s="7"/>
    </row>
    <row r="858" spans="1:3" ht="12.45" x14ac:dyDescent="0.3">
      <c r="A858" s="7"/>
      <c r="B858" s="7"/>
      <c r="C858" s="7"/>
    </row>
    <row r="859" spans="1:3" ht="12.45" x14ac:dyDescent="0.3">
      <c r="A859" s="7"/>
      <c r="B859" s="7"/>
      <c r="C859" s="7"/>
    </row>
    <row r="860" spans="1:3" ht="12.45" x14ac:dyDescent="0.3">
      <c r="A860" s="7"/>
      <c r="B860" s="7"/>
      <c r="C860" s="7"/>
    </row>
    <row r="861" spans="1:3" ht="12.45" x14ac:dyDescent="0.3">
      <c r="A861" s="7"/>
      <c r="B861" s="7"/>
      <c r="C861" s="7"/>
    </row>
    <row r="862" spans="1:3" ht="12.45" x14ac:dyDescent="0.3">
      <c r="A862" s="7"/>
      <c r="B862" s="7"/>
      <c r="C862" s="7"/>
    </row>
    <row r="863" spans="1:3" ht="12.45" x14ac:dyDescent="0.3">
      <c r="A863" s="7"/>
      <c r="B863" s="7"/>
      <c r="C863" s="7"/>
    </row>
    <row r="864" spans="1:3" ht="12.45" x14ac:dyDescent="0.3">
      <c r="A864" s="7"/>
      <c r="B864" s="7"/>
      <c r="C864" s="7"/>
    </row>
    <row r="865" spans="1:3" ht="12.45" x14ac:dyDescent="0.3">
      <c r="A865" s="7"/>
      <c r="B865" s="7"/>
      <c r="C865" s="7"/>
    </row>
    <row r="866" spans="1:3" ht="12.45" x14ac:dyDescent="0.3">
      <c r="A866" s="7"/>
      <c r="B866" s="7"/>
      <c r="C866" s="7"/>
    </row>
    <row r="867" spans="1:3" ht="12.45" x14ac:dyDescent="0.3">
      <c r="A867" s="7"/>
      <c r="B867" s="7"/>
      <c r="C867" s="7"/>
    </row>
    <row r="868" spans="1:3" ht="12.45" x14ac:dyDescent="0.3">
      <c r="A868" s="7"/>
      <c r="B868" s="7"/>
      <c r="C868" s="7"/>
    </row>
    <row r="869" spans="1:3" ht="12.45" x14ac:dyDescent="0.3">
      <c r="A869" s="7"/>
      <c r="B869" s="7"/>
      <c r="C869" s="7"/>
    </row>
    <row r="870" spans="1:3" ht="12.45" x14ac:dyDescent="0.3">
      <c r="A870" s="7"/>
      <c r="B870" s="7"/>
      <c r="C870" s="7"/>
    </row>
    <row r="871" spans="1:3" ht="12.45" x14ac:dyDescent="0.3">
      <c r="A871" s="7"/>
      <c r="B871" s="7"/>
      <c r="C871" s="7"/>
    </row>
    <row r="872" spans="1:3" ht="12.45" x14ac:dyDescent="0.3">
      <c r="A872" s="7"/>
      <c r="B872" s="7"/>
      <c r="C872" s="7"/>
    </row>
    <row r="873" spans="1:3" ht="12.45" x14ac:dyDescent="0.3">
      <c r="A873" s="7"/>
      <c r="B873" s="7"/>
      <c r="C873" s="7"/>
    </row>
    <row r="874" spans="1:3" ht="12.45" x14ac:dyDescent="0.3">
      <c r="A874" s="7"/>
      <c r="B874" s="7"/>
      <c r="C874" s="7"/>
    </row>
    <row r="875" spans="1:3" ht="12.45" x14ac:dyDescent="0.3">
      <c r="A875" s="7"/>
      <c r="B875" s="7"/>
      <c r="C875" s="7"/>
    </row>
    <row r="876" spans="1:3" ht="12.45" x14ac:dyDescent="0.3">
      <c r="A876" s="7"/>
      <c r="B876" s="7"/>
      <c r="C876" s="7"/>
    </row>
    <row r="877" spans="1:3" ht="12.45" x14ac:dyDescent="0.3">
      <c r="A877" s="7"/>
      <c r="B877" s="7"/>
      <c r="C877" s="7"/>
    </row>
    <row r="878" spans="1:3" ht="12.45" x14ac:dyDescent="0.3">
      <c r="A878" s="7"/>
      <c r="B878" s="7"/>
      <c r="C878" s="7"/>
    </row>
    <row r="879" spans="1:3" ht="12.45" x14ac:dyDescent="0.3">
      <c r="A879" s="7"/>
      <c r="B879" s="7"/>
      <c r="C879" s="7"/>
    </row>
    <row r="880" spans="1:3" ht="12.45" x14ac:dyDescent="0.3">
      <c r="A880" s="7"/>
      <c r="B880" s="7"/>
      <c r="C880" s="7"/>
    </row>
    <row r="881" spans="1:3" ht="12.45" x14ac:dyDescent="0.3">
      <c r="A881" s="7"/>
      <c r="B881" s="7"/>
      <c r="C881" s="7"/>
    </row>
    <row r="882" spans="1:3" ht="12.45" x14ac:dyDescent="0.3">
      <c r="A882" s="7"/>
      <c r="B882" s="7"/>
      <c r="C882" s="7"/>
    </row>
    <row r="883" spans="1:3" ht="12.45" x14ac:dyDescent="0.3">
      <c r="A883" s="7"/>
      <c r="B883" s="7"/>
      <c r="C883" s="7"/>
    </row>
    <row r="884" spans="1:3" ht="12.45" x14ac:dyDescent="0.3">
      <c r="A884" s="7"/>
      <c r="B884" s="7"/>
      <c r="C884" s="7"/>
    </row>
    <row r="885" spans="1:3" ht="12.45" x14ac:dyDescent="0.3">
      <c r="A885" s="7"/>
      <c r="B885" s="7"/>
      <c r="C885" s="7"/>
    </row>
    <row r="886" spans="1:3" ht="12.45" x14ac:dyDescent="0.3">
      <c r="A886" s="7"/>
      <c r="B886" s="7"/>
      <c r="C886" s="7"/>
    </row>
    <row r="887" spans="1:3" ht="12.45" x14ac:dyDescent="0.3">
      <c r="A887" s="7"/>
      <c r="B887" s="7"/>
      <c r="C887" s="7"/>
    </row>
    <row r="888" spans="1:3" ht="12.45" x14ac:dyDescent="0.3">
      <c r="A888" s="7"/>
      <c r="B888" s="7"/>
      <c r="C888" s="7"/>
    </row>
    <row r="889" spans="1:3" ht="12.45" x14ac:dyDescent="0.3">
      <c r="A889" s="7"/>
      <c r="B889" s="7"/>
      <c r="C889" s="7"/>
    </row>
    <row r="890" spans="1:3" ht="12.45" x14ac:dyDescent="0.3">
      <c r="A890" s="7"/>
      <c r="B890" s="7"/>
      <c r="C890" s="7"/>
    </row>
    <row r="891" spans="1:3" ht="12.45" x14ac:dyDescent="0.3">
      <c r="A891" s="7"/>
      <c r="B891" s="7"/>
      <c r="C891" s="7"/>
    </row>
    <row r="892" spans="1:3" ht="12.45" x14ac:dyDescent="0.3">
      <c r="A892" s="7"/>
      <c r="B892" s="7"/>
      <c r="C892" s="7"/>
    </row>
    <row r="893" spans="1:3" ht="12.45" x14ac:dyDescent="0.3">
      <c r="A893" s="7"/>
      <c r="B893" s="7"/>
      <c r="C893" s="7"/>
    </row>
    <row r="894" spans="1:3" ht="12.45" x14ac:dyDescent="0.3">
      <c r="A894" s="7"/>
      <c r="B894" s="7"/>
      <c r="C894" s="7"/>
    </row>
    <row r="895" spans="1:3" ht="12.45" x14ac:dyDescent="0.3">
      <c r="A895" s="7"/>
      <c r="B895" s="7"/>
      <c r="C895" s="7"/>
    </row>
    <row r="896" spans="1:3" ht="12.45" x14ac:dyDescent="0.3">
      <c r="A896" s="7"/>
      <c r="B896" s="7"/>
      <c r="C896" s="7"/>
    </row>
    <row r="897" spans="1:3" ht="12.45" x14ac:dyDescent="0.3">
      <c r="A897" s="7"/>
      <c r="B897" s="7"/>
      <c r="C897" s="7"/>
    </row>
    <row r="898" spans="1:3" ht="12.45" x14ac:dyDescent="0.3">
      <c r="A898" s="7"/>
      <c r="B898" s="7"/>
      <c r="C898" s="7"/>
    </row>
    <row r="899" spans="1:3" ht="12.45" x14ac:dyDescent="0.3">
      <c r="A899" s="7"/>
      <c r="B899" s="7"/>
      <c r="C899" s="7"/>
    </row>
    <row r="900" spans="1:3" ht="12.45" x14ac:dyDescent="0.3">
      <c r="A900" s="7"/>
      <c r="B900" s="7"/>
      <c r="C900" s="7"/>
    </row>
    <row r="901" spans="1:3" ht="12.45" x14ac:dyDescent="0.3">
      <c r="A901" s="7"/>
      <c r="B901" s="7"/>
      <c r="C901" s="7"/>
    </row>
    <row r="902" spans="1:3" ht="12.45" x14ac:dyDescent="0.3">
      <c r="A902" s="7"/>
      <c r="B902" s="7"/>
      <c r="C902" s="7"/>
    </row>
    <row r="903" spans="1:3" ht="12.45" x14ac:dyDescent="0.3">
      <c r="A903" s="7"/>
      <c r="B903" s="7"/>
      <c r="C903" s="7"/>
    </row>
    <row r="904" spans="1:3" ht="12.45" x14ac:dyDescent="0.3">
      <c r="A904" s="7"/>
      <c r="B904" s="7"/>
      <c r="C904" s="7"/>
    </row>
    <row r="905" spans="1:3" ht="12.45" x14ac:dyDescent="0.3">
      <c r="A905" s="7"/>
      <c r="B905" s="7"/>
      <c r="C905" s="7"/>
    </row>
    <row r="906" spans="1:3" ht="12.45" x14ac:dyDescent="0.3">
      <c r="A906" s="7"/>
      <c r="B906" s="7"/>
      <c r="C906" s="7"/>
    </row>
    <row r="907" spans="1:3" ht="12.45" x14ac:dyDescent="0.3">
      <c r="A907" s="7"/>
      <c r="B907" s="7"/>
      <c r="C907" s="7"/>
    </row>
    <row r="908" spans="1:3" ht="12.45" x14ac:dyDescent="0.3">
      <c r="A908" s="7"/>
      <c r="B908" s="7"/>
      <c r="C908" s="7"/>
    </row>
    <row r="909" spans="1:3" ht="12.45" x14ac:dyDescent="0.3">
      <c r="A909" s="7"/>
      <c r="B909" s="7"/>
      <c r="C909" s="7"/>
    </row>
    <row r="910" spans="1:3" ht="12.45" x14ac:dyDescent="0.3">
      <c r="A910" s="7"/>
      <c r="B910" s="7"/>
      <c r="C910" s="7"/>
    </row>
    <row r="911" spans="1:3" ht="12.45" x14ac:dyDescent="0.3">
      <c r="A911" s="7"/>
      <c r="B911" s="7"/>
      <c r="C911" s="7"/>
    </row>
    <row r="912" spans="1:3" ht="12.45" x14ac:dyDescent="0.3">
      <c r="A912" s="7"/>
      <c r="B912" s="7"/>
      <c r="C912" s="7"/>
    </row>
    <row r="913" spans="1:3" ht="12.45" x14ac:dyDescent="0.3">
      <c r="A913" s="7"/>
      <c r="B913" s="7"/>
      <c r="C913" s="7"/>
    </row>
    <row r="914" spans="1:3" ht="12.45" x14ac:dyDescent="0.3">
      <c r="A914" s="7"/>
      <c r="B914" s="7"/>
      <c r="C914" s="7"/>
    </row>
    <row r="915" spans="1:3" ht="12.45" x14ac:dyDescent="0.3">
      <c r="A915" s="7"/>
      <c r="B915" s="7"/>
      <c r="C915" s="7"/>
    </row>
    <row r="916" spans="1:3" ht="12.45" x14ac:dyDescent="0.3">
      <c r="A916" s="7"/>
      <c r="B916" s="7"/>
      <c r="C916" s="7"/>
    </row>
    <row r="917" spans="1:3" ht="12.45" x14ac:dyDescent="0.3">
      <c r="A917" s="7"/>
      <c r="B917" s="7"/>
      <c r="C917" s="7"/>
    </row>
    <row r="918" spans="1:3" ht="12.45" x14ac:dyDescent="0.3">
      <c r="A918" s="7"/>
      <c r="B918" s="7"/>
      <c r="C918" s="7"/>
    </row>
    <row r="919" spans="1:3" ht="12.45" x14ac:dyDescent="0.3">
      <c r="A919" s="7"/>
      <c r="B919" s="7"/>
      <c r="C919" s="7"/>
    </row>
    <row r="920" spans="1:3" ht="12.45" x14ac:dyDescent="0.3">
      <c r="A920" s="7"/>
      <c r="B920" s="7"/>
      <c r="C920" s="7"/>
    </row>
    <row r="921" spans="1:3" ht="12.45" x14ac:dyDescent="0.3">
      <c r="A921" s="7"/>
      <c r="B921" s="7"/>
      <c r="C921" s="7"/>
    </row>
    <row r="922" spans="1:3" ht="12.45" x14ac:dyDescent="0.3">
      <c r="A922" s="7"/>
      <c r="B922" s="7"/>
      <c r="C922" s="7"/>
    </row>
    <row r="923" spans="1:3" ht="12.45" x14ac:dyDescent="0.3">
      <c r="A923" s="7"/>
      <c r="B923" s="7"/>
      <c r="C923" s="7"/>
    </row>
    <row r="924" spans="1:3" ht="12.45" x14ac:dyDescent="0.3">
      <c r="A924" s="7"/>
      <c r="B924" s="7"/>
      <c r="C924" s="7"/>
    </row>
    <row r="925" spans="1:3" ht="12.45" x14ac:dyDescent="0.3">
      <c r="A925" s="7"/>
      <c r="B925" s="7"/>
      <c r="C925" s="7"/>
    </row>
    <row r="926" spans="1:3" ht="12.45" x14ac:dyDescent="0.3">
      <c r="A926" s="7"/>
      <c r="B926" s="7"/>
      <c r="C926" s="7"/>
    </row>
    <row r="927" spans="1:3" ht="12.45" x14ac:dyDescent="0.3">
      <c r="A927" s="7"/>
      <c r="B927" s="7"/>
      <c r="C927" s="7"/>
    </row>
    <row r="928" spans="1:3" ht="12.45" x14ac:dyDescent="0.3">
      <c r="A928" s="7"/>
      <c r="B928" s="7"/>
      <c r="C928" s="7"/>
    </row>
    <row r="929" spans="1:3" ht="12.45" x14ac:dyDescent="0.3">
      <c r="A929" s="7"/>
      <c r="B929" s="7"/>
      <c r="C929" s="7"/>
    </row>
    <row r="930" spans="1:3" ht="12.45" x14ac:dyDescent="0.3">
      <c r="A930" s="7"/>
      <c r="B930" s="7"/>
      <c r="C930" s="7"/>
    </row>
    <row r="931" spans="1:3" ht="12.45" x14ac:dyDescent="0.3">
      <c r="A931" s="7"/>
      <c r="B931" s="7"/>
      <c r="C931" s="7"/>
    </row>
    <row r="932" spans="1:3" ht="12.45" x14ac:dyDescent="0.3">
      <c r="A932" s="7"/>
      <c r="B932" s="7"/>
      <c r="C932" s="7"/>
    </row>
    <row r="933" spans="1:3" ht="12.45" x14ac:dyDescent="0.3">
      <c r="A933" s="7"/>
      <c r="B933" s="7"/>
      <c r="C933" s="7"/>
    </row>
    <row r="934" spans="1:3" ht="12.45" x14ac:dyDescent="0.3">
      <c r="A934" s="7"/>
      <c r="B934" s="7"/>
      <c r="C934" s="7"/>
    </row>
    <row r="935" spans="1:3" ht="12.45" x14ac:dyDescent="0.3">
      <c r="A935" s="7"/>
      <c r="B935" s="7"/>
      <c r="C935" s="7"/>
    </row>
    <row r="936" spans="1:3" ht="12.45" x14ac:dyDescent="0.3">
      <c r="A936" s="7"/>
      <c r="B936" s="7"/>
      <c r="C936" s="7"/>
    </row>
    <row r="937" spans="1:3" ht="12.45" x14ac:dyDescent="0.3">
      <c r="A937" s="7"/>
      <c r="B937" s="7"/>
      <c r="C937" s="7"/>
    </row>
    <row r="938" spans="1:3" ht="12.45" x14ac:dyDescent="0.3">
      <c r="A938" s="7"/>
      <c r="B938" s="7"/>
      <c r="C938" s="7"/>
    </row>
    <row r="939" spans="1:3" ht="12.45" x14ac:dyDescent="0.3">
      <c r="A939" s="7"/>
      <c r="B939" s="7"/>
      <c r="C939" s="7"/>
    </row>
    <row r="940" spans="1:3" ht="12.45" x14ac:dyDescent="0.3">
      <c r="A940" s="7"/>
      <c r="B940" s="7"/>
      <c r="C940" s="7"/>
    </row>
    <row r="941" spans="1:3" ht="12.45" x14ac:dyDescent="0.3">
      <c r="A941" s="7"/>
      <c r="B941" s="7"/>
      <c r="C941" s="7"/>
    </row>
    <row r="942" spans="1:3" ht="12.45" x14ac:dyDescent="0.3">
      <c r="A942" s="7"/>
      <c r="B942" s="7"/>
      <c r="C942" s="7"/>
    </row>
    <row r="943" spans="1:3" ht="12.45" x14ac:dyDescent="0.3">
      <c r="A943" s="7"/>
      <c r="B943" s="7"/>
      <c r="C943" s="7"/>
    </row>
    <row r="944" spans="1:3" ht="12.45" x14ac:dyDescent="0.3">
      <c r="A944" s="7"/>
      <c r="B944" s="7"/>
      <c r="C944" s="7"/>
    </row>
    <row r="945" spans="1:3" ht="12.45" x14ac:dyDescent="0.3">
      <c r="A945" s="7"/>
      <c r="B945" s="7"/>
      <c r="C945" s="7"/>
    </row>
    <row r="946" spans="1:3" ht="12.45" x14ac:dyDescent="0.3">
      <c r="A946" s="7"/>
      <c r="B946" s="7"/>
      <c r="C946" s="7"/>
    </row>
    <row r="947" spans="1:3" ht="12.45" x14ac:dyDescent="0.3">
      <c r="A947" s="7"/>
      <c r="B947" s="7"/>
      <c r="C947" s="7"/>
    </row>
    <row r="948" spans="1:3" ht="12.45" x14ac:dyDescent="0.3">
      <c r="A948" s="7"/>
      <c r="B948" s="7"/>
      <c r="C948" s="7"/>
    </row>
    <row r="949" spans="1:3" ht="12.45" x14ac:dyDescent="0.3">
      <c r="A949" s="7"/>
      <c r="B949" s="7"/>
      <c r="C949" s="7"/>
    </row>
    <row r="950" spans="1:3" ht="12.45" x14ac:dyDescent="0.3">
      <c r="A950" s="7"/>
      <c r="B950" s="7"/>
      <c r="C950" s="7"/>
    </row>
    <row r="951" spans="1:3" ht="12.45" x14ac:dyDescent="0.3">
      <c r="A951" s="7"/>
      <c r="B951" s="7"/>
      <c r="C951" s="7"/>
    </row>
    <row r="952" spans="1:3" ht="12.45" x14ac:dyDescent="0.3">
      <c r="A952" s="7"/>
      <c r="B952" s="7"/>
      <c r="C952" s="7"/>
    </row>
    <row r="953" spans="1:3" ht="12.45" x14ac:dyDescent="0.3">
      <c r="A953" s="7"/>
      <c r="B953" s="7"/>
      <c r="C953" s="7"/>
    </row>
    <row r="954" spans="1:3" ht="12.45" x14ac:dyDescent="0.3">
      <c r="A954" s="7"/>
      <c r="B954" s="7"/>
      <c r="C954" s="7"/>
    </row>
    <row r="955" spans="1:3" ht="12.45" x14ac:dyDescent="0.3">
      <c r="A955" s="7"/>
      <c r="B955" s="7"/>
      <c r="C955" s="7"/>
    </row>
    <row r="956" spans="1:3" ht="12.45" x14ac:dyDescent="0.3">
      <c r="A956" s="7"/>
      <c r="B956" s="7"/>
      <c r="C956" s="7"/>
    </row>
    <row r="957" spans="1:3" ht="12.45" x14ac:dyDescent="0.3">
      <c r="A957" s="7"/>
      <c r="B957" s="7"/>
      <c r="C957" s="7"/>
    </row>
    <row r="958" spans="1:3" ht="12.45" x14ac:dyDescent="0.3">
      <c r="A958" s="7"/>
      <c r="B958" s="7"/>
      <c r="C958" s="7"/>
    </row>
    <row r="959" spans="1:3" ht="12.45" x14ac:dyDescent="0.3">
      <c r="A959" s="7"/>
      <c r="B959" s="7"/>
      <c r="C959" s="7"/>
    </row>
    <row r="960" spans="1:3" ht="12.45" x14ac:dyDescent="0.3">
      <c r="A960" s="7"/>
      <c r="B960" s="7"/>
      <c r="C960" s="7"/>
    </row>
    <row r="961" spans="1:3" ht="12.45" x14ac:dyDescent="0.3">
      <c r="A961" s="7"/>
      <c r="B961" s="7"/>
      <c r="C961" s="7"/>
    </row>
    <row r="962" spans="1:3" ht="12.45" x14ac:dyDescent="0.3">
      <c r="A962" s="7"/>
      <c r="B962" s="7"/>
      <c r="C962" s="7"/>
    </row>
    <row r="963" spans="1:3" ht="12.45" x14ac:dyDescent="0.3">
      <c r="A963" s="7"/>
      <c r="B963" s="7"/>
      <c r="C963" s="7"/>
    </row>
    <row r="964" spans="1:3" ht="12.45" x14ac:dyDescent="0.3">
      <c r="A964" s="7"/>
      <c r="B964" s="7"/>
      <c r="C964" s="7"/>
    </row>
    <row r="965" spans="1:3" ht="12.45" x14ac:dyDescent="0.3">
      <c r="A965" s="7"/>
      <c r="B965" s="7"/>
      <c r="C965" s="7"/>
    </row>
    <row r="966" spans="1:3" ht="12.45" x14ac:dyDescent="0.3">
      <c r="A966" s="7"/>
      <c r="B966" s="7"/>
      <c r="C966" s="7"/>
    </row>
    <row r="967" spans="1:3" ht="12.45" x14ac:dyDescent="0.3">
      <c r="A967" s="7"/>
      <c r="B967" s="7"/>
      <c r="C967" s="7"/>
    </row>
    <row r="968" spans="1:3" ht="12.45" x14ac:dyDescent="0.3">
      <c r="A968" s="7"/>
      <c r="B968" s="7"/>
      <c r="C968" s="7"/>
    </row>
    <row r="969" spans="1:3" ht="12.45" x14ac:dyDescent="0.3">
      <c r="A969" s="7"/>
      <c r="B969" s="7"/>
      <c r="C969" s="7"/>
    </row>
    <row r="970" spans="1:3" ht="12.45" x14ac:dyDescent="0.3">
      <c r="A970" s="7"/>
      <c r="B970" s="7"/>
      <c r="C970" s="7"/>
    </row>
    <row r="971" spans="1:3" ht="12.45" x14ac:dyDescent="0.3">
      <c r="A971" s="7"/>
      <c r="B971" s="7"/>
      <c r="C971" s="7"/>
    </row>
    <row r="972" spans="1:3" ht="12.45" x14ac:dyDescent="0.3">
      <c r="A972" s="7"/>
      <c r="B972" s="7"/>
      <c r="C972" s="7"/>
    </row>
    <row r="973" spans="1:3" ht="12.45" x14ac:dyDescent="0.3">
      <c r="A973" s="7"/>
      <c r="B973" s="7"/>
      <c r="C973" s="7"/>
    </row>
    <row r="974" spans="1:3" ht="12.45" x14ac:dyDescent="0.3">
      <c r="A974" s="7"/>
      <c r="B974" s="7"/>
      <c r="C974" s="7"/>
    </row>
    <row r="975" spans="1:3" ht="12.45" x14ac:dyDescent="0.3">
      <c r="A975" s="7"/>
      <c r="B975" s="7"/>
      <c r="C975" s="7"/>
    </row>
    <row r="976" spans="1:3" ht="12.45" x14ac:dyDescent="0.3">
      <c r="A976" s="7"/>
      <c r="B976" s="7"/>
      <c r="C976" s="7"/>
    </row>
    <row r="977" spans="1:3" ht="12.45" x14ac:dyDescent="0.3">
      <c r="A977" s="7"/>
      <c r="B977" s="7"/>
      <c r="C977" s="7"/>
    </row>
    <row r="978" spans="1:3" ht="12.45" x14ac:dyDescent="0.3">
      <c r="A978" s="7"/>
      <c r="B978" s="7"/>
      <c r="C978" s="7"/>
    </row>
    <row r="979" spans="1:3" ht="12.45" x14ac:dyDescent="0.3">
      <c r="A979" s="7"/>
      <c r="B979" s="7"/>
      <c r="C979" s="7"/>
    </row>
    <row r="980" spans="1:3" ht="12.45" x14ac:dyDescent="0.3">
      <c r="A980" s="7"/>
      <c r="B980" s="7"/>
      <c r="C980" s="7"/>
    </row>
    <row r="981" spans="1:3" ht="12.45" x14ac:dyDescent="0.3">
      <c r="A981" s="7"/>
      <c r="B981" s="7"/>
      <c r="C981" s="7"/>
    </row>
    <row r="982" spans="1:3" ht="12.45" x14ac:dyDescent="0.3">
      <c r="A982" s="7"/>
      <c r="B982" s="7"/>
      <c r="C982" s="7"/>
    </row>
    <row r="983" spans="1:3" ht="12.45" x14ac:dyDescent="0.3">
      <c r="A983" s="7"/>
      <c r="B983" s="7"/>
      <c r="C983" s="7"/>
    </row>
    <row r="984" spans="1:3" ht="12.45" x14ac:dyDescent="0.3">
      <c r="A984" s="7"/>
      <c r="B984" s="7"/>
      <c r="C984" s="7"/>
    </row>
    <row r="985" spans="1:3" ht="12.45" x14ac:dyDescent="0.3">
      <c r="A985" s="7"/>
      <c r="B985" s="7"/>
      <c r="C985" s="7"/>
    </row>
    <row r="986" spans="1:3" ht="12.45" x14ac:dyDescent="0.3">
      <c r="A986" s="7"/>
      <c r="B986" s="7"/>
      <c r="C986" s="7"/>
    </row>
    <row r="987" spans="1:3" ht="12.45" x14ac:dyDescent="0.3">
      <c r="A987" s="7"/>
      <c r="B987" s="7"/>
      <c r="C987" s="7"/>
    </row>
    <row r="988" spans="1:3" ht="12.45" x14ac:dyDescent="0.3">
      <c r="A988" s="7"/>
      <c r="B988" s="7"/>
      <c r="C988" s="7"/>
    </row>
    <row r="989" spans="1:3" ht="12.45" x14ac:dyDescent="0.3">
      <c r="A989" s="7"/>
      <c r="B989" s="7"/>
      <c r="C989" s="7"/>
    </row>
    <row r="990" spans="1:3" ht="12.45" x14ac:dyDescent="0.3">
      <c r="A990" s="7"/>
      <c r="B990" s="7"/>
      <c r="C990" s="7"/>
    </row>
    <row r="991" spans="1:3" ht="12.45" x14ac:dyDescent="0.3">
      <c r="A991" s="7"/>
      <c r="B991" s="7"/>
      <c r="C991" s="7"/>
    </row>
    <row r="992" spans="1:3" ht="12.45" x14ac:dyDescent="0.3">
      <c r="A992" s="7"/>
      <c r="B992" s="7"/>
      <c r="C992" s="7"/>
    </row>
    <row r="993" spans="1:3" ht="12.45" x14ac:dyDescent="0.3">
      <c r="A993" s="7"/>
      <c r="B993" s="7"/>
      <c r="C993" s="7"/>
    </row>
    <row r="994" spans="1:3" ht="12.45" x14ac:dyDescent="0.3">
      <c r="A994" s="7"/>
      <c r="B994" s="7"/>
      <c r="C994" s="7"/>
    </row>
    <row r="995" spans="1:3" ht="12.45" x14ac:dyDescent="0.3">
      <c r="A995" s="7"/>
      <c r="B995" s="7"/>
      <c r="C995" s="7"/>
    </row>
    <row r="996" spans="1:3" ht="12.45" x14ac:dyDescent="0.3">
      <c r="A996" s="7"/>
      <c r="B996" s="7"/>
      <c r="C996" s="7"/>
    </row>
    <row r="997" spans="1:3" ht="12.45" x14ac:dyDescent="0.3">
      <c r="A997" s="7"/>
      <c r="B997" s="7"/>
      <c r="C997" s="7"/>
    </row>
    <row r="998" spans="1:3" ht="12.45" x14ac:dyDescent="0.3">
      <c r="A998" s="7"/>
      <c r="B998" s="7"/>
      <c r="C998" s="7"/>
    </row>
    <row r="999" spans="1:3" ht="12.45" x14ac:dyDescent="0.3">
      <c r="A999" s="7"/>
      <c r="B999" s="7"/>
      <c r="C999" s="7"/>
    </row>
    <row r="1000" spans="1:3" ht="12.45" x14ac:dyDescent="0.3">
      <c r="A1000" s="7"/>
      <c r="B1000" s="7"/>
      <c r="C1000" s="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4"/>
  <sheetViews>
    <sheetView topLeftCell="A343" workbookViewId="0">
      <selection activeCell="G374" sqref="G374:H374"/>
    </sheetView>
  </sheetViews>
  <sheetFormatPr defaultRowHeight="12.45" x14ac:dyDescent="0.3"/>
  <cols>
    <col min="2" max="2" width="10.23046875" bestFit="1" customWidth="1"/>
    <col min="3" max="3" width="33.53515625" customWidth="1"/>
    <col min="4" max="4" width="56.84375" customWidth="1"/>
    <col min="5" max="5" width="27.3046875" customWidth="1"/>
    <col min="6" max="6" width="16.23046875" customWidth="1"/>
  </cols>
  <sheetData>
    <row r="1" spans="1:6" ht="15.9" x14ac:dyDescent="0.45">
      <c r="A1" s="18" t="s">
        <v>1870</v>
      </c>
      <c r="B1" s="18" t="s">
        <v>1871</v>
      </c>
      <c r="C1" s="18" t="s">
        <v>1872</v>
      </c>
      <c r="D1" s="18" t="s">
        <v>1873</v>
      </c>
      <c r="E1" s="18" t="s">
        <v>1565</v>
      </c>
      <c r="F1" s="18" t="s">
        <v>1996</v>
      </c>
    </row>
    <row r="2" spans="1:6" ht="14.6" x14ac:dyDescent="0.4">
      <c r="A2" s="29" t="s">
        <v>45</v>
      </c>
      <c r="B2" s="29" t="s">
        <v>87</v>
      </c>
      <c r="C2" s="29" t="s">
        <v>46</v>
      </c>
      <c r="D2" s="29" t="s">
        <v>88</v>
      </c>
      <c r="E2" s="29" t="s">
        <v>47</v>
      </c>
      <c r="F2" s="29" t="s">
        <v>1520</v>
      </c>
    </row>
    <row r="3" spans="1:6" ht="14.6" x14ac:dyDescent="0.4">
      <c r="A3" s="29" t="s">
        <v>45</v>
      </c>
      <c r="B3" s="29" t="s">
        <v>104</v>
      </c>
      <c r="C3" s="29" t="s">
        <v>46</v>
      </c>
      <c r="D3" s="29" t="s">
        <v>105</v>
      </c>
      <c r="E3" s="29" t="s">
        <v>47</v>
      </c>
      <c r="F3" s="29" t="s">
        <v>1520</v>
      </c>
    </row>
    <row r="4" spans="1:6" ht="14.6" x14ac:dyDescent="0.4">
      <c r="A4" s="29" t="s">
        <v>45</v>
      </c>
      <c r="B4" s="29" t="s">
        <v>107</v>
      </c>
      <c r="C4" s="29" t="s">
        <v>46</v>
      </c>
      <c r="D4" s="29" t="s">
        <v>108</v>
      </c>
      <c r="E4" s="29" t="s">
        <v>47</v>
      </c>
      <c r="F4" s="29" t="s">
        <v>1520</v>
      </c>
    </row>
    <row r="5" spans="1:6" ht="14.6" x14ac:dyDescent="0.4">
      <c r="A5" s="29" t="s">
        <v>87</v>
      </c>
      <c r="B5" s="29" t="s">
        <v>104</v>
      </c>
      <c r="C5" s="29" t="s">
        <v>88</v>
      </c>
      <c r="D5" s="29" t="s">
        <v>105</v>
      </c>
      <c r="E5" s="29" t="s">
        <v>47</v>
      </c>
      <c r="F5" s="29" t="s">
        <v>1520</v>
      </c>
    </row>
    <row r="6" spans="1:6" ht="14.6" x14ac:dyDescent="0.4">
      <c r="A6" s="29" t="s">
        <v>87</v>
      </c>
      <c r="B6" s="29" t="s">
        <v>107</v>
      </c>
      <c r="C6" s="29" t="s">
        <v>88</v>
      </c>
      <c r="D6" s="29" t="s">
        <v>108</v>
      </c>
      <c r="E6" s="29" t="s">
        <v>47</v>
      </c>
      <c r="F6" s="29" t="s">
        <v>1520</v>
      </c>
    </row>
    <row r="7" spans="1:6" ht="14.6" x14ac:dyDescent="0.4">
      <c r="A7" s="29" t="s">
        <v>104</v>
      </c>
      <c r="B7" s="29" t="s">
        <v>107</v>
      </c>
      <c r="C7" s="29" t="s">
        <v>105</v>
      </c>
      <c r="D7" s="29" t="s">
        <v>108</v>
      </c>
      <c r="E7" s="29" t="s">
        <v>47</v>
      </c>
      <c r="F7" s="29" t="s">
        <v>1520</v>
      </c>
    </row>
    <row r="8" spans="1:6" ht="14.6" x14ac:dyDescent="0.4">
      <c r="A8" s="29" t="s">
        <v>19</v>
      </c>
      <c r="B8" s="29" t="s">
        <v>35</v>
      </c>
      <c r="C8" s="29" t="s">
        <v>20</v>
      </c>
      <c r="D8" s="29" t="s">
        <v>36</v>
      </c>
      <c r="E8" s="29" t="s">
        <v>21</v>
      </c>
      <c r="F8" s="29" t="s">
        <v>1520</v>
      </c>
    </row>
    <row r="9" spans="1:6" ht="14.6" x14ac:dyDescent="0.4">
      <c r="A9" s="29" t="s">
        <v>19</v>
      </c>
      <c r="B9" s="29" t="s">
        <v>152</v>
      </c>
      <c r="C9" s="29" t="s">
        <v>20</v>
      </c>
      <c r="D9" s="29" t="s">
        <v>11</v>
      </c>
      <c r="E9" s="29" t="s">
        <v>21</v>
      </c>
      <c r="F9" s="29" t="s">
        <v>1520</v>
      </c>
    </row>
    <row r="10" spans="1:6" ht="14.6" x14ac:dyDescent="0.4">
      <c r="A10" s="29" t="s">
        <v>19</v>
      </c>
      <c r="B10" s="29" t="s">
        <v>1417</v>
      </c>
      <c r="C10" s="29" t="s">
        <v>20</v>
      </c>
      <c r="D10" s="29" t="s">
        <v>1355</v>
      </c>
      <c r="E10" s="29" t="s">
        <v>21</v>
      </c>
      <c r="F10" s="29" t="s">
        <v>1520</v>
      </c>
    </row>
    <row r="11" spans="1:6" ht="14.6" x14ac:dyDescent="0.4">
      <c r="A11" s="29" t="s">
        <v>19</v>
      </c>
      <c r="B11" s="29" t="s">
        <v>1039</v>
      </c>
      <c r="C11" s="29" t="s">
        <v>20</v>
      </c>
      <c r="D11" s="29" t="s">
        <v>1040</v>
      </c>
      <c r="E11" s="29" t="s">
        <v>21</v>
      </c>
      <c r="F11" s="29" t="s">
        <v>1520</v>
      </c>
    </row>
    <row r="12" spans="1:6" ht="14.6" x14ac:dyDescent="0.4">
      <c r="A12" s="29" t="s">
        <v>19</v>
      </c>
      <c r="B12" s="29" t="s">
        <v>1068</v>
      </c>
      <c r="C12" s="29" t="s">
        <v>20</v>
      </c>
      <c r="D12" s="29" t="s">
        <v>1033</v>
      </c>
      <c r="E12" s="29" t="s">
        <v>21</v>
      </c>
      <c r="F12" s="29" t="s">
        <v>1520</v>
      </c>
    </row>
    <row r="13" spans="1:6" ht="14.6" x14ac:dyDescent="0.4">
      <c r="A13" s="29" t="s">
        <v>19</v>
      </c>
      <c r="B13" s="29" t="s">
        <v>1089</v>
      </c>
      <c r="C13" s="29" t="s">
        <v>20</v>
      </c>
      <c r="D13" s="29" t="s">
        <v>1062</v>
      </c>
      <c r="E13" s="29" t="s">
        <v>21</v>
      </c>
      <c r="F13" s="29" t="s">
        <v>1520</v>
      </c>
    </row>
    <row r="14" spans="1:6" ht="14.6" x14ac:dyDescent="0.4">
      <c r="A14" s="29" t="s">
        <v>19</v>
      </c>
      <c r="B14" s="29" t="s">
        <v>1100</v>
      </c>
      <c r="C14" s="29" t="s">
        <v>20</v>
      </c>
      <c r="D14" s="29" t="s">
        <v>1070</v>
      </c>
      <c r="E14" s="29" t="s">
        <v>21</v>
      </c>
      <c r="F14" s="29" t="s">
        <v>1520</v>
      </c>
    </row>
    <row r="15" spans="1:6" ht="14.6" x14ac:dyDescent="0.4">
      <c r="A15" s="29" t="s">
        <v>35</v>
      </c>
      <c r="B15" s="29" t="s">
        <v>152</v>
      </c>
      <c r="C15" s="29" t="s">
        <v>36</v>
      </c>
      <c r="D15" s="29" t="s">
        <v>11</v>
      </c>
      <c r="E15" s="29" t="s">
        <v>21</v>
      </c>
      <c r="F15" s="29" t="s">
        <v>1520</v>
      </c>
    </row>
    <row r="16" spans="1:6" ht="14.6" x14ac:dyDescent="0.4">
      <c r="A16" s="29" t="s">
        <v>35</v>
      </c>
      <c r="B16" s="29" t="s">
        <v>1417</v>
      </c>
      <c r="C16" s="29" t="s">
        <v>36</v>
      </c>
      <c r="D16" s="29" t="s">
        <v>1355</v>
      </c>
      <c r="E16" s="29" t="s">
        <v>21</v>
      </c>
      <c r="F16" s="29" t="s">
        <v>1520</v>
      </c>
    </row>
    <row r="17" spans="1:6" ht="14.6" x14ac:dyDescent="0.4">
      <c r="A17" s="29" t="s">
        <v>35</v>
      </c>
      <c r="B17" s="29" t="s">
        <v>1039</v>
      </c>
      <c r="C17" s="29" t="s">
        <v>36</v>
      </c>
      <c r="D17" s="29" t="s">
        <v>1040</v>
      </c>
      <c r="E17" s="29" t="s">
        <v>21</v>
      </c>
      <c r="F17" s="29" t="s">
        <v>1520</v>
      </c>
    </row>
    <row r="18" spans="1:6" ht="14.6" x14ac:dyDescent="0.4">
      <c r="A18" s="29" t="s">
        <v>35</v>
      </c>
      <c r="B18" s="29" t="s">
        <v>1068</v>
      </c>
      <c r="C18" s="29" t="s">
        <v>36</v>
      </c>
      <c r="D18" s="29" t="s">
        <v>1033</v>
      </c>
      <c r="E18" s="29" t="s">
        <v>21</v>
      </c>
      <c r="F18" s="29" t="s">
        <v>1520</v>
      </c>
    </row>
    <row r="19" spans="1:6" ht="14.6" x14ac:dyDescent="0.4">
      <c r="A19" s="29" t="s">
        <v>35</v>
      </c>
      <c r="B19" s="29" t="s">
        <v>1089</v>
      </c>
      <c r="C19" s="29" t="s">
        <v>36</v>
      </c>
      <c r="D19" s="29" t="s">
        <v>1062</v>
      </c>
      <c r="E19" s="29" t="s">
        <v>21</v>
      </c>
      <c r="F19" s="29" t="s">
        <v>1520</v>
      </c>
    </row>
    <row r="20" spans="1:6" ht="14.6" x14ac:dyDescent="0.4">
      <c r="A20" s="29" t="s">
        <v>35</v>
      </c>
      <c r="B20" s="29" t="s">
        <v>1100</v>
      </c>
      <c r="C20" s="29" t="s">
        <v>36</v>
      </c>
      <c r="D20" s="29" t="s">
        <v>1070</v>
      </c>
      <c r="E20" s="29" t="s">
        <v>21</v>
      </c>
      <c r="F20" s="29" t="s">
        <v>1520</v>
      </c>
    </row>
    <row r="21" spans="1:6" ht="14.6" x14ac:dyDescent="0.4">
      <c r="A21" s="29" t="s">
        <v>152</v>
      </c>
      <c r="B21" s="29" t="s">
        <v>1417</v>
      </c>
      <c r="C21" s="29" t="s">
        <v>11</v>
      </c>
      <c r="D21" s="29" t="s">
        <v>1355</v>
      </c>
      <c r="E21" s="29" t="s">
        <v>21</v>
      </c>
      <c r="F21" s="29" t="s">
        <v>1520</v>
      </c>
    </row>
    <row r="22" spans="1:6" ht="14.6" x14ac:dyDescent="0.4">
      <c r="A22" s="29" t="s">
        <v>152</v>
      </c>
      <c r="B22" s="29" t="s">
        <v>1039</v>
      </c>
      <c r="C22" s="29" t="s">
        <v>11</v>
      </c>
      <c r="D22" s="29" t="s">
        <v>1040</v>
      </c>
      <c r="E22" s="29" t="s">
        <v>21</v>
      </c>
      <c r="F22" s="29" t="s">
        <v>1520</v>
      </c>
    </row>
    <row r="23" spans="1:6" ht="14.6" x14ac:dyDescent="0.4">
      <c r="A23" s="29" t="s">
        <v>152</v>
      </c>
      <c r="B23" s="29" t="s">
        <v>1068</v>
      </c>
      <c r="C23" s="29" t="s">
        <v>11</v>
      </c>
      <c r="D23" s="29" t="s">
        <v>1033</v>
      </c>
      <c r="E23" s="29" t="s">
        <v>21</v>
      </c>
      <c r="F23" s="29" t="s">
        <v>1520</v>
      </c>
    </row>
    <row r="24" spans="1:6" ht="14.6" x14ac:dyDescent="0.4">
      <c r="A24" s="29" t="s">
        <v>152</v>
      </c>
      <c r="B24" s="29" t="s">
        <v>1089</v>
      </c>
      <c r="C24" s="29" t="s">
        <v>11</v>
      </c>
      <c r="D24" s="29" t="s">
        <v>1062</v>
      </c>
      <c r="E24" s="29" t="s">
        <v>21</v>
      </c>
      <c r="F24" s="29" t="s">
        <v>1520</v>
      </c>
    </row>
    <row r="25" spans="1:6" ht="14.6" x14ac:dyDescent="0.4">
      <c r="A25" s="29" t="s">
        <v>152</v>
      </c>
      <c r="B25" s="29" t="s">
        <v>1100</v>
      </c>
      <c r="C25" s="29" t="s">
        <v>11</v>
      </c>
      <c r="D25" s="29" t="s">
        <v>1070</v>
      </c>
      <c r="E25" s="29" t="s">
        <v>21</v>
      </c>
      <c r="F25" s="29" t="s">
        <v>1520</v>
      </c>
    </row>
    <row r="26" spans="1:6" ht="14.6" x14ac:dyDescent="0.4">
      <c r="A26" s="29" t="s">
        <v>1417</v>
      </c>
      <c r="B26" s="29" t="s">
        <v>1039</v>
      </c>
      <c r="C26" s="29" t="s">
        <v>1355</v>
      </c>
      <c r="D26" s="29" t="s">
        <v>1040</v>
      </c>
      <c r="E26" s="29" t="s">
        <v>21</v>
      </c>
      <c r="F26" s="29" t="s">
        <v>1520</v>
      </c>
    </row>
    <row r="27" spans="1:6" ht="14.6" x14ac:dyDescent="0.4">
      <c r="A27" s="29" t="s">
        <v>1417</v>
      </c>
      <c r="B27" s="29" t="s">
        <v>1068</v>
      </c>
      <c r="C27" s="29" t="s">
        <v>1355</v>
      </c>
      <c r="D27" s="29" t="s">
        <v>1033</v>
      </c>
      <c r="E27" s="29" t="s">
        <v>21</v>
      </c>
      <c r="F27" s="29" t="s">
        <v>1520</v>
      </c>
    </row>
    <row r="28" spans="1:6" ht="14.6" x14ac:dyDescent="0.4">
      <c r="A28" s="29" t="s">
        <v>1417</v>
      </c>
      <c r="B28" s="29" t="s">
        <v>1089</v>
      </c>
      <c r="C28" s="29" t="s">
        <v>1355</v>
      </c>
      <c r="D28" s="29" t="s">
        <v>1062</v>
      </c>
      <c r="E28" s="29" t="s">
        <v>21</v>
      </c>
      <c r="F28" s="29" t="s">
        <v>1520</v>
      </c>
    </row>
    <row r="29" spans="1:6" ht="14.6" x14ac:dyDescent="0.4">
      <c r="A29" s="29" t="s">
        <v>1417</v>
      </c>
      <c r="B29" s="29" t="s">
        <v>1100</v>
      </c>
      <c r="C29" s="29" t="s">
        <v>1355</v>
      </c>
      <c r="D29" s="29" t="s">
        <v>1070</v>
      </c>
      <c r="E29" s="29" t="s">
        <v>21</v>
      </c>
      <c r="F29" s="29" t="s">
        <v>1520</v>
      </c>
    </row>
    <row r="30" spans="1:6" ht="14.6" x14ac:dyDescent="0.4">
      <c r="A30" s="29" t="s">
        <v>1039</v>
      </c>
      <c r="B30" s="29" t="s">
        <v>1068</v>
      </c>
      <c r="C30" s="29" t="s">
        <v>1040</v>
      </c>
      <c r="D30" s="29" t="s">
        <v>1033</v>
      </c>
      <c r="E30" s="29" t="s">
        <v>21</v>
      </c>
      <c r="F30" s="29" t="s">
        <v>1520</v>
      </c>
    </row>
    <row r="31" spans="1:6" ht="14.6" x14ac:dyDescent="0.4">
      <c r="A31" s="29" t="s">
        <v>1039</v>
      </c>
      <c r="B31" s="29" t="s">
        <v>1089</v>
      </c>
      <c r="C31" s="29" t="s">
        <v>1040</v>
      </c>
      <c r="D31" s="29" t="s">
        <v>1062</v>
      </c>
      <c r="E31" s="29" t="s">
        <v>21</v>
      </c>
      <c r="F31" s="29" t="s">
        <v>1520</v>
      </c>
    </row>
    <row r="32" spans="1:6" ht="14.6" x14ac:dyDescent="0.4">
      <c r="A32" s="29" t="s">
        <v>1039</v>
      </c>
      <c r="B32" s="29" t="s">
        <v>1100</v>
      </c>
      <c r="C32" s="29" t="s">
        <v>1040</v>
      </c>
      <c r="D32" s="29" t="s">
        <v>1070</v>
      </c>
      <c r="E32" s="29" t="s">
        <v>21</v>
      </c>
      <c r="F32" s="29" t="s">
        <v>1520</v>
      </c>
    </row>
    <row r="33" spans="1:6" ht="14.6" x14ac:dyDescent="0.4">
      <c r="A33" s="29" t="s">
        <v>1068</v>
      </c>
      <c r="B33" s="29" t="s">
        <v>1089</v>
      </c>
      <c r="C33" s="29" t="s">
        <v>1033</v>
      </c>
      <c r="D33" s="29" t="s">
        <v>1062</v>
      </c>
      <c r="E33" s="29" t="s">
        <v>21</v>
      </c>
      <c r="F33" s="29" t="s">
        <v>1522</v>
      </c>
    </row>
    <row r="34" spans="1:6" ht="14.6" x14ac:dyDescent="0.4">
      <c r="A34" s="29" t="s">
        <v>1068</v>
      </c>
      <c r="B34" s="29" t="s">
        <v>1100</v>
      </c>
      <c r="C34" s="29" t="s">
        <v>1033</v>
      </c>
      <c r="D34" s="29" t="s">
        <v>1070</v>
      </c>
      <c r="E34" s="29" t="s">
        <v>21</v>
      </c>
      <c r="F34" s="29" t="s">
        <v>1522</v>
      </c>
    </row>
    <row r="35" spans="1:6" ht="14.6" x14ac:dyDescent="0.4">
      <c r="A35" s="29" t="s">
        <v>1089</v>
      </c>
      <c r="B35" s="29" t="s">
        <v>1100</v>
      </c>
      <c r="C35" s="29" t="s">
        <v>1062</v>
      </c>
      <c r="D35" s="29" t="s">
        <v>1070</v>
      </c>
      <c r="E35" s="29" t="s">
        <v>21</v>
      </c>
      <c r="F35" s="29" t="s">
        <v>1522</v>
      </c>
    </row>
    <row r="36" spans="1:6" ht="14.6" x14ac:dyDescent="0.4">
      <c r="A36" s="29" t="s">
        <v>27</v>
      </c>
      <c r="B36" s="29" t="s">
        <v>69</v>
      </c>
      <c r="C36" s="29" t="s">
        <v>28</v>
      </c>
      <c r="D36" s="29" t="s">
        <v>70</v>
      </c>
      <c r="E36" s="29" t="s">
        <v>29</v>
      </c>
      <c r="F36" s="29" t="s">
        <v>1520</v>
      </c>
    </row>
    <row r="37" spans="1:6" ht="14.6" x14ac:dyDescent="0.4">
      <c r="A37" s="29" t="s">
        <v>27</v>
      </c>
      <c r="B37" s="29" t="s">
        <v>96</v>
      </c>
      <c r="C37" s="29" t="s">
        <v>28</v>
      </c>
      <c r="D37" s="29" t="s">
        <v>8</v>
      </c>
      <c r="E37" s="29" t="s">
        <v>29</v>
      </c>
      <c r="F37" s="29" t="s">
        <v>1520</v>
      </c>
    </row>
    <row r="38" spans="1:6" ht="14.6" x14ac:dyDescent="0.4">
      <c r="A38" s="29" t="s">
        <v>27</v>
      </c>
      <c r="B38" s="29" t="s">
        <v>100</v>
      </c>
      <c r="C38" s="29" t="s">
        <v>28</v>
      </c>
      <c r="D38" s="29" t="s">
        <v>101</v>
      </c>
      <c r="E38" s="29" t="s">
        <v>29</v>
      </c>
      <c r="F38" s="29" t="s">
        <v>1520</v>
      </c>
    </row>
    <row r="39" spans="1:6" ht="14.6" x14ac:dyDescent="0.4">
      <c r="A39" s="29" t="s">
        <v>27</v>
      </c>
      <c r="B39" s="29" t="s">
        <v>1144</v>
      </c>
      <c r="C39" s="29" t="s">
        <v>28</v>
      </c>
      <c r="D39" s="29" t="s">
        <v>1145</v>
      </c>
      <c r="E39" s="29" t="s">
        <v>29</v>
      </c>
      <c r="F39" s="29" t="s">
        <v>1520</v>
      </c>
    </row>
    <row r="40" spans="1:6" ht="14.6" x14ac:dyDescent="0.4">
      <c r="A40" s="29" t="s">
        <v>27</v>
      </c>
      <c r="B40" s="29" t="s">
        <v>1194</v>
      </c>
      <c r="C40" s="29" t="s">
        <v>28</v>
      </c>
      <c r="D40" s="29" t="s">
        <v>1158</v>
      </c>
      <c r="E40" s="29" t="s">
        <v>29</v>
      </c>
      <c r="F40" s="29" t="s">
        <v>1520</v>
      </c>
    </row>
    <row r="41" spans="1:6" ht="14.6" x14ac:dyDescent="0.4">
      <c r="A41" s="29" t="s">
        <v>27</v>
      </c>
      <c r="B41" s="29" t="s">
        <v>1207</v>
      </c>
      <c r="C41" s="29" t="s">
        <v>28</v>
      </c>
      <c r="D41" s="29" t="s">
        <v>1156</v>
      </c>
      <c r="E41" s="29" t="s">
        <v>29</v>
      </c>
      <c r="F41" s="29" t="s">
        <v>1520</v>
      </c>
    </row>
    <row r="42" spans="1:6" ht="14.6" x14ac:dyDescent="0.4">
      <c r="A42" s="29" t="s">
        <v>27</v>
      </c>
      <c r="B42" s="29" t="s">
        <v>1254</v>
      </c>
      <c r="C42" s="29" t="s">
        <v>28</v>
      </c>
      <c r="D42" s="29" t="s">
        <v>1145</v>
      </c>
      <c r="E42" s="29" t="s">
        <v>29</v>
      </c>
      <c r="F42" s="29" t="s">
        <v>1520</v>
      </c>
    </row>
    <row r="43" spans="1:6" ht="14.6" x14ac:dyDescent="0.4">
      <c r="A43" s="29" t="s">
        <v>69</v>
      </c>
      <c r="B43" s="29" t="s">
        <v>96</v>
      </c>
      <c r="C43" s="29" t="s">
        <v>70</v>
      </c>
      <c r="D43" s="29" t="s">
        <v>8</v>
      </c>
      <c r="E43" s="29" t="s">
        <v>29</v>
      </c>
      <c r="F43" s="29" t="s">
        <v>1520</v>
      </c>
    </row>
    <row r="44" spans="1:6" ht="14.6" x14ac:dyDescent="0.4">
      <c r="A44" s="29" t="s">
        <v>69</v>
      </c>
      <c r="B44" s="29" t="s">
        <v>100</v>
      </c>
      <c r="C44" s="29" t="s">
        <v>70</v>
      </c>
      <c r="D44" s="29" t="s">
        <v>101</v>
      </c>
      <c r="E44" s="29" t="s">
        <v>29</v>
      </c>
      <c r="F44" s="29" t="s">
        <v>1520</v>
      </c>
    </row>
    <row r="45" spans="1:6" ht="14.6" x14ac:dyDescent="0.4">
      <c r="A45" s="29" t="s">
        <v>69</v>
      </c>
      <c r="B45" s="29" t="s">
        <v>1144</v>
      </c>
      <c r="C45" s="29" t="s">
        <v>70</v>
      </c>
      <c r="D45" s="29" t="s">
        <v>1145</v>
      </c>
      <c r="E45" s="29" t="s">
        <v>29</v>
      </c>
      <c r="F45" s="29" t="s">
        <v>1520</v>
      </c>
    </row>
    <row r="46" spans="1:6" ht="14.6" x14ac:dyDescent="0.4">
      <c r="A46" s="29" t="s">
        <v>69</v>
      </c>
      <c r="B46" s="29" t="s">
        <v>1194</v>
      </c>
      <c r="C46" s="29" t="s">
        <v>70</v>
      </c>
      <c r="D46" s="29" t="s">
        <v>1158</v>
      </c>
      <c r="E46" s="29" t="s">
        <v>29</v>
      </c>
      <c r="F46" s="29" t="s">
        <v>1520</v>
      </c>
    </row>
    <row r="47" spans="1:6" ht="14.6" x14ac:dyDescent="0.4">
      <c r="A47" s="29" t="s">
        <v>69</v>
      </c>
      <c r="B47" s="29" t="s">
        <v>1207</v>
      </c>
      <c r="C47" s="29" t="s">
        <v>70</v>
      </c>
      <c r="D47" s="29" t="s">
        <v>1156</v>
      </c>
      <c r="E47" s="29" t="s">
        <v>29</v>
      </c>
      <c r="F47" s="29" t="s">
        <v>1520</v>
      </c>
    </row>
    <row r="48" spans="1:6" ht="14.6" x14ac:dyDescent="0.4">
      <c r="A48" s="29" t="s">
        <v>69</v>
      </c>
      <c r="B48" s="29" t="s">
        <v>1254</v>
      </c>
      <c r="C48" s="29" t="s">
        <v>70</v>
      </c>
      <c r="D48" s="29" t="s">
        <v>1145</v>
      </c>
      <c r="E48" s="29" t="s">
        <v>29</v>
      </c>
      <c r="F48" s="29" t="s">
        <v>1520</v>
      </c>
    </row>
    <row r="49" spans="1:6" ht="14.6" x14ac:dyDescent="0.4">
      <c r="A49" s="29" t="s">
        <v>96</v>
      </c>
      <c r="B49" s="29" t="s">
        <v>100</v>
      </c>
      <c r="C49" s="29" t="s">
        <v>8</v>
      </c>
      <c r="D49" s="29" t="s">
        <v>101</v>
      </c>
      <c r="E49" s="29" t="s">
        <v>29</v>
      </c>
      <c r="F49" s="29" t="s">
        <v>1520</v>
      </c>
    </row>
    <row r="50" spans="1:6" ht="14.6" x14ac:dyDescent="0.4">
      <c r="A50" s="29" t="s">
        <v>96</v>
      </c>
      <c r="B50" s="29" t="s">
        <v>1144</v>
      </c>
      <c r="C50" s="29" t="s">
        <v>8</v>
      </c>
      <c r="D50" s="29" t="s">
        <v>1145</v>
      </c>
      <c r="E50" s="29" t="s">
        <v>29</v>
      </c>
      <c r="F50" s="29" t="s">
        <v>1520</v>
      </c>
    </row>
    <row r="51" spans="1:6" ht="14.6" x14ac:dyDescent="0.4">
      <c r="A51" s="29" t="s">
        <v>96</v>
      </c>
      <c r="B51" s="29" t="s">
        <v>1194</v>
      </c>
      <c r="C51" s="29" t="s">
        <v>8</v>
      </c>
      <c r="D51" s="29" t="s">
        <v>1158</v>
      </c>
      <c r="E51" s="29" t="s">
        <v>29</v>
      </c>
      <c r="F51" s="29" t="s">
        <v>1520</v>
      </c>
    </row>
    <row r="52" spans="1:6" ht="14.6" x14ac:dyDescent="0.4">
      <c r="A52" s="29" t="s">
        <v>96</v>
      </c>
      <c r="B52" s="29" t="s">
        <v>1207</v>
      </c>
      <c r="C52" s="29" t="s">
        <v>8</v>
      </c>
      <c r="D52" s="29" t="s">
        <v>1156</v>
      </c>
      <c r="E52" s="29" t="s">
        <v>29</v>
      </c>
      <c r="F52" s="29" t="s">
        <v>1520</v>
      </c>
    </row>
    <row r="53" spans="1:6" ht="14.6" x14ac:dyDescent="0.4">
      <c r="A53" s="29" t="s">
        <v>96</v>
      </c>
      <c r="B53" s="29" t="s">
        <v>1254</v>
      </c>
      <c r="C53" s="29" t="s">
        <v>8</v>
      </c>
      <c r="D53" s="29" t="s">
        <v>1145</v>
      </c>
      <c r="E53" s="29" t="s">
        <v>29</v>
      </c>
      <c r="F53" s="29" t="s">
        <v>1520</v>
      </c>
    </row>
    <row r="54" spans="1:6" ht="14.6" x14ac:dyDescent="0.4">
      <c r="A54" s="29" t="s">
        <v>100</v>
      </c>
      <c r="B54" s="29" t="s">
        <v>1144</v>
      </c>
      <c r="C54" s="29" t="s">
        <v>101</v>
      </c>
      <c r="D54" s="29" t="s">
        <v>1145</v>
      </c>
      <c r="E54" s="29" t="s">
        <v>29</v>
      </c>
      <c r="F54" s="29" t="s">
        <v>1520</v>
      </c>
    </row>
    <row r="55" spans="1:6" ht="14.6" x14ac:dyDescent="0.4">
      <c r="A55" s="29" t="s">
        <v>100</v>
      </c>
      <c r="B55" s="29" t="s">
        <v>1194</v>
      </c>
      <c r="C55" s="29" t="s">
        <v>101</v>
      </c>
      <c r="D55" s="29" t="s">
        <v>1158</v>
      </c>
      <c r="E55" s="29" t="s">
        <v>29</v>
      </c>
      <c r="F55" s="29" t="s">
        <v>1520</v>
      </c>
    </row>
    <row r="56" spans="1:6" ht="14.6" x14ac:dyDescent="0.4">
      <c r="A56" s="29" t="s">
        <v>100</v>
      </c>
      <c r="B56" s="29" t="s">
        <v>1207</v>
      </c>
      <c r="C56" s="29" t="s">
        <v>101</v>
      </c>
      <c r="D56" s="29" t="s">
        <v>1156</v>
      </c>
      <c r="E56" s="29" t="s">
        <v>29</v>
      </c>
      <c r="F56" s="29" t="s">
        <v>1520</v>
      </c>
    </row>
    <row r="57" spans="1:6" ht="14.6" x14ac:dyDescent="0.4">
      <c r="A57" s="29" t="s">
        <v>100</v>
      </c>
      <c r="B57" s="29" t="s">
        <v>1254</v>
      </c>
      <c r="C57" s="29" t="s">
        <v>101</v>
      </c>
      <c r="D57" s="29" t="s">
        <v>1145</v>
      </c>
      <c r="E57" s="29" t="s">
        <v>29</v>
      </c>
      <c r="F57" s="29" t="s">
        <v>1520</v>
      </c>
    </row>
    <row r="58" spans="1:6" ht="14.6" x14ac:dyDescent="0.4">
      <c r="A58" s="29" t="s">
        <v>1144</v>
      </c>
      <c r="B58" s="29" t="s">
        <v>1194</v>
      </c>
      <c r="C58" s="29" t="s">
        <v>1145</v>
      </c>
      <c r="D58" s="29" t="s">
        <v>1158</v>
      </c>
      <c r="E58" s="29" t="s">
        <v>29</v>
      </c>
      <c r="F58" s="29" t="s">
        <v>1522</v>
      </c>
    </row>
    <row r="59" spans="1:6" ht="14.6" x14ac:dyDescent="0.4">
      <c r="A59" s="29" t="s">
        <v>1144</v>
      </c>
      <c r="B59" s="29" t="s">
        <v>1207</v>
      </c>
      <c r="C59" s="29" t="s">
        <v>1145</v>
      </c>
      <c r="D59" s="29" t="s">
        <v>1156</v>
      </c>
      <c r="E59" s="29" t="s">
        <v>29</v>
      </c>
      <c r="F59" s="29" t="s">
        <v>1522</v>
      </c>
    </row>
    <row r="60" spans="1:6" ht="14.6" x14ac:dyDescent="0.4">
      <c r="A60" s="29" t="s">
        <v>1144</v>
      </c>
      <c r="B60" s="29" t="s">
        <v>1254</v>
      </c>
      <c r="C60" s="29" t="s">
        <v>1145</v>
      </c>
      <c r="D60" s="29" t="s">
        <v>1145</v>
      </c>
      <c r="E60" s="29" t="s">
        <v>29</v>
      </c>
      <c r="F60" s="29" t="s">
        <v>1520</v>
      </c>
    </row>
    <row r="61" spans="1:6" ht="14.6" x14ac:dyDescent="0.4">
      <c r="A61" s="29" t="s">
        <v>1194</v>
      </c>
      <c r="B61" s="29" t="s">
        <v>1207</v>
      </c>
      <c r="C61" s="29" t="s">
        <v>1158</v>
      </c>
      <c r="D61" s="29" t="s">
        <v>1156</v>
      </c>
      <c r="E61" s="29" t="s">
        <v>29</v>
      </c>
      <c r="F61" s="29" t="s">
        <v>1522</v>
      </c>
    </row>
    <row r="62" spans="1:6" ht="14.6" x14ac:dyDescent="0.4">
      <c r="A62" s="29" t="s">
        <v>1194</v>
      </c>
      <c r="B62" s="29" t="s">
        <v>1254</v>
      </c>
      <c r="C62" s="29" t="s">
        <v>1158</v>
      </c>
      <c r="D62" s="29" t="s">
        <v>1145</v>
      </c>
      <c r="E62" s="29" t="s">
        <v>29</v>
      </c>
      <c r="F62" s="29" t="s">
        <v>1522</v>
      </c>
    </row>
    <row r="63" spans="1:6" ht="14.6" x14ac:dyDescent="0.4">
      <c r="A63" s="29" t="s">
        <v>1207</v>
      </c>
      <c r="B63" s="29" t="s">
        <v>1254</v>
      </c>
      <c r="C63" s="29" t="s">
        <v>1156</v>
      </c>
      <c r="D63" s="29" t="s">
        <v>1145</v>
      </c>
      <c r="E63" s="29" t="s">
        <v>29</v>
      </c>
      <c r="F63" s="29" t="s">
        <v>1522</v>
      </c>
    </row>
    <row r="64" spans="1:6" ht="14.6" x14ac:dyDescent="0.4">
      <c r="A64" s="29" t="s">
        <v>1065</v>
      </c>
      <c r="B64" s="29" t="s">
        <v>1134</v>
      </c>
      <c r="C64" s="29" t="s">
        <v>1062</v>
      </c>
      <c r="D64" s="29" t="s">
        <v>1070</v>
      </c>
      <c r="E64" s="29" t="s">
        <v>18</v>
      </c>
      <c r="F64" s="29" t="s">
        <v>1522</v>
      </c>
    </row>
    <row r="65" spans="1:6" ht="14.6" x14ac:dyDescent="0.4">
      <c r="A65" s="29" t="s">
        <v>16</v>
      </c>
      <c r="B65" s="29" t="s">
        <v>48</v>
      </c>
      <c r="C65" s="29" t="s">
        <v>17</v>
      </c>
      <c r="D65" s="29" t="s">
        <v>49</v>
      </c>
      <c r="E65" s="29" t="s">
        <v>18</v>
      </c>
      <c r="F65" s="29" t="s">
        <v>1520</v>
      </c>
    </row>
    <row r="66" spans="1:6" ht="14.6" x14ac:dyDescent="0.4">
      <c r="A66" s="29" t="s">
        <v>16</v>
      </c>
      <c r="B66" s="29" t="s">
        <v>71</v>
      </c>
      <c r="C66" s="29" t="s">
        <v>17</v>
      </c>
      <c r="D66" s="29" t="s">
        <v>72</v>
      </c>
      <c r="E66" s="29" t="s">
        <v>18</v>
      </c>
      <c r="F66" s="29" t="s">
        <v>1520</v>
      </c>
    </row>
    <row r="67" spans="1:6" ht="14.6" x14ac:dyDescent="0.4">
      <c r="A67" s="29" t="s">
        <v>16</v>
      </c>
      <c r="B67" s="29" t="s">
        <v>92</v>
      </c>
      <c r="C67" s="29" t="s">
        <v>17</v>
      </c>
      <c r="D67" s="29" t="s">
        <v>93</v>
      </c>
      <c r="E67" s="29" t="s">
        <v>18</v>
      </c>
      <c r="F67" s="29" t="s">
        <v>1520</v>
      </c>
    </row>
    <row r="68" spans="1:6" ht="14.6" x14ac:dyDescent="0.4">
      <c r="A68" s="29" t="s">
        <v>16</v>
      </c>
      <c r="B68" s="29" t="s">
        <v>1065</v>
      </c>
      <c r="C68" s="29" t="s">
        <v>17</v>
      </c>
      <c r="D68" s="29" t="s">
        <v>1062</v>
      </c>
      <c r="E68" s="29" t="s">
        <v>18</v>
      </c>
      <c r="F68" s="29" t="s">
        <v>1520</v>
      </c>
    </row>
    <row r="69" spans="1:6" ht="14.6" x14ac:dyDescent="0.4">
      <c r="A69" s="29" t="s">
        <v>16</v>
      </c>
      <c r="B69" s="29" t="s">
        <v>1134</v>
      </c>
      <c r="C69" s="29" t="s">
        <v>17</v>
      </c>
      <c r="D69" s="29" t="s">
        <v>1070</v>
      </c>
      <c r="E69" s="29" t="s">
        <v>18</v>
      </c>
      <c r="F69" s="29" t="s">
        <v>1520</v>
      </c>
    </row>
    <row r="70" spans="1:6" ht="14.6" x14ac:dyDescent="0.4">
      <c r="A70" s="29" t="s">
        <v>48</v>
      </c>
      <c r="B70" s="29" t="s">
        <v>71</v>
      </c>
      <c r="C70" s="29" t="s">
        <v>49</v>
      </c>
      <c r="D70" s="29" t="s">
        <v>72</v>
      </c>
      <c r="E70" s="29" t="s">
        <v>18</v>
      </c>
      <c r="F70" s="29" t="s">
        <v>1520</v>
      </c>
    </row>
    <row r="71" spans="1:6" ht="14.6" x14ac:dyDescent="0.4">
      <c r="A71" s="29" t="s">
        <v>48</v>
      </c>
      <c r="B71" s="29" t="s">
        <v>92</v>
      </c>
      <c r="C71" s="29" t="s">
        <v>49</v>
      </c>
      <c r="D71" s="29" t="s">
        <v>93</v>
      </c>
      <c r="E71" s="29" t="s">
        <v>18</v>
      </c>
      <c r="F71" s="29" t="s">
        <v>1520</v>
      </c>
    </row>
    <row r="72" spans="1:6" ht="14.6" x14ac:dyDescent="0.4">
      <c r="A72" s="29" t="s">
        <v>48</v>
      </c>
      <c r="B72" s="29" t="s">
        <v>1065</v>
      </c>
      <c r="C72" s="29" t="s">
        <v>49</v>
      </c>
      <c r="D72" s="29" t="s">
        <v>1062</v>
      </c>
      <c r="E72" s="29" t="s">
        <v>18</v>
      </c>
      <c r="F72" s="29" t="s">
        <v>1520</v>
      </c>
    </row>
    <row r="73" spans="1:6" ht="14.6" x14ac:dyDescent="0.4">
      <c r="A73" s="29" t="s">
        <v>48</v>
      </c>
      <c r="B73" s="29" t="s">
        <v>1134</v>
      </c>
      <c r="C73" s="29" t="s">
        <v>49</v>
      </c>
      <c r="D73" s="29" t="s">
        <v>1070</v>
      </c>
      <c r="E73" s="29" t="s">
        <v>18</v>
      </c>
      <c r="F73" s="29" t="s">
        <v>1520</v>
      </c>
    </row>
    <row r="74" spans="1:6" ht="14.6" x14ac:dyDescent="0.4">
      <c r="A74" s="29" t="s">
        <v>71</v>
      </c>
      <c r="B74" s="29" t="s">
        <v>92</v>
      </c>
      <c r="C74" s="29" t="s">
        <v>72</v>
      </c>
      <c r="D74" s="29" t="s">
        <v>93</v>
      </c>
      <c r="E74" s="29" t="s">
        <v>18</v>
      </c>
      <c r="F74" s="29" t="s">
        <v>1520</v>
      </c>
    </row>
    <row r="75" spans="1:6" ht="14.6" x14ac:dyDescent="0.4">
      <c r="A75" s="29" t="s">
        <v>71</v>
      </c>
      <c r="B75" s="29" t="s">
        <v>1065</v>
      </c>
      <c r="C75" s="29" t="s">
        <v>72</v>
      </c>
      <c r="D75" s="29" t="s">
        <v>1062</v>
      </c>
      <c r="E75" s="29" t="s">
        <v>18</v>
      </c>
      <c r="F75" s="29" t="s">
        <v>1520</v>
      </c>
    </row>
    <row r="76" spans="1:6" ht="14.6" x14ac:dyDescent="0.4">
      <c r="A76" s="29" t="s">
        <v>71</v>
      </c>
      <c r="B76" s="29" t="s">
        <v>1134</v>
      </c>
      <c r="C76" s="29" t="s">
        <v>72</v>
      </c>
      <c r="D76" s="29" t="s">
        <v>1070</v>
      </c>
      <c r="E76" s="29" t="s">
        <v>18</v>
      </c>
      <c r="F76" s="29" t="s">
        <v>1520</v>
      </c>
    </row>
    <row r="77" spans="1:6" ht="14.6" x14ac:dyDescent="0.4">
      <c r="A77" s="29" t="s">
        <v>92</v>
      </c>
      <c r="B77" s="29" t="s">
        <v>1065</v>
      </c>
      <c r="C77" s="29" t="s">
        <v>93</v>
      </c>
      <c r="D77" s="29" t="s">
        <v>1062</v>
      </c>
      <c r="E77" s="29" t="s">
        <v>18</v>
      </c>
      <c r="F77" s="29" t="s">
        <v>1520</v>
      </c>
    </row>
    <row r="78" spans="1:6" ht="14.6" x14ac:dyDescent="0.4">
      <c r="A78" s="29" t="s">
        <v>92</v>
      </c>
      <c r="B78" s="29" t="s">
        <v>1134</v>
      </c>
      <c r="C78" s="29" t="s">
        <v>93</v>
      </c>
      <c r="D78" s="29" t="s">
        <v>1070</v>
      </c>
      <c r="E78" s="29" t="s">
        <v>18</v>
      </c>
      <c r="F78" s="29" t="s">
        <v>1520</v>
      </c>
    </row>
    <row r="79" spans="1:6" ht="14.6" x14ac:dyDescent="0.4">
      <c r="A79" s="29" t="s">
        <v>1069</v>
      </c>
      <c r="B79" s="29" t="s">
        <v>1097</v>
      </c>
      <c r="C79" s="29" t="s">
        <v>1070</v>
      </c>
      <c r="D79" s="29" t="s">
        <v>1038</v>
      </c>
      <c r="E79" s="29" t="s">
        <v>65</v>
      </c>
      <c r="F79" s="29" t="s">
        <v>1522</v>
      </c>
    </row>
    <row r="80" spans="1:6" ht="14.6" x14ac:dyDescent="0.4">
      <c r="A80" s="29" t="s">
        <v>1115</v>
      </c>
      <c r="B80" s="29" t="s">
        <v>1121</v>
      </c>
      <c r="C80" s="29" t="s">
        <v>1047</v>
      </c>
      <c r="D80" s="29" t="s">
        <v>1031</v>
      </c>
      <c r="E80" s="29" t="s">
        <v>65</v>
      </c>
      <c r="F80" s="29" t="s">
        <v>1522</v>
      </c>
    </row>
    <row r="81" spans="1:6" ht="14.6" x14ac:dyDescent="0.4">
      <c r="A81" s="29" t="s">
        <v>63</v>
      </c>
      <c r="B81" s="29" t="s">
        <v>73</v>
      </c>
      <c r="C81" s="29" t="s">
        <v>64</v>
      </c>
      <c r="D81" s="29" t="s">
        <v>74</v>
      </c>
      <c r="E81" s="29" t="s">
        <v>65</v>
      </c>
      <c r="F81" s="29" t="s">
        <v>1520</v>
      </c>
    </row>
    <row r="82" spans="1:6" ht="14.6" x14ac:dyDescent="0.4">
      <c r="A82" s="29" t="s">
        <v>63</v>
      </c>
      <c r="B82" s="29" t="s">
        <v>75</v>
      </c>
      <c r="C82" s="29" t="s">
        <v>64</v>
      </c>
      <c r="D82" s="29" t="s">
        <v>76</v>
      </c>
      <c r="E82" s="29" t="s">
        <v>65</v>
      </c>
      <c r="F82" s="29" t="s">
        <v>1520</v>
      </c>
    </row>
    <row r="83" spans="1:6" ht="14.6" x14ac:dyDescent="0.4">
      <c r="A83" s="29" t="s">
        <v>63</v>
      </c>
      <c r="B83" s="29" t="s">
        <v>89</v>
      </c>
      <c r="C83" s="29" t="s">
        <v>64</v>
      </c>
      <c r="D83" s="29" t="s">
        <v>90</v>
      </c>
      <c r="E83" s="29" t="s">
        <v>65</v>
      </c>
      <c r="F83" s="29" t="s">
        <v>1520</v>
      </c>
    </row>
    <row r="84" spans="1:6" ht="14.6" x14ac:dyDescent="0.4">
      <c r="A84" s="29" t="s">
        <v>63</v>
      </c>
      <c r="B84" s="29" t="s">
        <v>1069</v>
      </c>
      <c r="C84" s="29" t="s">
        <v>64</v>
      </c>
      <c r="D84" s="29" t="s">
        <v>1070</v>
      </c>
      <c r="E84" s="29" t="s">
        <v>65</v>
      </c>
      <c r="F84" s="29" t="s">
        <v>1520</v>
      </c>
    </row>
    <row r="85" spans="1:6" ht="14.6" x14ac:dyDescent="0.4">
      <c r="A85" s="29" t="s">
        <v>63</v>
      </c>
      <c r="B85" s="29" t="s">
        <v>1097</v>
      </c>
      <c r="C85" s="29" t="s">
        <v>64</v>
      </c>
      <c r="D85" s="29" t="s">
        <v>1038</v>
      </c>
      <c r="E85" s="29" t="s">
        <v>65</v>
      </c>
      <c r="F85" s="29" t="s">
        <v>1520</v>
      </c>
    </row>
    <row r="86" spans="1:6" ht="14.6" x14ac:dyDescent="0.4">
      <c r="A86" s="29" t="s">
        <v>63</v>
      </c>
      <c r="B86" s="29" t="s">
        <v>1115</v>
      </c>
      <c r="C86" s="29" t="s">
        <v>64</v>
      </c>
      <c r="D86" s="29" t="s">
        <v>1047</v>
      </c>
      <c r="E86" s="29" t="s">
        <v>65</v>
      </c>
      <c r="F86" s="29" t="s">
        <v>1520</v>
      </c>
    </row>
    <row r="87" spans="1:6" ht="14.6" x14ac:dyDescent="0.4">
      <c r="A87" s="29" t="s">
        <v>63</v>
      </c>
      <c r="B87" s="29" t="s">
        <v>1121</v>
      </c>
      <c r="C87" s="29" t="s">
        <v>64</v>
      </c>
      <c r="D87" s="29" t="s">
        <v>1031</v>
      </c>
      <c r="E87" s="29" t="s">
        <v>65</v>
      </c>
      <c r="F87" s="29" t="s">
        <v>1520</v>
      </c>
    </row>
    <row r="88" spans="1:6" ht="14.6" x14ac:dyDescent="0.4">
      <c r="A88" s="29" t="s">
        <v>73</v>
      </c>
      <c r="B88" s="29" t="s">
        <v>75</v>
      </c>
      <c r="C88" s="29" t="s">
        <v>74</v>
      </c>
      <c r="D88" s="29" t="s">
        <v>76</v>
      </c>
      <c r="E88" s="29" t="s">
        <v>65</v>
      </c>
      <c r="F88" s="29" t="s">
        <v>1520</v>
      </c>
    </row>
    <row r="89" spans="1:6" ht="14.6" x14ac:dyDescent="0.4">
      <c r="A89" s="29" t="s">
        <v>73</v>
      </c>
      <c r="B89" s="29" t="s">
        <v>89</v>
      </c>
      <c r="C89" s="29" t="s">
        <v>74</v>
      </c>
      <c r="D89" s="29" t="s">
        <v>90</v>
      </c>
      <c r="E89" s="29" t="s">
        <v>65</v>
      </c>
      <c r="F89" s="29" t="s">
        <v>1520</v>
      </c>
    </row>
    <row r="90" spans="1:6" ht="14.6" x14ac:dyDescent="0.4">
      <c r="A90" s="29" t="s">
        <v>73</v>
      </c>
      <c r="B90" s="29" t="s">
        <v>1069</v>
      </c>
      <c r="C90" s="29" t="s">
        <v>74</v>
      </c>
      <c r="D90" s="29" t="s">
        <v>1070</v>
      </c>
      <c r="E90" s="29" t="s">
        <v>65</v>
      </c>
      <c r="F90" s="29" t="s">
        <v>1520</v>
      </c>
    </row>
    <row r="91" spans="1:6" ht="14.6" x14ac:dyDescent="0.4">
      <c r="A91" s="29" t="s">
        <v>73</v>
      </c>
      <c r="B91" s="29" t="s">
        <v>1097</v>
      </c>
      <c r="C91" s="29" t="s">
        <v>74</v>
      </c>
      <c r="D91" s="29" t="s">
        <v>1038</v>
      </c>
      <c r="E91" s="29" t="s">
        <v>65</v>
      </c>
      <c r="F91" s="29" t="s">
        <v>1520</v>
      </c>
    </row>
    <row r="92" spans="1:6" ht="14.6" x14ac:dyDescent="0.4">
      <c r="A92" s="29" t="s">
        <v>73</v>
      </c>
      <c r="B92" s="29" t="s">
        <v>1115</v>
      </c>
      <c r="C92" s="29" t="s">
        <v>74</v>
      </c>
      <c r="D92" s="29" t="s">
        <v>1047</v>
      </c>
      <c r="E92" s="29" t="s">
        <v>65</v>
      </c>
      <c r="F92" s="29" t="s">
        <v>1520</v>
      </c>
    </row>
    <row r="93" spans="1:6" ht="14.6" x14ac:dyDescent="0.4">
      <c r="A93" s="29" t="s">
        <v>73</v>
      </c>
      <c r="B93" s="29" t="s">
        <v>1121</v>
      </c>
      <c r="C93" s="29" t="s">
        <v>74</v>
      </c>
      <c r="D93" s="29" t="s">
        <v>1031</v>
      </c>
      <c r="E93" s="29" t="s">
        <v>65</v>
      </c>
      <c r="F93" s="29" t="s">
        <v>1520</v>
      </c>
    </row>
    <row r="94" spans="1:6" ht="14.6" x14ac:dyDescent="0.4">
      <c r="A94" s="29" t="s">
        <v>75</v>
      </c>
      <c r="B94" s="29" t="s">
        <v>89</v>
      </c>
      <c r="C94" s="29" t="s">
        <v>76</v>
      </c>
      <c r="D94" s="29" t="s">
        <v>90</v>
      </c>
      <c r="E94" s="29" t="s">
        <v>65</v>
      </c>
      <c r="F94" s="29" t="s">
        <v>1520</v>
      </c>
    </row>
    <row r="95" spans="1:6" ht="14.6" x14ac:dyDescent="0.4">
      <c r="A95" s="29" t="s">
        <v>75</v>
      </c>
      <c r="B95" s="29" t="s">
        <v>1069</v>
      </c>
      <c r="C95" s="29" t="s">
        <v>76</v>
      </c>
      <c r="D95" s="29" t="s">
        <v>1070</v>
      </c>
      <c r="E95" s="29" t="s">
        <v>65</v>
      </c>
      <c r="F95" s="29" t="s">
        <v>1520</v>
      </c>
    </row>
    <row r="96" spans="1:6" ht="14.6" x14ac:dyDescent="0.4">
      <c r="A96" s="29" t="s">
        <v>75</v>
      </c>
      <c r="B96" s="29" t="s">
        <v>1097</v>
      </c>
      <c r="C96" s="29" t="s">
        <v>76</v>
      </c>
      <c r="D96" s="29" t="s">
        <v>1038</v>
      </c>
      <c r="E96" s="29" t="s">
        <v>65</v>
      </c>
      <c r="F96" s="29" t="s">
        <v>1520</v>
      </c>
    </row>
    <row r="97" spans="1:6" ht="14.6" x14ac:dyDescent="0.4">
      <c r="A97" s="29" t="s">
        <v>75</v>
      </c>
      <c r="B97" s="29" t="s">
        <v>1115</v>
      </c>
      <c r="C97" s="29" t="s">
        <v>76</v>
      </c>
      <c r="D97" s="29" t="s">
        <v>1047</v>
      </c>
      <c r="E97" s="29" t="s">
        <v>65</v>
      </c>
      <c r="F97" s="29" t="s">
        <v>1520</v>
      </c>
    </row>
    <row r="98" spans="1:6" ht="14.6" x14ac:dyDescent="0.4">
      <c r="A98" s="29" t="s">
        <v>75</v>
      </c>
      <c r="B98" s="29" t="s">
        <v>1121</v>
      </c>
      <c r="C98" s="29" t="s">
        <v>76</v>
      </c>
      <c r="D98" s="29" t="s">
        <v>1031</v>
      </c>
      <c r="E98" s="29" t="s">
        <v>65</v>
      </c>
      <c r="F98" s="29" t="s">
        <v>1520</v>
      </c>
    </row>
    <row r="99" spans="1:6" ht="14.6" x14ac:dyDescent="0.4">
      <c r="A99" s="29" t="s">
        <v>89</v>
      </c>
      <c r="B99" s="29" t="s">
        <v>1069</v>
      </c>
      <c r="C99" s="29" t="s">
        <v>90</v>
      </c>
      <c r="D99" s="29" t="s">
        <v>1070</v>
      </c>
      <c r="E99" s="29" t="s">
        <v>65</v>
      </c>
      <c r="F99" s="29" t="s">
        <v>1520</v>
      </c>
    </row>
    <row r="100" spans="1:6" ht="14.6" x14ac:dyDescent="0.4">
      <c r="A100" s="29" t="s">
        <v>89</v>
      </c>
      <c r="B100" s="29" t="s">
        <v>1097</v>
      </c>
      <c r="C100" s="29" t="s">
        <v>90</v>
      </c>
      <c r="D100" s="29" t="s">
        <v>1038</v>
      </c>
      <c r="E100" s="29" t="s">
        <v>65</v>
      </c>
      <c r="F100" s="29" t="s">
        <v>1520</v>
      </c>
    </row>
    <row r="101" spans="1:6" ht="14.6" x14ac:dyDescent="0.4">
      <c r="A101" s="29" t="s">
        <v>89</v>
      </c>
      <c r="B101" s="29" t="s">
        <v>1115</v>
      </c>
      <c r="C101" s="29" t="s">
        <v>90</v>
      </c>
      <c r="D101" s="29" t="s">
        <v>1047</v>
      </c>
      <c r="E101" s="29" t="s">
        <v>65</v>
      </c>
      <c r="F101" s="29" t="s">
        <v>1520</v>
      </c>
    </row>
    <row r="102" spans="1:6" ht="14.6" x14ac:dyDescent="0.4">
      <c r="A102" s="29" t="s">
        <v>89</v>
      </c>
      <c r="B102" s="29" t="s">
        <v>1121</v>
      </c>
      <c r="C102" s="29" t="s">
        <v>90</v>
      </c>
      <c r="D102" s="29" t="s">
        <v>1031</v>
      </c>
      <c r="E102" s="29" t="s">
        <v>65</v>
      </c>
      <c r="F102" s="29" t="s">
        <v>1520</v>
      </c>
    </row>
    <row r="103" spans="1:6" ht="14.6" x14ac:dyDescent="0.4">
      <c r="A103" s="29" t="s">
        <v>1069</v>
      </c>
      <c r="B103" s="29" t="s">
        <v>1115</v>
      </c>
      <c r="C103" s="29" t="s">
        <v>1070</v>
      </c>
      <c r="D103" s="29" t="s">
        <v>1047</v>
      </c>
      <c r="E103" s="29" t="s">
        <v>65</v>
      </c>
      <c r="F103" s="29" t="s">
        <v>1520</v>
      </c>
    </row>
    <row r="104" spans="1:6" ht="14.6" x14ac:dyDescent="0.4">
      <c r="A104" s="29" t="s">
        <v>1069</v>
      </c>
      <c r="B104" s="29" t="s">
        <v>1121</v>
      </c>
      <c r="C104" s="29" t="s">
        <v>1070</v>
      </c>
      <c r="D104" s="29" t="s">
        <v>1031</v>
      </c>
      <c r="E104" s="29" t="s">
        <v>65</v>
      </c>
      <c r="F104" s="29" t="s">
        <v>1520</v>
      </c>
    </row>
    <row r="105" spans="1:6" ht="14.6" x14ac:dyDescent="0.4">
      <c r="A105" s="29" t="s">
        <v>1097</v>
      </c>
      <c r="B105" s="29" t="s">
        <v>1115</v>
      </c>
      <c r="C105" s="29" t="s">
        <v>1038</v>
      </c>
      <c r="D105" s="29" t="s">
        <v>1047</v>
      </c>
      <c r="E105" s="29" t="s">
        <v>65</v>
      </c>
      <c r="F105" s="29" t="s">
        <v>1520</v>
      </c>
    </row>
    <row r="106" spans="1:6" ht="14.6" x14ac:dyDescent="0.4">
      <c r="A106" s="29" t="s">
        <v>1097</v>
      </c>
      <c r="B106" s="29" t="s">
        <v>1121</v>
      </c>
      <c r="C106" s="29" t="s">
        <v>1038</v>
      </c>
      <c r="D106" s="29" t="s">
        <v>1031</v>
      </c>
      <c r="E106" s="29" t="s">
        <v>65</v>
      </c>
      <c r="F106" s="29" t="s">
        <v>1520</v>
      </c>
    </row>
    <row r="107" spans="1:6" ht="14.6" x14ac:dyDescent="0.4">
      <c r="A107" s="29" t="s">
        <v>66</v>
      </c>
      <c r="B107" s="29" t="s">
        <v>81</v>
      </c>
      <c r="C107" s="29" t="s">
        <v>67</v>
      </c>
      <c r="D107" s="29" t="s">
        <v>82</v>
      </c>
      <c r="E107" s="29" t="s">
        <v>68</v>
      </c>
      <c r="F107" s="29" t="s">
        <v>1520</v>
      </c>
    </row>
    <row r="108" spans="1:6" ht="14.6" x14ac:dyDescent="0.4">
      <c r="A108" s="29" t="s">
        <v>66</v>
      </c>
      <c r="B108" s="29" t="s">
        <v>119</v>
      </c>
      <c r="C108" s="29" t="s">
        <v>67</v>
      </c>
      <c r="D108" s="29" t="s">
        <v>120</v>
      </c>
      <c r="E108" s="29" t="s">
        <v>68</v>
      </c>
      <c r="F108" s="29" t="s">
        <v>1520</v>
      </c>
    </row>
    <row r="109" spans="1:6" ht="14.6" x14ac:dyDescent="0.4">
      <c r="A109" s="29" t="s">
        <v>66</v>
      </c>
      <c r="B109" s="29" t="s">
        <v>134</v>
      </c>
      <c r="C109" s="29" t="s">
        <v>67</v>
      </c>
      <c r="D109" s="29" t="s">
        <v>135</v>
      </c>
      <c r="E109" s="29" t="s">
        <v>68</v>
      </c>
      <c r="F109" s="29" t="s">
        <v>1520</v>
      </c>
    </row>
    <row r="110" spans="1:6" ht="14.6" x14ac:dyDescent="0.4">
      <c r="A110" s="29" t="s">
        <v>66</v>
      </c>
      <c r="B110" s="29" t="s">
        <v>1052</v>
      </c>
      <c r="C110" s="29" t="s">
        <v>67</v>
      </c>
      <c r="D110" s="29" t="s">
        <v>1038</v>
      </c>
      <c r="E110" s="29" t="s">
        <v>68</v>
      </c>
      <c r="F110" s="29" t="s">
        <v>1520</v>
      </c>
    </row>
    <row r="111" spans="1:6" ht="14.6" x14ac:dyDescent="0.4">
      <c r="A111" s="29" t="s">
        <v>66</v>
      </c>
      <c r="B111" s="29" t="s">
        <v>1055</v>
      </c>
      <c r="C111" s="29" t="s">
        <v>67</v>
      </c>
      <c r="D111" s="29" t="s">
        <v>1029</v>
      </c>
      <c r="E111" s="29" t="s">
        <v>68</v>
      </c>
      <c r="F111" s="29" t="s">
        <v>1520</v>
      </c>
    </row>
    <row r="112" spans="1:6" ht="14.6" x14ac:dyDescent="0.4">
      <c r="A112" s="29" t="s">
        <v>66</v>
      </c>
      <c r="B112" s="29" t="s">
        <v>1073</v>
      </c>
      <c r="C112" s="29" t="s">
        <v>67</v>
      </c>
      <c r="D112" s="29" t="s">
        <v>1074</v>
      </c>
      <c r="E112" s="29" t="s">
        <v>68</v>
      </c>
      <c r="F112" s="29" t="s">
        <v>1520</v>
      </c>
    </row>
    <row r="113" spans="1:6" ht="14.6" x14ac:dyDescent="0.4">
      <c r="A113" s="29" t="s">
        <v>66</v>
      </c>
      <c r="B113" s="29" t="s">
        <v>1132</v>
      </c>
      <c r="C113" s="29" t="s">
        <v>67</v>
      </c>
      <c r="D113" s="29" t="s">
        <v>1051</v>
      </c>
      <c r="E113" s="29" t="s">
        <v>68</v>
      </c>
      <c r="F113" s="29" t="s">
        <v>1520</v>
      </c>
    </row>
    <row r="114" spans="1:6" ht="14.6" x14ac:dyDescent="0.4">
      <c r="A114" s="29" t="s">
        <v>81</v>
      </c>
      <c r="B114" s="29" t="s">
        <v>119</v>
      </c>
      <c r="C114" s="29" t="s">
        <v>82</v>
      </c>
      <c r="D114" s="29" t="s">
        <v>120</v>
      </c>
      <c r="E114" s="29" t="s">
        <v>68</v>
      </c>
      <c r="F114" s="29" t="s">
        <v>1520</v>
      </c>
    </row>
    <row r="115" spans="1:6" ht="14.6" x14ac:dyDescent="0.4">
      <c r="A115" s="29" t="s">
        <v>81</v>
      </c>
      <c r="B115" s="29" t="s">
        <v>134</v>
      </c>
      <c r="C115" s="29" t="s">
        <v>82</v>
      </c>
      <c r="D115" s="29" t="s">
        <v>135</v>
      </c>
      <c r="E115" s="29" t="s">
        <v>68</v>
      </c>
      <c r="F115" s="29" t="s">
        <v>1520</v>
      </c>
    </row>
    <row r="116" spans="1:6" ht="14.6" x14ac:dyDescent="0.4">
      <c r="A116" s="29" t="s">
        <v>81</v>
      </c>
      <c r="B116" s="29" t="s">
        <v>1052</v>
      </c>
      <c r="C116" s="29" t="s">
        <v>82</v>
      </c>
      <c r="D116" s="29" t="s">
        <v>1038</v>
      </c>
      <c r="E116" s="29" t="s">
        <v>68</v>
      </c>
      <c r="F116" s="29" t="s">
        <v>1520</v>
      </c>
    </row>
    <row r="117" spans="1:6" ht="14.6" x14ac:dyDescent="0.4">
      <c r="A117" s="29" t="s">
        <v>81</v>
      </c>
      <c r="B117" s="29" t="s">
        <v>1055</v>
      </c>
      <c r="C117" s="29" t="s">
        <v>82</v>
      </c>
      <c r="D117" s="29" t="s">
        <v>1029</v>
      </c>
      <c r="E117" s="29" t="s">
        <v>68</v>
      </c>
      <c r="F117" s="29" t="s">
        <v>1520</v>
      </c>
    </row>
    <row r="118" spans="1:6" ht="14.6" x14ac:dyDescent="0.4">
      <c r="A118" s="29" t="s">
        <v>81</v>
      </c>
      <c r="B118" s="29" t="s">
        <v>1073</v>
      </c>
      <c r="C118" s="29" t="s">
        <v>82</v>
      </c>
      <c r="D118" s="29" t="s">
        <v>1074</v>
      </c>
      <c r="E118" s="29" t="s">
        <v>68</v>
      </c>
      <c r="F118" s="29" t="s">
        <v>1520</v>
      </c>
    </row>
    <row r="119" spans="1:6" ht="14.6" x14ac:dyDescent="0.4">
      <c r="A119" s="29" t="s">
        <v>81</v>
      </c>
      <c r="B119" s="29" t="s">
        <v>1132</v>
      </c>
      <c r="C119" s="29" t="s">
        <v>82</v>
      </c>
      <c r="D119" s="29" t="s">
        <v>1051</v>
      </c>
      <c r="E119" s="29" t="s">
        <v>68</v>
      </c>
      <c r="F119" s="29" t="s">
        <v>1520</v>
      </c>
    </row>
    <row r="120" spans="1:6" ht="14.6" x14ac:dyDescent="0.4">
      <c r="A120" s="29" t="s">
        <v>119</v>
      </c>
      <c r="B120" s="29" t="s">
        <v>134</v>
      </c>
      <c r="C120" s="29" t="s">
        <v>120</v>
      </c>
      <c r="D120" s="29" t="s">
        <v>135</v>
      </c>
      <c r="E120" s="29" t="s">
        <v>68</v>
      </c>
      <c r="F120" s="29" t="s">
        <v>1520</v>
      </c>
    </row>
    <row r="121" spans="1:6" ht="14.6" x14ac:dyDescent="0.4">
      <c r="A121" s="29" t="s">
        <v>119</v>
      </c>
      <c r="B121" s="29" t="s">
        <v>1052</v>
      </c>
      <c r="C121" s="29" t="s">
        <v>120</v>
      </c>
      <c r="D121" s="29" t="s">
        <v>1038</v>
      </c>
      <c r="E121" s="29" t="s">
        <v>68</v>
      </c>
      <c r="F121" s="29" t="s">
        <v>1520</v>
      </c>
    </row>
    <row r="122" spans="1:6" ht="14.6" x14ac:dyDescent="0.4">
      <c r="A122" s="29" t="s">
        <v>119</v>
      </c>
      <c r="B122" s="29" t="s">
        <v>1055</v>
      </c>
      <c r="C122" s="29" t="s">
        <v>120</v>
      </c>
      <c r="D122" s="29" t="s">
        <v>1029</v>
      </c>
      <c r="E122" s="29" t="s">
        <v>68</v>
      </c>
      <c r="F122" s="29" t="s">
        <v>1520</v>
      </c>
    </row>
    <row r="123" spans="1:6" ht="14.6" x14ac:dyDescent="0.4">
      <c r="A123" s="29" t="s">
        <v>119</v>
      </c>
      <c r="B123" s="29" t="s">
        <v>1073</v>
      </c>
      <c r="C123" s="29" t="s">
        <v>120</v>
      </c>
      <c r="D123" s="29" t="s">
        <v>1074</v>
      </c>
      <c r="E123" s="29" t="s">
        <v>68</v>
      </c>
      <c r="F123" s="29" t="s">
        <v>1520</v>
      </c>
    </row>
    <row r="124" spans="1:6" ht="14.6" x14ac:dyDescent="0.4">
      <c r="A124" s="29" t="s">
        <v>119</v>
      </c>
      <c r="B124" s="29" t="s">
        <v>1132</v>
      </c>
      <c r="C124" s="29" t="s">
        <v>120</v>
      </c>
      <c r="D124" s="29" t="s">
        <v>1051</v>
      </c>
      <c r="E124" s="29" t="s">
        <v>68</v>
      </c>
      <c r="F124" s="29" t="s">
        <v>1520</v>
      </c>
    </row>
    <row r="125" spans="1:6" ht="14.6" x14ac:dyDescent="0.4">
      <c r="A125" s="29" t="s">
        <v>134</v>
      </c>
      <c r="B125" s="29" t="s">
        <v>1052</v>
      </c>
      <c r="C125" s="29" t="s">
        <v>135</v>
      </c>
      <c r="D125" s="29" t="s">
        <v>1038</v>
      </c>
      <c r="E125" s="29" t="s">
        <v>68</v>
      </c>
      <c r="F125" s="29" t="s">
        <v>1520</v>
      </c>
    </row>
    <row r="126" spans="1:6" ht="14.6" x14ac:dyDescent="0.4">
      <c r="A126" s="29" t="s">
        <v>134</v>
      </c>
      <c r="B126" s="29" t="s">
        <v>1055</v>
      </c>
      <c r="C126" s="29" t="s">
        <v>135</v>
      </c>
      <c r="D126" s="29" t="s">
        <v>1029</v>
      </c>
      <c r="E126" s="29" t="s">
        <v>68</v>
      </c>
      <c r="F126" s="29" t="s">
        <v>1520</v>
      </c>
    </row>
    <row r="127" spans="1:6" ht="14.6" x14ac:dyDescent="0.4">
      <c r="A127" s="29" t="s">
        <v>134</v>
      </c>
      <c r="B127" s="29" t="s">
        <v>1073</v>
      </c>
      <c r="C127" s="29" t="s">
        <v>135</v>
      </c>
      <c r="D127" s="29" t="s">
        <v>1074</v>
      </c>
      <c r="E127" s="29" t="s">
        <v>68</v>
      </c>
      <c r="F127" s="29" t="s">
        <v>1520</v>
      </c>
    </row>
    <row r="128" spans="1:6" ht="14.6" x14ac:dyDescent="0.4">
      <c r="A128" s="29" t="s">
        <v>134</v>
      </c>
      <c r="B128" s="29" t="s">
        <v>1132</v>
      </c>
      <c r="C128" s="29" t="s">
        <v>135</v>
      </c>
      <c r="D128" s="29" t="s">
        <v>1051</v>
      </c>
      <c r="E128" s="29" t="s">
        <v>68</v>
      </c>
      <c r="F128" s="29" t="s">
        <v>1520</v>
      </c>
    </row>
    <row r="129" spans="1:6" ht="14.6" x14ac:dyDescent="0.4">
      <c r="A129" s="29" t="s">
        <v>1052</v>
      </c>
      <c r="B129" s="29" t="s">
        <v>1055</v>
      </c>
      <c r="C129" s="29" t="s">
        <v>1038</v>
      </c>
      <c r="D129" s="29" t="s">
        <v>1029</v>
      </c>
      <c r="E129" s="29" t="s">
        <v>68</v>
      </c>
      <c r="F129" s="29" t="s">
        <v>1520</v>
      </c>
    </row>
    <row r="130" spans="1:6" ht="14.6" x14ac:dyDescent="0.4">
      <c r="A130" s="29" t="s">
        <v>1052</v>
      </c>
      <c r="B130" s="29" t="s">
        <v>1073</v>
      </c>
      <c r="C130" s="29" t="s">
        <v>1038</v>
      </c>
      <c r="D130" s="29" t="s">
        <v>1074</v>
      </c>
      <c r="E130" s="29" t="s">
        <v>68</v>
      </c>
      <c r="F130" s="29" t="s">
        <v>1522</v>
      </c>
    </row>
    <row r="131" spans="1:6" ht="14.6" x14ac:dyDescent="0.4">
      <c r="A131" s="29" t="s">
        <v>1052</v>
      </c>
      <c r="B131" s="29" t="s">
        <v>1132</v>
      </c>
      <c r="C131" s="29" t="s">
        <v>1038</v>
      </c>
      <c r="D131" s="29" t="s">
        <v>1051</v>
      </c>
      <c r="E131" s="29" t="s">
        <v>68</v>
      </c>
      <c r="F131" s="29" t="s">
        <v>1520</v>
      </c>
    </row>
    <row r="132" spans="1:6" ht="14.6" x14ac:dyDescent="0.4">
      <c r="A132" s="29" t="s">
        <v>1055</v>
      </c>
      <c r="B132" s="29" t="s">
        <v>1073</v>
      </c>
      <c r="C132" s="29" t="s">
        <v>1029</v>
      </c>
      <c r="D132" s="29" t="s">
        <v>1074</v>
      </c>
      <c r="E132" s="29" t="s">
        <v>68</v>
      </c>
      <c r="F132" s="29" t="s">
        <v>1520</v>
      </c>
    </row>
    <row r="133" spans="1:6" ht="14.6" x14ac:dyDescent="0.4">
      <c r="A133" s="29" t="s">
        <v>1055</v>
      </c>
      <c r="B133" s="29" t="s">
        <v>1132</v>
      </c>
      <c r="C133" s="29" t="s">
        <v>1029</v>
      </c>
      <c r="D133" s="29" t="s">
        <v>1051</v>
      </c>
      <c r="E133" s="29" t="s">
        <v>68</v>
      </c>
      <c r="F133" s="29" t="s">
        <v>1522</v>
      </c>
    </row>
    <row r="134" spans="1:6" ht="14.6" x14ac:dyDescent="0.4">
      <c r="A134" s="29" t="s">
        <v>1073</v>
      </c>
      <c r="B134" s="29" t="s">
        <v>1132</v>
      </c>
      <c r="C134" s="29" t="s">
        <v>1074</v>
      </c>
      <c r="D134" s="29" t="s">
        <v>1051</v>
      </c>
      <c r="E134" s="29" t="s">
        <v>68</v>
      </c>
      <c r="F134" s="29" t="s">
        <v>1520</v>
      </c>
    </row>
    <row r="135" spans="1:6" ht="14.6" x14ac:dyDescent="0.4">
      <c r="A135" s="29" t="s">
        <v>1136</v>
      </c>
      <c r="B135" s="29" t="s">
        <v>1137</v>
      </c>
      <c r="C135" s="29" t="s">
        <v>1074</v>
      </c>
      <c r="D135" s="29" t="s">
        <v>1033</v>
      </c>
      <c r="E135" s="29" t="s">
        <v>15</v>
      </c>
      <c r="F135" s="29" t="s">
        <v>1522</v>
      </c>
    </row>
    <row r="136" spans="1:6" ht="14.6" x14ac:dyDescent="0.4">
      <c r="A136" s="29" t="s">
        <v>13</v>
      </c>
      <c r="B136" s="29" t="s">
        <v>25</v>
      </c>
      <c r="C136" s="29" t="s">
        <v>14</v>
      </c>
      <c r="D136" s="29" t="s">
        <v>26</v>
      </c>
      <c r="E136" s="29" t="s">
        <v>15</v>
      </c>
      <c r="F136" s="29" t="s">
        <v>1520</v>
      </c>
    </row>
    <row r="137" spans="1:6" ht="14.6" x14ac:dyDescent="0.4">
      <c r="A137" s="29" t="s">
        <v>13</v>
      </c>
      <c r="B137" s="29" t="s">
        <v>39</v>
      </c>
      <c r="C137" s="29" t="s">
        <v>14</v>
      </c>
      <c r="D137" s="29" t="s">
        <v>40</v>
      </c>
      <c r="E137" s="29" t="s">
        <v>15</v>
      </c>
      <c r="F137" s="29" t="s">
        <v>1520</v>
      </c>
    </row>
    <row r="138" spans="1:6" ht="14.6" x14ac:dyDescent="0.4">
      <c r="A138" s="29" t="s">
        <v>13</v>
      </c>
      <c r="B138" s="29" t="s">
        <v>43</v>
      </c>
      <c r="C138" s="29" t="s">
        <v>14</v>
      </c>
      <c r="D138" s="29" t="s">
        <v>44</v>
      </c>
      <c r="E138" s="29" t="s">
        <v>15</v>
      </c>
      <c r="F138" s="29" t="s">
        <v>1520</v>
      </c>
    </row>
    <row r="139" spans="1:6" ht="14.6" x14ac:dyDescent="0.4">
      <c r="A139" s="29" t="s">
        <v>13</v>
      </c>
      <c r="B139" s="29" t="s">
        <v>1136</v>
      </c>
      <c r="C139" s="29" t="s">
        <v>14</v>
      </c>
      <c r="D139" s="29" t="s">
        <v>1074</v>
      </c>
      <c r="E139" s="29" t="s">
        <v>15</v>
      </c>
      <c r="F139" s="29" t="s">
        <v>1520</v>
      </c>
    </row>
    <row r="140" spans="1:6" ht="14.6" x14ac:dyDescent="0.4">
      <c r="A140" s="29" t="s">
        <v>13</v>
      </c>
      <c r="B140" s="29" t="s">
        <v>1137</v>
      </c>
      <c r="C140" s="29" t="s">
        <v>14</v>
      </c>
      <c r="D140" s="29" t="s">
        <v>1033</v>
      </c>
      <c r="E140" s="29" t="s">
        <v>15</v>
      </c>
      <c r="F140" s="29" t="s">
        <v>1520</v>
      </c>
    </row>
    <row r="141" spans="1:6" ht="14.6" x14ac:dyDescent="0.4">
      <c r="A141" s="29" t="s">
        <v>13</v>
      </c>
      <c r="B141" s="29" t="s">
        <v>1155</v>
      </c>
      <c r="C141" s="29" t="s">
        <v>14</v>
      </c>
      <c r="D141" s="29" t="s">
        <v>1156</v>
      </c>
      <c r="E141" s="29" t="s">
        <v>15</v>
      </c>
      <c r="F141" s="29" t="s">
        <v>1520</v>
      </c>
    </row>
    <row r="142" spans="1:6" ht="14.6" x14ac:dyDescent="0.4">
      <c r="A142" s="29" t="s">
        <v>13</v>
      </c>
      <c r="B142" s="29" t="s">
        <v>1163</v>
      </c>
      <c r="C142" s="29" t="s">
        <v>14</v>
      </c>
      <c r="D142" s="29" t="s">
        <v>1156</v>
      </c>
      <c r="E142" s="29" t="s">
        <v>15</v>
      </c>
      <c r="F142" s="29" t="s">
        <v>1520</v>
      </c>
    </row>
    <row r="143" spans="1:6" ht="14.6" x14ac:dyDescent="0.4">
      <c r="A143" s="29" t="s">
        <v>25</v>
      </c>
      <c r="B143" s="29" t="s">
        <v>39</v>
      </c>
      <c r="C143" s="29" t="s">
        <v>26</v>
      </c>
      <c r="D143" s="29" t="s">
        <v>40</v>
      </c>
      <c r="E143" s="29" t="s">
        <v>15</v>
      </c>
      <c r="F143" s="29" t="s">
        <v>1520</v>
      </c>
    </row>
    <row r="144" spans="1:6" ht="14.6" x14ac:dyDescent="0.4">
      <c r="A144" s="29" t="s">
        <v>25</v>
      </c>
      <c r="B144" s="29" t="s">
        <v>43</v>
      </c>
      <c r="C144" s="29" t="s">
        <v>26</v>
      </c>
      <c r="D144" s="29" t="s">
        <v>44</v>
      </c>
      <c r="E144" s="29" t="s">
        <v>15</v>
      </c>
      <c r="F144" s="29" t="s">
        <v>1520</v>
      </c>
    </row>
    <row r="145" spans="1:6" ht="14.6" x14ac:dyDescent="0.4">
      <c r="A145" s="29" t="s">
        <v>25</v>
      </c>
      <c r="B145" s="29" t="s">
        <v>1136</v>
      </c>
      <c r="C145" s="29" t="s">
        <v>26</v>
      </c>
      <c r="D145" s="29" t="s">
        <v>1074</v>
      </c>
      <c r="E145" s="29" t="s">
        <v>15</v>
      </c>
      <c r="F145" s="29" t="s">
        <v>1520</v>
      </c>
    </row>
    <row r="146" spans="1:6" ht="14.6" x14ac:dyDescent="0.4">
      <c r="A146" s="29" t="s">
        <v>25</v>
      </c>
      <c r="B146" s="29" t="s">
        <v>1137</v>
      </c>
      <c r="C146" s="29" t="s">
        <v>26</v>
      </c>
      <c r="D146" s="29" t="s">
        <v>1033</v>
      </c>
      <c r="E146" s="29" t="s">
        <v>15</v>
      </c>
      <c r="F146" s="29" t="s">
        <v>1520</v>
      </c>
    </row>
    <row r="147" spans="1:6" ht="14.6" x14ac:dyDescent="0.4">
      <c r="A147" s="29" t="s">
        <v>25</v>
      </c>
      <c r="B147" s="29" t="s">
        <v>1155</v>
      </c>
      <c r="C147" s="29" t="s">
        <v>26</v>
      </c>
      <c r="D147" s="29" t="s">
        <v>1156</v>
      </c>
      <c r="E147" s="29" t="s">
        <v>15</v>
      </c>
      <c r="F147" s="29" t="s">
        <v>1520</v>
      </c>
    </row>
    <row r="148" spans="1:6" ht="14.6" x14ac:dyDescent="0.4">
      <c r="A148" s="29" t="s">
        <v>25</v>
      </c>
      <c r="B148" s="29" t="s">
        <v>1163</v>
      </c>
      <c r="C148" s="29" t="s">
        <v>26</v>
      </c>
      <c r="D148" s="29" t="s">
        <v>1156</v>
      </c>
      <c r="E148" s="29" t="s">
        <v>15</v>
      </c>
      <c r="F148" s="29" t="s">
        <v>1520</v>
      </c>
    </row>
    <row r="149" spans="1:6" ht="14.6" x14ac:dyDescent="0.4">
      <c r="A149" s="29" t="s">
        <v>39</v>
      </c>
      <c r="B149" s="29" t="s">
        <v>43</v>
      </c>
      <c r="C149" s="29" t="s">
        <v>40</v>
      </c>
      <c r="D149" s="29" t="s">
        <v>44</v>
      </c>
      <c r="E149" s="29" t="s">
        <v>15</v>
      </c>
      <c r="F149" s="29" t="s">
        <v>1520</v>
      </c>
    </row>
    <row r="150" spans="1:6" ht="14.6" x14ac:dyDescent="0.4">
      <c r="A150" s="29" t="s">
        <v>39</v>
      </c>
      <c r="B150" s="29" t="s">
        <v>1136</v>
      </c>
      <c r="C150" s="29" t="s">
        <v>40</v>
      </c>
      <c r="D150" s="29" t="s">
        <v>1074</v>
      </c>
      <c r="E150" s="29" t="s">
        <v>15</v>
      </c>
      <c r="F150" s="29" t="s">
        <v>1520</v>
      </c>
    </row>
    <row r="151" spans="1:6" ht="14.6" x14ac:dyDescent="0.4">
      <c r="A151" s="29" t="s">
        <v>39</v>
      </c>
      <c r="B151" s="29" t="s">
        <v>1137</v>
      </c>
      <c r="C151" s="29" t="s">
        <v>40</v>
      </c>
      <c r="D151" s="29" t="s">
        <v>1033</v>
      </c>
      <c r="E151" s="29" t="s">
        <v>15</v>
      </c>
      <c r="F151" s="29" t="s">
        <v>1520</v>
      </c>
    </row>
    <row r="152" spans="1:6" ht="14.6" x14ac:dyDescent="0.4">
      <c r="A152" s="29" t="s">
        <v>39</v>
      </c>
      <c r="B152" s="29" t="s">
        <v>1155</v>
      </c>
      <c r="C152" s="29" t="s">
        <v>40</v>
      </c>
      <c r="D152" s="29" t="s">
        <v>1156</v>
      </c>
      <c r="E152" s="29" t="s">
        <v>15</v>
      </c>
      <c r="F152" s="29" t="s">
        <v>1520</v>
      </c>
    </row>
    <row r="153" spans="1:6" ht="14.6" x14ac:dyDescent="0.4">
      <c r="A153" s="29" t="s">
        <v>39</v>
      </c>
      <c r="B153" s="29" t="s">
        <v>1163</v>
      </c>
      <c r="C153" s="29" t="s">
        <v>40</v>
      </c>
      <c r="D153" s="29" t="s">
        <v>1156</v>
      </c>
      <c r="E153" s="29" t="s">
        <v>15</v>
      </c>
      <c r="F153" s="29" t="s">
        <v>1520</v>
      </c>
    </row>
    <row r="154" spans="1:6" ht="14.6" x14ac:dyDescent="0.4">
      <c r="A154" s="29" t="s">
        <v>43</v>
      </c>
      <c r="B154" s="29" t="s">
        <v>1136</v>
      </c>
      <c r="C154" s="29" t="s">
        <v>44</v>
      </c>
      <c r="D154" s="29" t="s">
        <v>1074</v>
      </c>
      <c r="E154" s="29" t="s">
        <v>15</v>
      </c>
      <c r="F154" s="29" t="s">
        <v>1520</v>
      </c>
    </row>
    <row r="155" spans="1:6" ht="14.6" x14ac:dyDescent="0.4">
      <c r="A155" s="29" t="s">
        <v>43</v>
      </c>
      <c r="B155" s="29" t="s">
        <v>1137</v>
      </c>
      <c r="C155" s="29" t="s">
        <v>44</v>
      </c>
      <c r="D155" s="29" t="s">
        <v>1033</v>
      </c>
      <c r="E155" s="29" t="s">
        <v>15</v>
      </c>
      <c r="F155" s="29" t="s">
        <v>1520</v>
      </c>
    </row>
    <row r="156" spans="1:6" ht="14.6" x14ac:dyDescent="0.4">
      <c r="A156" s="29" t="s">
        <v>43</v>
      </c>
      <c r="B156" s="29" t="s">
        <v>1155</v>
      </c>
      <c r="C156" s="29" t="s">
        <v>44</v>
      </c>
      <c r="D156" s="29" t="s">
        <v>1156</v>
      </c>
      <c r="E156" s="29" t="s">
        <v>15</v>
      </c>
      <c r="F156" s="29" t="s">
        <v>1520</v>
      </c>
    </row>
    <row r="157" spans="1:6" ht="14.6" x14ac:dyDescent="0.4">
      <c r="A157" s="29" t="s">
        <v>43</v>
      </c>
      <c r="B157" s="29" t="s">
        <v>1163</v>
      </c>
      <c r="C157" s="29" t="s">
        <v>44</v>
      </c>
      <c r="D157" s="29" t="s">
        <v>1156</v>
      </c>
      <c r="E157" s="29" t="s">
        <v>15</v>
      </c>
      <c r="F157" s="29" t="s">
        <v>1520</v>
      </c>
    </row>
    <row r="158" spans="1:6" ht="14.6" x14ac:dyDescent="0.4">
      <c r="A158" s="29" t="s">
        <v>1136</v>
      </c>
      <c r="B158" s="29" t="s">
        <v>1155</v>
      </c>
      <c r="C158" s="29" t="s">
        <v>1074</v>
      </c>
      <c r="D158" s="29" t="s">
        <v>1156</v>
      </c>
      <c r="E158" s="29" t="s">
        <v>15</v>
      </c>
      <c r="F158" s="29" t="s">
        <v>1520</v>
      </c>
    </row>
    <row r="159" spans="1:6" ht="14.6" x14ac:dyDescent="0.4">
      <c r="A159" s="29" t="s">
        <v>1136</v>
      </c>
      <c r="B159" s="29" t="s">
        <v>1163</v>
      </c>
      <c r="C159" s="29" t="s">
        <v>1074</v>
      </c>
      <c r="D159" s="29" t="s">
        <v>1156</v>
      </c>
      <c r="E159" s="29" t="s">
        <v>15</v>
      </c>
      <c r="F159" s="29" t="s">
        <v>1520</v>
      </c>
    </row>
    <row r="160" spans="1:6" ht="14.6" x14ac:dyDescent="0.4">
      <c r="A160" s="29" t="s">
        <v>1137</v>
      </c>
      <c r="B160" s="29" t="s">
        <v>1155</v>
      </c>
      <c r="C160" s="29" t="s">
        <v>1033</v>
      </c>
      <c r="D160" s="29" t="s">
        <v>1156</v>
      </c>
      <c r="E160" s="29" t="s">
        <v>15</v>
      </c>
      <c r="F160" s="29" t="s">
        <v>1520</v>
      </c>
    </row>
    <row r="161" spans="1:6" ht="14.6" x14ac:dyDescent="0.4">
      <c r="A161" s="29" t="s">
        <v>1137</v>
      </c>
      <c r="B161" s="29" t="s">
        <v>1163</v>
      </c>
      <c r="C161" s="29" t="s">
        <v>1033</v>
      </c>
      <c r="D161" s="29" t="s">
        <v>1156</v>
      </c>
      <c r="E161" s="29" t="s">
        <v>15</v>
      </c>
      <c r="F161" s="29" t="s">
        <v>1520</v>
      </c>
    </row>
    <row r="162" spans="1:6" ht="14.6" x14ac:dyDescent="0.4">
      <c r="A162" s="29" t="s">
        <v>1155</v>
      </c>
      <c r="B162" s="29" t="s">
        <v>1163</v>
      </c>
      <c r="C162" s="29" t="s">
        <v>1156</v>
      </c>
      <c r="D162" s="29" t="s">
        <v>1156</v>
      </c>
      <c r="E162" s="29" t="s">
        <v>15</v>
      </c>
      <c r="F162" s="29" t="s">
        <v>1520</v>
      </c>
    </row>
    <row r="163" spans="1:6" ht="14.6" x14ac:dyDescent="0.4">
      <c r="A163" s="29" t="s">
        <v>1358</v>
      </c>
      <c r="B163" s="29" t="s">
        <v>1403</v>
      </c>
      <c r="C163" s="29" t="s">
        <v>1359</v>
      </c>
      <c r="D163" s="29" t="s">
        <v>1345</v>
      </c>
      <c r="E163" s="29" t="s">
        <v>24</v>
      </c>
      <c r="F163" s="29" t="s">
        <v>1522</v>
      </c>
    </row>
    <row r="164" spans="1:6" ht="14.6" x14ac:dyDescent="0.4">
      <c r="A164" s="29" t="s">
        <v>1398</v>
      </c>
      <c r="B164" s="29" t="s">
        <v>1403</v>
      </c>
      <c r="C164" s="29" t="s">
        <v>1359</v>
      </c>
      <c r="D164" s="29" t="s">
        <v>1345</v>
      </c>
      <c r="E164" s="29" t="s">
        <v>24</v>
      </c>
      <c r="F164" s="29" t="s">
        <v>1522</v>
      </c>
    </row>
    <row r="165" spans="1:6" ht="14.6" x14ac:dyDescent="0.4">
      <c r="A165" s="29" t="s">
        <v>22</v>
      </c>
      <c r="B165" s="29" t="s">
        <v>85</v>
      </c>
      <c r="C165" s="29" t="s">
        <v>23</v>
      </c>
      <c r="D165" s="29" t="s">
        <v>86</v>
      </c>
      <c r="E165" s="29" t="s">
        <v>24</v>
      </c>
      <c r="F165" s="29" t="s">
        <v>1520</v>
      </c>
    </row>
    <row r="166" spans="1:6" ht="14.6" x14ac:dyDescent="0.4">
      <c r="A166" s="29" t="s">
        <v>22</v>
      </c>
      <c r="B166" s="29" t="s">
        <v>196</v>
      </c>
      <c r="C166" s="29" t="s">
        <v>23</v>
      </c>
      <c r="D166" s="29" t="s">
        <v>197</v>
      </c>
      <c r="E166" s="29" t="s">
        <v>24</v>
      </c>
      <c r="F166" s="29" t="s">
        <v>1520</v>
      </c>
    </row>
    <row r="167" spans="1:6" ht="14.6" x14ac:dyDescent="0.4">
      <c r="A167" s="29" t="s">
        <v>22</v>
      </c>
      <c r="B167" s="29" t="s">
        <v>1368</v>
      </c>
      <c r="C167" s="29" t="s">
        <v>23</v>
      </c>
      <c r="D167" s="29" t="s">
        <v>1355</v>
      </c>
      <c r="E167" s="29" t="s">
        <v>24</v>
      </c>
      <c r="F167" s="29" t="s">
        <v>1520</v>
      </c>
    </row>
    <row r="168" spans="1:6" ht="14.6" x14ac:dyDescent="0.4">
      <c r="A168" s="29" t="s">
        <v>22</v>
      </c>
      <c r="B168" s="29" t="s">
        <v>1358</v>
      </c>
      <c r="C168" s="29" t="s">
        <v>23</v>
      </c>
      <c r="D168" s="29" t="s">
        <v>1359</v>
      </c>
      <c r="E168" s="29" t="s">
        <v>24</v>
      </c>
      <c r="F168" s="29" t="s">
        <v>1520</v>
      </c>
    </row>
    <row r="169" spans="1:6" ht="14.6" x14ac:dyDescent="0.4">
      <c r="A169" s="29" t="s">
        <v>22</v>
      </c>
      <c r="B169" s="29" t="s">
        <v>1398</v>
      </c>
      <c r="C169" s="29" t="s">
        <v>23</v>
      </c>
      <c r="D169" s="29" t="s">
        <v>1359</v>
      </c>
      <c r="E169" s="29" t="s">
        <v>24</v>
      </c>
      <c r="F169" s="29" t="s">
        <v>1520</v>
      </c>
    </row>
    <row r="170" spans="1:6" ht="14.6" x14ac:dyDescent="0.4">
      <c r="A170" s="29" t="s">
        <v>22</v>
      </c>
      <c r="B170" s="29" t="s">
        <v>1403</v>
      </c>
      <c r="C170" s="29" t="s">
        <v>23</v>
      </c>
      <c r="D170" s="29" t="s">
        <v>1345</v>
      </c>
      <c r="E170" s="29" t="s">
        <v>24</v>
      </c>
      <c r="F170" s="29" t="s">
        <v>1520</v>
      </c>
    </row>
    <row r="171" spans="1:6" ht="14.6" x14ac:dyDescent="0.4">
      <c r="A171" s="29" t="s">
        <v>85</v>
      </c>
      <c r="B171" s="29" t="s">
        <v>196</v>
      </c>
      <c r="C171" s="29" t="s">
        <v>86</v>
      </c>
      <c r="D171" s="29" t="s">
        <v>197</v>
      </c>
      <c r="E171" s="29" t="s">
        <v>24</v>
      </c>
      <c r="F171" s="29" t="s">
        <v>1520</v>
      </c>
    </row>
    <row r="172" spans="1:6" ht="14.6" x14ac:dyDescent="0.4">
      <c r="A172" s="29" t="s">
        <v>85</v>
      </c>
      <c r="B172" s="29" t="s">
        <v>1368</v>
      </c>
      <c r="C172" s="29" t="s">
        <v>86</v>
      </c>
      <c r="D172" s="29" t="s">
        <v>1355</v>
      </c>
      <c r="E172" s="29" t="s">
        <v>24</v>
      </c>
      <c r="F172" s="29" t="s">
        <v>1520</v>
      </c>
    </row>
    <row r="173" spans="1:6" ht="14.6" x14ac:dyDescent="0.4">
      <c r="A173" s="29" t="s">
        <v>85</v>
      </c>
      <c r="B173" s="29" t="s">
        <v>1358</v>
      </c>
      <c r="C173" s="29" t="s">
        <v>86</v>
      </c>
      <c r="D173" s="29" t="s">
        <v>1359</v>
      </c>
      <c r="E173" s="29" t="s">
        <v>24</v>
      </c>
      <c r="F173" s="29" t="s">
        <v>1520</v>
      </c>
    </row>
    <row r="174" spans="1:6" ht="14.6" x14ac:dyDescent="0.4">
      <c r="A174" s="29" t="s">
        <v>85</v>
      </c>
      <c r="B174" s="29" t="s">
        <v>1398</v>
      </c>
      <c r="C174" s="29" t="s">
        <v>86</v>
      </c>
      <c r="D174" s="29" t="s">
        <v>1359</v>
      </c>
      <c r="E174" s="29" t="s">
        <v>24</v>
      </c>
      <c r="F174" s="29" t="s">
        <v>1520</v>
      </c>
    </row>
    <row r="175" spans="1:6" ht="14.6" x14ac:dyDescent="0.4">
      <c r="A175" s="29" t="s">
        <v>85</v>
      </c>
      <c r="B175" s="29" t="s">
        <v>1403</v>
      </c>
      <c r="C175" s="29" t="s">
        <v>86</v>
      </c>
      <c r="D175" s="29" t="s">
        <v>1345</v>
      </c>
      <c r="E175" s="29" t="s">
        <v>24</v>
      </c>
      <c r="F175" s="29" t="s">
        <v>1520</v>
      </c>
    </row>
    <row r="176" spans="1:6" ht="14.6" x14ac:dyDescent="0.4">
      <c r="A176" s="29" t="s">
        <v>196</v>
      </c>
      <c r="B176" s="29" t="s">
        <v>1368</v>
      </c>
      <c r="C176" s="29" t="s">
        <v>197</v>
      </c>
      <c r="D176" s="29" t="s">
        <v>1355</v>
      </c>
      <c r="E176" s="29" t="s">
        <v>24</v>
      </c>
      <c r="F176" s="29" t="s">
        <v>1520</v>
      </c>
    </row>
    <row r="177" spans="1:6" ht="14.6" x14ac:dyDescent="0.4">
      <c r="A177" s="29" t="s">
        <v>196</v>
      </c>
      <c r="B177" s="29" t="s">
        <v>1358</v>
      </c>
      <c r="C177" s="29" t="s">
        <v>197</v>
      </c>
      <c r="D177" s="29" t="s">
        <v>1359</v>
      </c>
      <c r="E177" s="29" t="s">
        <v>24</v>
      </c>
      <c r="F177" s="29" t="s">
        <v>1520</v>
      </c>
    </row>
    <row r="178" spans="1:6" ht="14.6" x14ac:dyDescent="0.4">
      <c r="A178" s="29" t="s">
        <v>196</v>
      </c>
      <c r="B178" s="29" t="s">
        <v>1398</v>
      </c>
      <c r="C178" s="29" t="s">
        <v>197</v>
      </c>
      <c r="D178" s="29" t="s">
        <v>1359</v>
      </c>
      <c r="E178" s="29" t="s">
        <v>24</v>
      </c>
      <c r="F178" s="29" t="s">
        <v>1520</v>
      </c>
    </row>
    <row r="179" spans="1:6" ht="14.6" x14ac:dyDescent="0.4">
      <c r="A179" s="29" t="s">
        <v>196</v>
      </c>
      <c r="B179" s="29" t="s">
        <v>1403</v>
      </c>
      <c r="C179" s="29" t="s">
        <v>197</v>
      </c>
      <c r="D179" s="29" t="s">
        <v>1345</v>
      </c>
      <c r="E179" s="29" t="s">
        <v>24</v>
      </c>
      <c r="F179" s="29" t="s">
        <v>1520</v>
      </c>
    </row>
    <row r="180" spans="1:6" ht="14.6" x14ac:dyDescent="0.4">
      <c r="A180" s="29" t="s">
        <v>1368</v>
      </c>
      <c r="B180" s="29" t="s">
        <v>1358</v>
      </c>
      <c r="C180" s="29" t="s">
        <v>1355</v>
      </c>
      <c r="D180" s="29" t="s">
        <v>1359</v>
      </c>
      <c r="E180" s="29" t="s">
        <v>24</v>
      </c>
      <c r="F180" s="29" t="s">
        <v>1520</v>
      </c>
    </row>
    <row r="181" spans="1:6" ht="14.6" x14ac:dyDescent="0.4">
      <c r="A181" s="29" t="s">
        <v>1368</v>
      </c>
      <c r="B181" s="29" t="s">
        <v>1398</v>
      </c>
      <c r="C181" s="29" t="s">
        <v>1355</v>
      </c>
      <c r="D181" s="29" t="s">
        <v>1359</v>
      </c>
      <c r="E181" s="29" t="s">
        <v>24</v>
      </c>
      <c r="F181" s="29" t="s">
        <v>1520</v>
      </c>
    </row>
    <row r="182" spans="1:6" ht="14.6" x14ac:dyDescent="0.4">
      <c r="A182" s="29" t="s">
        <v>1368</v>
      </c>
      <c r="B182" s="29" t="s">
        <v>1403</v>
      </c>
      <c r="C182" s="29" t="s">
        <v>1355</v>
      </c>
      <c r="D182" s="29" t="s">
        <v>1345</v>
      </c>
      <c r="E182" s="29" t="s">
        <v>24</v>
      </c>
      <c r="F182" s="29" t="s">
        <v>1520</v>
      </c>
    </row>
    <row r="183" spans="1:6" ht="14.6" x14ac:dyDescent="0.4">
      <c r="A183" s="29" t="s">
        <v>1358</v>
      </c>
      <c r="B183" s="29" t="s">
        <v>1398</v>
      </c>
      <c r="C183" s="29" t="s">
        <v>1359</v>
      </c>
      <c r="D183" s="29" t="s">
        <v>1359</v>
      </c>
      <c r="E183" s="29" t="s">
        <v>24</v>
      </c>
      <c r="F183" s="29" t="s">
        <v>1520</v>
      </c>
    </row>
    <row r="184" spans="1:6" ht="14.6" x14ac:dyDescent="0.4">
      <c r="A184" s="29" t="s">
        <v>1370</v>
      </c>
      <c r="B184" s="29" t="s">
        <v>1380</v>
      </c>
      <c r="C184" s="29" t="s">
        <v>1359</v>
      </c>
      <c r="D184" s="29" t="s">
        <v>1353</v>
      </c>
      <c r="E184" s="29" t="s">
        <v>52</v>
      </c>
      <c r="F184" s="29" t="s">
        <v>1522</v>
      </c>
    </row>
    <row r="185" spans="1:6" ht="14.6" x14ac:dyDescent="0.4">
      <c r="A185" s="29" t="s">
        <v>1370</v>
      </c>
      <c r="B185" s="29" t="s">
        <v>1399</v>
      </c>
      <c r="C185" s="29" t="s">
        <v>1359</v>
      </c>
      <c r="D185" s="29" t="s">
        <v>1351</v>
      </c>
      <c r="E185" s="29" t="s">
        <v>52</v>
      </c>
      <c r="F185" s="29" t="s">
        <v>1522</v>
      </c>
    </row>
    <row r="186" spans="1:6" ht="14.6" x14ac:dyDescent="0.4">
      <c r="A186" s="29" t="s">
        <v>1380</v>
      </c>
      <c r="B186" s="29" t="s">
        <v>1399</v>
      </c>
      <c r="C186" s="29" t="s">
        <v>1353</v>
      </c>
      <c r="D186" s="29" t="s">
        <v>1351</v>
      </c>
      <c r="E186" s="29" t="s">
        <v>52</v>
      </c>
      <c r="F186" s="29" t="s">
        <v>1522</v>
      </c>
    </row>
    <row r="187" spans="1:6" ht="14.6" x14ac:dyDescent="0.4">
      <c r="A187" s="29" t="s">
        <v>51</v>
      </c>
      <c r="B187" s="29" t="s">
        <v>102</v>
      </c>
      <c r="C187" s="29" t="s">
        <v>46</v>
      </c>
      <c r="D187" s="29" t="s">
        <v>103</v>
      </c>
      <c r="E187" s="29" t="s">
        <v>52</v>
      </c>
      <c r="F187" s="29" t="s">
        <v>1520</v>
      </c>
    </row>
    <row r="188" spans="1:6" ht="14.6" x14ac:dyDescent="0.4">
      <c r="A188" s="29" t="s">
        <v>51</v>
      </c>
      <c r="B188" s="29" t="s">
        <v>155</v>
      </c>
      <c r="C188" s="29" t="s">
        <v>46</v>
      </c>
      <c r="D188" s="29" t="s">
        <v>156</v>
      </c>
      <c r="E188" s="29" t="s">
        <v>52</v>
      </c>
      <c r="F188" s="29" t="s">
        <v>1520</v>
      </c>
    </row>
    <row r="189" spans="1:6" ht="14.6" x14ac:dyDescent="0.4">
      <c r="A189" s="29" t="s">
        <v>51</v>
      </c>
      <c r="B189" s="29" t="s">
        <v>168</v>
      </c>
      <c r="C189" s="29" t="s">
        <v>46</v>
      </c>
      <c r="D189" s="29" t="s">
        <v>169</v>
      </c>
      <c r="E189" s="29" t="s">
        <v>52</v>
      </c>
      <c r="F189" s="29" t="s">
        <v>1520</v>
      </c>
    </row>
    <row r="190" spans="1:6" ht="14.6" x14ac:dyDescent="0.4">
      <c r="A190" s="29" t="s">
        <v>51</v>
      </c>
      <c r="B190" s="29" t="s">
        <v>1370</v>
      </c>
      <c r="C190" s="29" t="s">
        <v>46</v>
      </c>
      <c r="D190" s="29" t="s">
        <v>1359</v>
      </c>
      <c r="E190" s="29" t="s">
        <v>52</v>
      </c>
      <c r="F190" s="29" t="s">
        <v>1520</v>
      </c>
    </row>
    <row r="191" spans="1:6" ht="14.6" x14ac:dyDescent="0.4">
      <c r="A191" s="29" t="s">
        <v>51</v>
      </c>
      <c r="B191" s="29" t="s">
        <v>1380</v>
      </c>
      <c r="C191" s="29" t="s">
        <v>46</v>
      </c>
      <c r="D191" s="29" t="s">
        <v>1353</v>
      </c>
      <c r="E191" s="29" t="s">
        <v>52</v>
      </c>
      <c r="F191" s="29" t="s">
        <v>1520</v>
      </c>
    </row>
    <row r="192" spans="1:6" ht="14.6" x14ac:dyDescent="0.4">
      <c r="A192" s="29" t="s">
        <v>51</v>
      </c>
      <c r="B192" s="29" t="s">
        <v>1399</v>
      </c>
      <c r="C192" s="29" t="s">
        <v>46</v>
      </c>
      <c r="D192" s="29" t="s">
        <v>1351</v>
      </c>
      <c r="E192" s="29" t="s">
        <v>52</v>
      </c>
      <c r="F192" s="29" t="s">
        <v>1520</v>
      </c>
    </row>
    <row r="193" spans="1:6" ht="14.6" x14ac:dyDescent="0.4">
      <c r="A193" s="29" t="s">
        <v>51</v>
      </c>
      <c r="B193" s="29" t="s">
        <v>1044</v>
      </c>
      <c r="C193" s="29" t="s">
        <v>46</v>
      </c>
      <c r="D193" s="29" t="s">
        <v>1045</v>
      </c>
      <c r="E193" s="29" t="s">
        <v>52</v>
      </c>
      <c r="F193" s="29" t="s">
        <v>1520</v>
      </c>
    </row>
    <row r="194" spans="1:6" ht="14.6" x14ac:dyDescent="0.4">
      <c r="A194" s="29" t="s">
        <v>102</v>
      </c>
      <c r="B194" s="29" t="s">
        <v>155</v>
      </c>
      <c r="C194" s="29" t="s">
        <v>103</v>
      </c>
      <c r="D194" s="29" t="s">
        <v>156</v>
      </c>
      <c r="E194" s="29" t="s">
        <v>52</v>
      </c>
      <c r="F194" s="29" t="s">
        <v>1520</v>
      </c>
    </row>
    <row r="195" spans="1:6" ht="14.6" x14ac:dyDescent="0.4">
      <c r="A195" s="29" t="s">
        <v>102</v>
      </c>
      <c r="B195" s="29" t="s">
        <v>168</v>
      </c>
      <c r="C195" s="29" t="s">
        <v>103</v>
      </c>
      <c r="D195" s="29" t="s">
        <v>169</v>
      </c>
      <c r="E195" s="29" t="s">
        <v>52</v>
      </c>
      <c r="F195" s="29" t="s">
        <v>1520</v>
      </c>
    </row>
    <row r="196" spans="1:6" ht="14.6" x14ac:dyDescent="0.4">
      <c r="A196" s="29" t="s">
        <v>102</v>
      </c>
      <c r="B196" s="29" t="s">
        <v>1370</v>
      </c>
      <c r="C196" s="29" t="s">
        <v>103</v>
      </c>
      <c r="D196" s="29" t="s">
        <v>1359</v>
      </c>
      <c r="E196" s="29" t="s">
        <v>52</v>
      </c>
      <c r="F196" s="29" t="s">
        <v>1520</v>
      </c>
    </row>
    <row r="197" spans="1:6" ht="14.6" x14ac:dyDescent="0.4">
      <c r="A197" s="29" t="s">
        <v>102</v>
      </c>
      <c r="B197" s="29" t="s">
        <v>1380</v>
      </c>
      <c r="C197" s="29" t="s">
        <v>103</v>
      </c>
      <c r="D197" s="29" t="s">
        <v>1353</v>
      </c>
      <c r="E197" s="29" t="s">
        <v>52</v>
      </c>
      <c r="F197" s="29" t="s">
        <v>1520</v>
      </c>
    </row>
    <row r="198" spans="1:6" ht="14.6" x14ac:dyDescent="0.4">
      <c r="A198" s="29" t="s">
        <v>102</v>
      </c>
      <c r="B198" s="29" t="s">
        <v>1399</v>
      </c>
      <c r="C198" s="29" t="s">
        <v>103</v>
      </c>
      <c r="D198" s="29" t="s">
        <v>1351</v>
      </c>
      <c r="E198" s="29" t="s">
        <v>52</v>
      </c>
      <c r="F198" s="29" t="s">
        <v>1520</v>
      </c>
    </row>
    <row r="199" spans="1:6" ht="14.6" x14ac:dyDescent="0.4">
      <c r="A199" s="29" t="s">
        <v>102</v>
      </c>
      <c r="B199" s="29" t="s">
        <v>1044</v>
      </c>
      <c r="C199" s="29" t="s">
        <v>103</v>
      </c>
      <c r="D199" s="29" t="s">
        <v>1045</v>
      </c>
      <c r="E199" s="29" t="s">
        <v>52</v>
      </c>
      <c r="F199" s="29" t="s">
        <v>1520</v>
      </c>
    </row>
    <row r="200" spans="1:6" ht="14.6" x14ac:dyDescent="0.4">
      <c r="A200" s="29" t="s">
        <v>155</v>
      </c>
      <c r="B200" s="29" t="s">
        <v>168</v>
      </c>
      <c r="C200" s="29" t="s">
        <v>156</v>
      </c>
      <c r="D200" s="29" t="s">
        <v>169</v>
      </c>
      <c r="E200" s="29" t="s">
        <v>52</v>
      </c>
      <c r="F200" s="29" t="s">
        <v>1520</v>
      </c>
    </row>
    <row r="201" spans="1:6" ht="14.6" x14ac:dyDescent="0.4">
      <c r="A201" s="29" t="s">
        <v>155</v>
      </c>
      <c r="B201" s="29" t="s">
        <v>1370</v>
      </c>
      <c r="C201" s="29" t="s">
        <v>156</v>
      </c>
      <c r="D201" s="29" t="s">
        <v>1359</v>
      </c>
      <c r="E201" s="29" t="s">
        <v>52</v>
      </c>
      <c r="F201" s="29" t="s">
        <v>1520</v>
      </c>
    </row>
    <row r="202" spans="1:6" ht="14.6" x14ac:dyDescent="0.4">
      <c r="A202" s="29" t="s">
        <v>155</v>
      </c>
      <c r="B202" s="29" t="s">
        <v>1380</v>
      </c>
      <c r="C202" s="29" t="s">
        <v>156</v>
      </c>
      <c r="D202" s="29" t="s">
        <v>1353</v>
      </c>
      <c r="E202" s="29" t="s">
        <v>52</v>
      </c>
      <c r="F202" s="29" t="s">
        <v>1520</v>
      </c>
    </row>
    <row r="203" spans="1:6" ht="14.6" x14ac:dyDescent="0.4">
      <c r="A203" s="29" t="s">
        <v>155</v>
      </c>
      <c r="B203" s="29" t="s">
        <v>1399</v>
      </c>
      <c r="C203" s="29" t="s">
        <v>156</v>
      </c>
      <c r="D203" s="29" t="s">
        <v>1351</v>
      </c>
      <c r="E203" s="29" t="s">
        <v>52</v>
      </c>
      <c r="F203" s="29" t="s">
        <v>1520</v>
      </c>
    </row>
    <row r="204" spans="1:6" ht="14.6" x14ac:dyDescent="0.4">
      <c r="A204" s="29" t="s">
        <v>155</v>
      </c>
      <c r="B204" s="29" t="s">
        <v>1044</v>
      </c>
      <c r="C204" s="29" t="s">
        <v>156</v>
      </c>
      <c r="D204" s="29" t="s">
        <v>1045</v>
      </c>
      <c r="E204" s="29" t="s">
        <v>52</v>
      </c>
      <c r="F204" s="29" t="s">
        <v>1520</v>
      </c>
    </row>
    <row r="205" spans="1:6" ht="14.6" x14ac:dyDescent="0.4">
      <c r="A205" s="29" t="s">
        <v>168</v>
      </c>
      <c r="B205" s="29" t="s">
        <v>1370</v>
      </c>
      <c r="C205" s="29" t="s">
        <v>169</v>
      </c>
      <c r="D205" s="29" t="s">
        <v>1359</v>
      </c>
      <c r="E205" s="29" t="s">
        <v>52</v>
      </c>
      <c r="F205" s="29" t="s">
        <v>1520</v>
      </c>
    </row>
    <row r="206" spans="1:6" ht="14.6" x14ac:dyDescent="0.4">
      <c r="A206" s="29" t="s">
        <v>168</v>
      </c>
      <c r="B206" s="29" t="s">
        <v>1380</v>
      </c>
      <c r="C206" s="29" t="s">
        <v>169</v>
      </c>
      <c r="D206" s="29" t="s">
        <v>1353</v>
      </c>
      <c r="E206" s="29" t="s">
        <v>52</v>
      </c>
      <c r="F206" s="29" t="s">
        <v>1520</v>
      </c>
    </row>
    <row r="207" spans="1:6" ht="14.6" x14ac:dyDescent="0.4">
      <c r="A207" s="29" t="s">
        <v>168</v>
      </c>
      <c r="B207" s="29" t="s">
        <v>1399</v>
      </c>
      <c r="C207" s="29" t="s">
        <v>169</v>
      </c>
      <c r="D207" s="29" t="s">
        <v>1351</v>
      </c>
      <c r="E207" s="29" t="s">
        <v>52</v>
      </c>
      <c r="F207" s="29" t="s">
        <v>1520</v>
      </c>
    </row>
    <row r="208" spans="1:6" ht="14.6" x14ac:dyDescent="0.4">
      <c r="A208" s="29" t="s">
        <v>168</v>
      </c>
      <c r="B208" s="29" t="s">
        <v>1044</v>
      </c>
      <c r="C208" s="29" t="s">
        <v>169</v>
      </c>
      <c r="D208" s="29" t="s">
        <v>1045</v>
      </c>
      <c r="E208" s="29" t="s">
        <v>52</v>
      </c>
      <c r="F208" s="29" t="s">
        <v>1520</v>
      </c>
    </row>
    <row r="209" spans="1:6" ht="14.6" x14ac:dyDescent="0.4">
      <c r="A209" s="29" t="s">
        <v>1370</v>
      </c>
      <c r="B209" s="29" t="s">
        <v>1044</v>
      </c>
      <c r="C209" s="29" t="s">
        <v>1359</v>
      </c>
      <c r="D209" s="29" t="s">
        <v>1045</v>
      </c>
      <c r="E209" s="29" t="s">
        <v>52</v>
      </c>
      <c r="F209" s="29" t="s">
        <v>1520</v>
      </c>
    </row>
    <row r="210" spans="1:6" ht="14.6" x14ac:dyDescent="0.4">
      <c r="A210" s="29" t="s">
        <v>1380</v>
      </c>
      <c r="B210" s="29" t="s">
        <v>1044</v>
      </c>
      <c r="C210" s="29" t="s">
        <v>1353</v>
      </c>
      <c r="D210" s="29" t="s">
        <v>1045</v>
      </c>
      <c r="E210" s="29" t="s">
        <v>52</v>
      </c>
      <c r="F210" s="29" t="s">
        <v>1520</v>
      </c>
    </row>
    <row r="211" spans="1:6" ht="14.6" x14ac:dyDescent="0.4">
      <c r="A211" s="29" t="s">
        <v>1399</v>
      </c>
      <c r="B211" s="29" t="s">
        <v>1044</v>
      </c>
      <c r="C211" s="29" t="s">
        <v>1351</v>
      </c>
      <c r="D211" s="29" t="s">
        <v>1045</v>
      </c>
      <c r="E211" s="29" t="s">
        <v>52</v>
      </c>
      <c r="F211" s="29" t="s">
        <v>1520</v>
      </c>
    </row>
    <row r="212" spans="1:6" ht="14.6" x14ac:dyDescent="0.4">
      <c r="A212" s="29" t="s">
        <v>1026</v>
      </c>
      <c r="B212" s="29" t="s">
        <v>1043</v>
      </c>
      <c r="C212" s="29" t="s">
        <v>1027</v>
      </c>
      <c r="D212" s="29" t="s">
        <v>1031</v>
      </c>
      <c r="E212" s="29" t="s">
        <v>6</v>
      </c>
      <c r="F212" s="29" t="s">
        <v>1522</v>
      </c>
    </row>
    <row r="213" spans="1:6" ht="14.6" x14ac:dyDescent="0.4">
      <c r="A213" s="29" t="s">
        <v>1026</v>
      </c>
      <c r="B213" s="29" t="s">
        <v>1053</v>
      </c>
      <c r="C213" s="29" t="s">
        <v>1027</v>
      </c>
      <c r="D213" s="29" t="s">
        <v>1054</v>
      </c>
      <c r="E213" s="29" t="s">
        <v>6</v>
      </c>
      <c r="F213" s="29" t="s">
        <v>1522</v>
      </c>
    </row>
    <row r="214" spans="1:6" ht="14.6" x14ac:dyDescent="0.4">
      <c r="A214" s="29" t="s">
        <v>1026</v>
      </c>
      <c r="B214" s="29" t="s">
        <v>1122</v>
      </c>
      <c r="C214" s="29" t="s">
        <v>1027</v>
      </c>
      <c r="D214" s="29" t="s">
        <v>1054</v>
      </c>
      <c r="E214" s="29" t="s">
        <v>6</v>
      </c>
      <c r="F214" s="29" t="s">
        <v>1522</v>
      </c>
    </row>
    <row r="215" spans="1:6" ht="14.6" x14ac:dyDescent="0.4">
      <c r="A215" s="29" t="s">
        <v>1043</v>
      </c>
      <c r="B215" s="29" t="s">
        <v>1053</v>
      </c>
      <c r="C215" s="29" t="s">
        <v>1031</v>
      </c>
      <c r="D215" s="29" t="s">
        <v>1054</v>
      </c>
      <c r="E215" s="29" t="s">
        <v>6</v>
      </c>
      <c r="F215" s="29" t="s">
        <v>1522</v>
      </c>
    </row>
    <row r="216" spans="1:6" ht="14.6" x14ac:dyDescent="0.4">
      <c r="A216" s="29" t="s">
        <v>1043</v>
      </c>
      <c r="B216" s="29" t="s">
        <v>1122</v>
      </c>
      <c r="C216" s="29" t="s">
        <v>1031</v>
      </c>
      <c r="D216" s="29" t="s">
        <v>1054</v>
      </c>
      <c r="E216" s="29" t="s">
        <v>6</v>
      </c>
      <c r="F216" s="29" t="s">
        <v>1522</v>
      </c>
    </row>
    <row r="217" spans="1:6" ht="14.6" x14ac:dyDescent="0.4">
      <c r="A217" s="29" t="s">
        <v>4</v>
      </c>
      <c r="B217" s="29" t="s">
        <v>99</v>
      </c>
      <c r="C217" s="29" t="s">
        <v>5</v>
      </c>
      <c r="D217" s="29" t="s">
        <v>98</v>
      </c>
      <c r="E217" s="29" t="s">
        <v>6</v>
      </c>
      <c r="F217" s="29" t="s">
        <v>1520</v>
      </c>
    </row>
    <row r="218" spans="1:6" ht="14.6" x14ac:dyDescent="0.4">
      <c r="A218" s="29" t="s">
        <v>4</v>
      </c>
      <c r="B218" s="29" t="s">
        <v>130</v>
      </c>
      <c r="C218" s="29" t="s">
        <v>5</v>
      </c>
      <c r="D218" s="29" t="s">
        <v>131</v>
      </c>
      <c r="E218" s="29" t="s">
        <v>6</v>
      </c>
      <c r="F218" s="29" t="s">
        <v>1520</v>
      </c>
    </row>
    <row r="219" spans="1:6" ht="14.6" x14ac:dyDescent="0.4">
      <c r="A219" s="29" t="s">
        <v>4</v>
      </c>
      <c r="B219" s="29" t="s">
        <v>140</v>
      </c>
      <c r="C219" s="29" t="s">
        <v>5</v>
      </c>
      <c r="D219" s="29" t="s">
        <v>141</v>
      </c>
      <c r="E219" s="29" t="s">
        <v>6</v>
      </c>
      <c r="F219" s="29" t="s">
        <v>1520</v>
      </c>
    </row>
    <row r="220" spans="1:6" ht="14.6" x14ac:dyDescent="0.4">
      <c r="A220" s="29" t="s">
        <v>4</v>
      </c>
      <c r="B220" s="29" t="s">
        <v>1026</v>
      </c>
      <c r="C220" s="29" t="s">
        <v>5</v>
      </c>
      <c r="D220" s="29" t="s">
        <v>1027</v>
      </c>
      <c r="E220" s="29" t="s">
        <v>6</v>
      </c>
      <c r="F220" s="29" t="s">
        <v>1520</v>
      </c>
    </row>
    <row r="221" spans="1:6" ht="14.6" x14ac:dyDescent="0.4">
      <c r="A221" s="29" t="s">
        <v>4</v>
      </c>
      <c r="B221" s="29" t="s">
        <v>1043</v>
      </c>
      <c r="C221" s="29" t="s">
        <v>5</v>
      </c>
      <c r="D221" s="29" t="s">
        <v>1031</v>
      </c>
      <c r="E221" s="29" t="s">
        <v>6</v>
      </c>
      <c r="F221" s="29" t="s">
        <v>1520</v>
      </c>
    </row>
    <row r="222" spans="1:6" ht="14.6" x14ac:dyDescent="0.4">
      <c r="A222" s="29" t="s">
        <v>4</v>
      </c>
      <c r="B222" s="29" t="s">
        <v>1053</v>
      </c>
      <c r="C222" s="29" t="s">
        <v>5</v>
      </c>
      <c r="D222" s="29" t="s">
        <v>1054</v>
      </c>
      <c r="E222" s="29" t="s">
        <v>6</v>
      </c>
      <c r="F222" s="29" t="s">
        <v>1520</v>
      </c>
    </row>
    <row r="223" spans="1:6" ht="14.6" x14ac:dyDescent="0.4">
      <c r="A223" s="29" t="s">
        <v>4</v>
      </c>
      <c r="B223" s="29" t="s">
        <v>1122</v>
      </c>
      <c r="C223" s="29" t="s">
        <v>5</v>
      </c>
      <c r="D223" s="29" t="s">
        <v>1054</v>
      </c>
      <c r="E223" s="29" t="s">
        <v>6</v>
      </c>
      <c r="F223" s="29" t="s">
        <v>1520</v>
      </c>
    </row>
    <row r="224" spans="1:6" ht="14.6" x14ac:dyDescent="0.4">
      <c r="A224" s="29" t="s">
        <v>99</v>
      </c>
      <c r="B224" s="29" t="s">
        <v>130</v>
      </c>
      <c r="C224" s="29" t="s">
        <v>98</v>
      </c>
      <c r="D224" s="29" t="s">
        <v>131</v>
      </c>
      <c r="E224" s="29" t="s">
        <v>6</v>
      </c>
      <c r="F224" s="29" t="s">
        <v>1520</v>
      </c>
    </row>
    <row r="225" spans="1:6" ht="14.6" x14ac:dyDescent="0.4">
      <c r="A225" s="29" t="s">
        <v>99</v>
      </c>
      <c r="B225" s="29" t="s">
        <v>140</v>
      </c>
      <c r="C225" s="29" t="s">
        <v>98</v>
      </c>
      <c r="D225" s="29" t="s">
        <v>141</v>
      </c>
      <c r="E225" s="29" t="s">
        <v>6</v>
      </c>
      <c r="F225" s="29" t="s">
        <v>1520</v>
      </c>
    </row>
    <row r="226" spans="1:6" ht="14.6" x14ac:dyDescent="0.4">
      <c r="A226" s="29" t="s">
        <v>99</v>
      </c>
      <c r="B226" s="29" t="s">
        <v>1026</v>
      </c>
      <c r="C226" s="29" t="s">
        <v>98</v>
      </c>
      <c r="D226" s="29" t="s">
        <v>1027</v>
      </c>
      <c r="E226" s="29" t="s">
        <v>6</v>
      </c>
      <c r="F226" s="29" t="s">
        <v>1520</v>
      </c>
    </row>
    <row r="227" spans="1:6" ht="14.6" x14ac:dyDescent="0.4">
      <c r="A227" s="29" t="s">
        <v>99</v>
      </c>
      <c r="B227" s="29" t="s">
        <v>1043</v>
      </c>
      <c r="C227" s="29" t="s">
        <v>98</v>
      </c>
      <c r="D227" s="29" t="s">
        <v>1031</v>
      </c>
      <c r="E227" s="29" t="s">
        <v>6</v>
      </c>
      <c r="F227" s="29" t="s">
        <v>1520</v>
      </c>
    </row>
    <row r="228" spans="1:6" ht="14.6" x14ac:dyDescent="0.4">
      <c r="A228" s="29" t="s">
        <v>99</v>
      </c>
      <c r="B228" s="29" t="s">
        <v>1053</v>
      </c>
      <c r="C228" s="29" t="s">
        <v>98</v>
      </c>
      <c r="D228" s="29" t="s">
        <v>1054</v>
      </c>
      <c r="E228" s="29" t="s">
        <v>6</v>
      </c>
      <c r="F228" s="29" t="s">
        <v>1520</v>
      </c>
    </row>
    <row r="229" spans="1:6" ht="14.6" x14ac:dyDescent="0.4">
      <c r="A229" s="29" t="s">
        <v>99</v>
      </c>
      <c r="B229" s="29" t="s">
        <v>1122</v>
      </c>
      <c r="C229" s="29" t="s">
        <v>98</v>
      </c>
      <c r="D229" s="29" t="s">
        <v>1054</v>
      </c>
      <c r="E229" s="29" t="s">
        <v>6</v>
      </c>
      <c r="F229" s="29" t="s">
        <v>1520</v>
      </c>
    </row>
    <row r="230" spans="1:6" ht="14.6" x14ac:dyDescent="0.4">
      <c r="A230" s="29" t="s">
        <v>130</v>
      </c>
      <c r="B230" s="29" t="s">
        <v>140</v>
      </c>
      <c r="C230" s="29" t="s">
        <v>131</v>
      </c>
      <c r="D230" s="29" t="s">
        <v>141</v>
      </c>
      <c r="E230" s="29" t="s">
        <v>6</v>
      </c>
      <c r="F230" s="29" t="s">
        <v>1520</v>
      </c>
    </row>
    <row r="231" spans="1:6" ht="14.6" x14ac:dyDescent="0.4">
      <c r="A231" s="29" t="s">
        <v>130</v>
      </c>
      <c r="B231" s="29" t="s">
        <v>1026</v>
      </c>
      <c r="C231" s="29" t="s">
        <v>131</v>
      </c>
      <c r="D231" s="29" t="s">
        <v>1027</v>
      </c>
      <c r="E231" s="29" t="s">
        <v>6</v>
      </c>
      <c r="F231" s="29" t="s">
        <v>1520</v>
      </c>
    </row>
    <row r="232" spans="1:6" ht="14.6" x14ac:dyDescent="0.4">
      <c r="A232" s="29" t="s">
        <v>130</v>
      </c>
      <c r="B232" s="29" t="s">
        <v>1043</v>
      </c>
      <c r="C232" s="29" t="s">
        <v>131</v>
      </c>
      <c r="D232" s="29" t="s">
        <v>1031</v>
      </c>
      <c r="E232" s="29" t="s">
        <v>6</v>
      </c>
      <c r="F232" s="29" t="s">
        <v>1520</v>
      </c>
    </row>
    <row r="233" spans="1:6" ht="14.6" x14ac:dyDescent="0.4">
      <c r="A233" s="29" t="s">
        <v>130</v>
      </c>
      <c r="B233" s="29" t="s">
        <v>1053</v>
      </c>
      <c r="C233" s="29" t="s">
        <v>131</v>
      </c>
      <c r="D233" s="29" t="s">
        <v>1054</v>
      </c>
      <c r="E233" s="29" t="s">
        <v>6</v>
      </c>
      <c r="F233" s="29" t="s">
        <v>1520</v>
      </c>
    </row>
    <row r="234" spans="1:6" ht="14.6" x14ac:dyDescent="0.4">
      <c r="A234" s="29" t="s">
        <v>130</v>
      </c>
      <c r="B234" s="29" t="s">
        <v>1122</v>
      </c>
      <c r="C234" s="29" t="s">
        <v>131</v>
      </c>
      <c r="D234" s="29" t="s">
        <v>1054</v>
      </c>
      <c r="E234" s="29" t="s">
        <v>6</v>
      </c>
      <c r="F234" s="29" t="s">
        <v>1520</v>
      </c>
    </row>
    <row r="235" spans="1:6" ht="14.6" x14ac:dyDescent="0.4">
      <c r="A235" s="29" t="s">
        <v>140</v>
      </c>
      <c r="B235" s="29" t="s">
        <v>1026</v>
      </c>
      <c r="C235" s="29" t="s">
        <v>141</v>
      </c>
      <c r="D235" s="29" t="s">
        <v>1027</v>
      </c>
      <c r="E235" s="29" t="s">
        <v>6</v>
      </c>
      <c r="F235" s="29" t="s">
        <v>1520</v>
      </c>
    </row>
    <row r="236" spans="1:6" ht="14.6" x14ac:dyDescent="0.4">
      <c r="A236" s="29" t="s">
        <v>140</v>
      </c>
      <c r="B236" s="29" t="s">
        <v>1043</v>
      </c>
      <c r="C236" s="29" t="s">
        <v>141</v>
      </c>
      <c r="D236" s="29" t="s">
        <v>1031</v>
      </c>
      <c r="E236" s="29" t="s">
        <v>6</v>
      </c>
      <c r="F236" s="29" t="s">
        <v>1520</v>
      </c>
    </row>
    <row r="237" spans="1:6" ht="14.6" x14ac:dyDescent="0.4">
      <c r="A237" s="29" t="s">
        <v>140</v>
      </c>
      <c r="B237" s="29" t="s">
        <v>1053</v>
      </c>
      <c r="C237" s="29" t="s">
        <v>141</v>
      </c>
      <c r="D237" s="29" t="s">
        <v>1054</v>
      </c>
      <c r="E237" s="29" t="s">
        <v>6</v>
      </c>
      <c r="F237" s="29" t="s">
        <v>1520</v>
      </c>
    </row>
    <row r="238" spans="1:6" ht="14.6" x14ac:dyDescent="0.4">
      <c r="A238" s="29" t="s">
        <v>140</v>
      </c>
      <c r="B238" s="29" t="s">
        <v>1122</v>
      </c>
      <c r="C238" s="29" t="s">
        <v>141</v>
      </c>
      <c r="D238" s="29" t="s">
        <v>1054</v>
      </c>
      <c r="E238" s="29" t="s">
        <v>6</v>
      </c>
      <c r="F238" s="29" t="s">
        <v>1520</v>
      </c>
    </row>
    <row r="239" spans="1:6" ht="14.6" x14ac:dyDescent="0.4">
      <c r="A239" s="29" t="s">
        <v>1053</v>
      </c>
      <c r="B239" s="29" t="s">
        <v>1122</v>
      </c>
      <c r="C239" s="29" t="s">
        <v>1054</v>
      </c>
      <c r="D239" s="29" t="s">
        <v>1054</v>
      </c>
      <c r="E239" s="29" t="s">
        <v>6</v>
      </c>
      <c r="F239" s="29" t="s">
        <v>1520</v>
      </c>
    </row>
    <row r="240" spans="1:6" ht="14.6" x14ac:dyDescent="0.4">
      <c r="A240" s="29" t="s">
        <v>1028</v>
      </c>
      <c r="B240" s="29" t="s">
        <v>1036</v>
      </c>
      <c r="C240" s="29" t="s">
        <v>1029</v>
      </c>
      <c r="D240" s="29" t="s">
        <v>1035</v>
      </c>
      <c r="E240" s="29" t="s">
        <v>55</v>
      </c>
      <c r="F240" s="29" t="s">
        <v>1522</v>
      </c>
    </row>
    <row r="241" spans="1:6" ht="14.6" x14ac:dyDescent="0.4">
      <c r="A241" s="29" t="s">
        <v>1028</v>
      </c>
      <c r="B241" s="29" t="s">
        <v>1093</v>
      </c>
      <c r="C241" s="29" t="s">
        <v>1029</v>
      </c>
      <c r="D241" s="29" t="s">
        <v>1051</v>
      </c>
      <c r="E241" s="29" t="s">
        <v>55</v>
      </c>
      <c r="F241" s="29" t="s">
        <v>1522</v>
      </c>
    </row>
    <row r="242" spans="1:6" ht="14.6" x14ac:dyDescent="0.4">
      <c r="A242" s="29" t="s">
        <v>1036</v>
      </c>
      <c r="B242" s="29" t="s">
        <v>1093</v>
      </c>
      <c r="C242" s="29" t="s">
        <v>1035</v>
      </c>
      <c r="D242" s="29" t="s">
        <v>1051</v>
      </c>
      <c r="E242" s="29" t="s">
        <v>55</v>
      </c>
      <c r="F242" s="29" t="s">
        <v>1522</v>
      </c>
    </row>
    <row r="243" spans="1:6" ht="14.6" x14ac:dyDescent="0.4">
      <c r="A243" s="29" t="s">
        <v>53</v>
      </c>
      <c r="B243" s="29" t="s">
        <v>77</v>
      </c>
      <c r="C243" s="29" t="s">
        <v>54</v>
      </c>
      <c r="D243" s="29" t="s">
        <v>78</v>
      </c>
      <c r="E243" s="29" t="s">
        <v>55</v>
      </c>
      <c r="F243" s="29" t="s">
        <v>1520</v>
      </c>
    </row>
    <row r="244" spans="1:6" ht="14.6" x14ac:dyDescent="0.4">
      <c r="A244" s="29" t="s">
        <v>53</v>
      </c>
      <c r="B244" s="29" t="s">
        <v>79</v>
      </c>
      <c r="C244" s="29" t="s">
        <v>54</v>
      </c>
      <c r="D244" s="29" t="s">
        <v>80</v>
      </c>
      <c r="E244" s="29" t="s">
        <v>55</v>
      </c>
      <c r="F244" s="29" t="s">
        <v>1520</v>
      </c>
    </row>
    <row r="245" spans="1:6" ht="14.6" x14ac:dyDescent="0.4">
      <c r="A245" s="29" t="s">
        <v>53</v>
      </c>
      <c r="B245" s="29" t="s">
        <v>115</v>
      </c>
      <c r="C245" s="29" t="s">
        <v>54</v>
      </c>
      <c r="D245" s="29" t="s">
        <v>116</v>
      </c>
      <c r="E245" s="29" t="s">
        <v>55</v>
      </c>
      <c r="F245" s="29" t="s">
        <v>1520</v>
      </c>
    </row>
    <row r="246" spans="1:6" ht="14.6" x14ac:dyDescent="0.4">
      <c r="A246" s="29" t="s">
        <v>53</v>
      </c>
      <c r="B246" s="29" t="s">
        <v>1390</v>
      </c>
      <c r="C246" s="29" t="s">
        <v>54</v>
      </c>
      <c r="D246" s="29" t="s">
        <v>1353</v>
      </c>
      <c r="E246" s="29" t="s">
        <v>55</v>
      </c>
      <c r="F246" s="29" t="s">
        <v>1520</v>
      </c>
    </row>
    <row r="247" spans="1:6" ht="14.6" x14ac:dyDescent="0.4">
      <c r="A247" s="29" t="s">
        <v>53</v>
      </c>
      <c r="B247" s="29" t="s">
        <v>1028</v>
      </c>
      <c r="C247" s="29" t="s">
        <v>54</v>
      </c>
      <c r="D247" s="29" t="s">
        <v>1029</v>
      </c>
      <c r="E247" s="29" t="s">
        <v>55</v>
      </c>
      <c r="F247" s="29" t="s">
        <v>1520</v>
      </c>
    </row>
    <row r="248" spans="1:6" ht="14.6" x14ac:dyDescent="0.4">
      <c r="A248" s="29" t="s">
        <v>53</v>
      </c>
      <c r="B248" s="29" t="s">
        <v>1036</v>
      </c>
      <c r="C248" s="29" t="s">
        <v>54</v>
      </c>
      <c r="D248" s="29" t="s">
        <v>1035</v>
      </c>
      <c r="E248" s="29" t="s">
        <v>55</v>
      </c>
      <c r="F248" s="29" t="s">
        <v>1520</v>
      </c>
    </row>
    <row r="249" spans="1:6" ht="14.6" x14ac:dyDescent="0.4">
      <c r="A249" s="29" t="s">
        <v>53</v>
      </c>
      <c r="B249" s="29" t="s">
        <v>1093</v>
      </c>
      <c r="C249" s="29" t="s">
        <v>54</v>
      </c>
      <c r="D249" s="29" t="s">
        <v>1051</v>
      </c>
      <c r="E249" s="29" t="s">
        <v>55</v>
      </c>
      <c r="F249" s="29" t="s">
        <v>1520</v>
      </c>
    </row>
    <row r="250" spans="1:6" ht="14.6" x14ac:dyDescent="0.4">
      <c r="A250" s="29" t="s">
        <v>77</v>
      </c>
      <c r="B250" s="29" t="s">
        <v>79</v>
      </c>
      <c r="C250" s="29" t="s">
        <v>78</v>
      </c>
      <c r="D250" s="29" t="s">
        <v>80</v>
      </c>
      <c r="E250" s="29" t="s">
        <v>55</v>
      </c>
      <c r="F250" s="29" t="s">
        <v>1520</v>
      </c>
    </row>
    <row r="251" spans="1:6" ht="14.6" x14ac:dyDescent="0.4">
      <c r="A251" s="29" t="s">
        <v>77</v>
      </c>
      <c r="B251" s="29" t="s">
        <v>115</v>
      </c>
      <c r="C251" s="29" t="s">
        <v>78</v>
      </c>
      <c r="D251" s="29" t="s">
        <v>116</v>
      </c>
      <c r="E251" s="29" t="s">
        <v>55</v>
      </c>
      <c r="F251" s="29" t="s">
        <v>1520</v>
      </c>
    </row>
    <row r="252" spans="1:6" ht="14.6" x14ac:dyDescent="0.4">
      <c r="A252" s="29" t="s">
        <v>77</v>
      </c>
      <c r="B252" s="29" t="s">
        <v>1390</v>
      </c>
      <c r="C252" s="29" t="s">
        <v>78</v>
      </c>
      <c r="D252" s="29" t="s">
        <v>1353</v>
      </c>
      <c r="E252" s="29" t="s">
        <v>55</v>
      </c>
      <c r="F252" s="29" t="s">
        <v>1520</v>
      </c>
    </row>
    <row r="253" spans="1:6" ht="14.6" x14ac:dyDescent="0.4">
      <c r="A253" s="29" t="s">
        <v>77</v>
      </c>
      <c r="B253" s="29" t="s">
        <v>1028</v>
      </c>
      <c r="C253" s="29" t="s">
        <v>78</v>
      </c>
      <c r="D253" s="29" t="s">
        <v>1029</v>
      </c>
      <c r="E253" s="29" t="s">
        <v>55</v>
      </c>
      <c r="F253" s="29" t="s">
        <v>1520</v>
      </c>
    </row>
    <row r="254" spans="1:6" ht="14.6" x14ac:dyDescent="0.4">
      <c r="A254" s="29" t="s">
        <v>77</v>
      </c>
      <c r="B254" s="29" t="s">
        <v>1036</v>
      </c>
      <c r="C254" s="29" t="s">
        <v>78</v>
      </c>
      <c r="D254" s="29" t="s">
        <v>1035</v>
      </c>
      <c r="E254" s="29" t="s">
        <v>55</v>
      </c>
      <c r="F254" s="29" t="s">
        <v>1520</v>
      </c>
    </row>
    <row r="255" spans="1:6" ht="14.6" x14ac:dyDescent="0.4">
      <c r="A255" s="29" t="s">
        <v>77</v>
      </c>
      <c r="B255" s="29" t="s">
        <v>1093</v>
      </c>
      <c r="C255" s="29" t="s">
        <v>78</v>
      </c>
      <c r="D255" s="29" t="s">
        <v>1051</v>
      </c>
      <c r="E255" s="29" t="s">
        <v>55</v>
      </c>
      <c r="F255" s="29" t="s">
        <v>1520</v>
      </c>
    </row>
    <row r="256" spans="1:6" ht="14.6" x14ac:dyDescent="0.4">
      <c r="A256" s="29" t="s">
        <v>79</v>
      </c>
      <c r="B256" s="29" t="s">
        <v>115</v>
      </c>
      <c r="C256" s="29" t="s">
        <v>80</v>
      </c>
      <c r="D256" s="29" t="s">
        <v>116</v>
      </c>
      <c r="E256" s="29" t="s">
        <v>55</v>
      </c>
      <c r="F256" s="29" t="s">
        <v>1520</v>
      </c>
    </row>
    <row r="257" spans="1:6" ht="14.6" x14ac:dyDescent="0.4">
      <c r="A257" s="29" t="s">
        <v>79</v>
      </c>
      <c r="B257" s="29" t="s">
        <v>1390</v>
      </c>
      <c r="C257" s="29" t="s">
        <v>80</v>
      </c>
      <c r="D257" s="29" t="s">
        <v>1353</v>
      </c>
      <c r="E257" s="29" t="s">
        <v>55</v>
      </c>
      <c r="F257" s="29" t="s">
        <v>1520</v>
      </c>
    </row>
    <row r="258" spans="1:6" ht="14.6" x14ac:dyDescent="0.4">
      <c r="A258" s="29" t="s">
        <v>79</v>
      </c>
      <c r="B258" s="29" t="s">
        <v>1028</v>
      </c>
      <c r="C258" s="29" t="s">
        <v>80</v>
      </c>
      <c r="D258" s="29" t="s">
        <v>1029</v>
      </c>
      <c r="E258" s="29" t="s">
        <v>55</v>
      </c>
      <c r="F258" s="29" t="s">
        <v>1520</v>
      </c>
    </row>
    <row r="259" spans="1:6" ht="14.6" x14ac:dyDescent="0.4">
      <c r="A259" s="29" t="s">
        <v>79</v>
      </c>
      <c r="B259" s="29" t="s">
        <v>1036</v>
      </c>
      <c r="C259" s="29" t="s">
        <v>80</v>
      </c>
      <c r="D259" s="29" t="s">
        <v>1035</v>
      </c>
      <c r="E259" s="29" t="s">
        <v>55</v>
      </c>
      <c r="F259" s="29" t="s">
        <v>1520</v>
      </c>
    </row>
    <row r="260" spans="1:6" ht="14.6" x14ac:dyDescent="0.4">
      <c r="A260" s="29" t="s">
        <v>79</v>
      </c>
      <c r="B260" s="29" t="s">
        <v>1093</v>
      </c>
      <c r="C260" s="29" t="s">
        <v>80</v>
      </c>
      <c r="D260" s="29" t="s">
        <v>1051</v>
      </c>
      <c r="E260" s="29" t="s">
        <v>55</v>
      </c>
      <c r="F260" s="29" t="s">
        <v>1520</v>
      </c>
    </row>
    <row r="261" spans="1:6" ht="14.6" x14ac:dyDescent="0.4">
      <c r="A261" s="29" t="s">
        <v>115</v>
      </c>
      <c r="B261" s="29" t="s">
        <v>1390</v>
      </c>
      <c r="C261" s="29" t="s">
        <v>116</v>
      </c>
      <c r="D261" s="29" t="s">
        <v>1353</v>
      </c>
      <c r="E261" s="29" t="s">
        <v>55</v>
      </c>
      <c r="F261" s="29" t="s">
        <v>1520</v>
      </c>
    </row>
    <row r="262" spans="1:6" ht="14.6" x14ac:dyDescent="0.4">
      <c r="A262" s="29" t="s">
        <v>115</v>
      </c>
      <c r="B262" s="29" t="s">
        <v>1028</v>
      </c>
      <c r="C262" s="29" t="s">
        <v>116</v>
      </c>
      <c r="D262" s="29" t="s">
        <v>1029</v>
      </c>
      <c r="E262" s="29" t="s">
        <v>55</v>
      </c>
      <c r="F262" s="29" t="s">
        <v>1520</v>
      </c>
    </row>
    <row r="263" spans="1:6" ht="14.6" x14ac:dyDescent="0.4">
      <c r="A263" s="29" t="s">
        <v>115</v>
      </c>
      <c r="B263" s="29" t="s">
        <v>1036</v>
      </c>
      <c r="C263" s="29" t="s">
        <v>116</v>
      </c>
      <c r="D263" s="29" t="s">
        <v>1035</v>
      </c>
      <c r="E263" s="29" t="s">
        <v>55</v>
      </c>
      <c r="F263" s="29" t="s">
        <v>1520</v>
      </c>
    </row>
    <row r="264" spans="1:6" ht="14.6" x14ac:dyDescent="0.4">
      <c r="A264" s="29" t="s">
        <v>115</v>
      </c>
      <c r="B264" s="29" t="s">
        <v>1093</v>
      </c>
      <c r="C264" s="29" t="s">
        <v>116</v>
      </c>
      <c r="D264" s="29" t="s">
        <v>1051</v>
      </c>
      <c r="E264" s="29" t="s">
        <v>55</v>
      </c>
      <c r="F264" s="29" t="s">
        <v>1520</v>
      </c>
    </row>
    <row r="265" spans="1:6" ht="14.6" x14ac:dyDescent="0.4">
      <c r="A265" s="29" t="s">
        <v>1390</v>
      </c>
      <c r="B265" s="29" t="s">
        <v>1028</v>
      </c>
      <c r="C265" s="29" t="s">
        <v>1353</v>
      </c>
      <c r="D265" s="29" t="s">
        <v>1029</v>
      </c>
      <c r="E265" s="29" t="s">
        <v>55</v>
      </c>
      <c r="F265" s="29" t="s">
        <v>1520</v>
      </c>
    </row>
    <row r="266" spans="1:6" ht="14.6" x14ac:dyDescent="0.4">
      <c r="A266" s="29" t="s">
        <v>1390</v>
      </c>
      <c r="B266" s="29" t="s">
        <v>1036</v>
      </c>
      <c r="C266" s="29" t="s">
        <v>1353</v>
      </c>
      <c r="D266" s="29" t="s">
        <v>1035</v>
      </c>
      <c r="E266" s="29" t="s">
        <v>55</v>
      </c>
      <c r="F266" s="29" t="s">
        <v>1520</v>
      </c>
    </row>
    <row r="267" spans="1:6" ht="14.6" x14ac:dyDescent="0.4">
      <c r="A267" s="29" t="s">
        <v>1390</v>
      </c>
      <c r="B267" s="29" t="s">
        <v>1093</v>
      </c>
      <c r="C267" s="29" t="s">
        <v>1353</v>
      </c>
      <c r="D267" s="29" t="s">
        <v>1051</v>
      </c>
      <c r="E267" s="29" t="s">
        <v>55</v>
      </c>
      <c r="F267" s="29" t="s">
        <v>1520</v>
      </c>
    </row>
    <row r="268" spans="1:6" ht="14.6" x14ac:dyDescent="0.4">
      <c r="A268" s="29" t="s">
        <v>1050</v>
      </c>
      <c r="B268" s="29" t="s">
        <v>1088</v>
      </c>
      <c r="C268" s="29" t="s">
        <v>1051</v>
      </c>
      <c r="D268" s="29" t="s">
        <v>1029</v>
      </c>
      <c r="E268" s="29" t="s">
        <v>34</v>
      </c>
      <c r="F268" s="29" t="s">
        <v>1522</v>
      </c>
    </row>
    <row r="269" spans="1:6" ht="14.6" x14ac:dyDescent="0.4">
      <c r="A269" s="29" t="s">
        <v>1050</v>
      </c>
      <c r="B269" s="29" t="s">
        <v>1116</v>
      </c>
      <c r="C269" s="29" t="s">
        <v>1051</v>
      </c>
      <c r="D269" s="29" t="s">
        <v>1080</v>
      </c>
      <c r="E269" s="29" t="s">
        <v>34</v>
      </c>
      <c r="F269" s="29" t="s">
        <v>1522</v>
      </c>
    </row>
    <row r="270" spans="1:6" ht="14.6" x14ac:dyDescent="0.4">
      <c r="A270" s="29" t="s">
        <v>1088</v>
      </c>
      <c r="B270" s="29" t="s">
        <v>1116</v>
      </c>
      <c r="C270" s="29" t="s">
        <v>1029</v>
      </c>
      <c r="D270" s="29" t="s">
        <v>1080</v>
      </c>
      <c r="E270" s="29" t="s">
        <v>34</v>
      </c>
      <c r="F270" s="29" t="s">
        <v>1522</v>
      </c>
    </row>
    <row r="271" spans="1:6" ht="14.6" x14ac:dyDescent="0.4">
      <c r="A271" s="29" t="s">
        <v>32</v>
      </c>
      <c r="B271" s="29" t="s">
        <v>41</v>
      </c>
      <c r="C271" s="29" t="s">
        <v>33</v>
      </c>
      <c r="D271" s="29" t="s">
        <v>42</v>
      </c>
      <c r="E271" s="29" t="s">
        <v>34</v>
      </c>
      <c r="F271" s="29" t="s">
        <v>1520</v>
      </c>
    </row>
    <row r="272" spans="1:6" ht="14.6" x14ac:dyDescent="0.4">
      <c r="A272" s="29" t="s">
        <v>32</v>
      </c>
      <c r="B272" s="29" t="s">
        <v>50</v>
      </c>
      <c r="C272" s="29" t="s">
        <v>33</v>
      </c>
      <c r="D272" s="29" t="s">
        <v>40</v>
      </c>
      <c r="E272" s="29" t="s">
        <v>34</v>
      </c>
      <c r="F272" s="29" t="s">
        <v>1520</v>
      </c>
    </row>
    <row r="273" spans="1:6" ht="14.6" x14ac:dyDescent="0.4">
      <c r="A273" s="29" t="s">
        <v>32</v>
      </c>
      <c r="B273" s="29" t="s">
        <v>106</v>
      </c>
      <c r="C273" s="29" t="s">
        <v>33</v>
      </c>
      <c r="D273" s="29" t="s">
        <v>82</v>
      </c>
      <c r="E273" s="29" t="s">
        <v>34</v>
      </c>
      <c r="F273" s="29" t="s">
        <v>1520</v>
      </c>
    </row>
    <row r="274" spans="1:6" ht="14.6" x14ac:dyDescent="0.4">
      <c r="A274" s="29" t="s">
        <v>32</v>
      </c>
      <c r="B274" s="29" t="s">
        <v>1050</v>
      </c>
      <c r="C274" s="29" t="s">
        <v>33</v>
      </c>
      <c r="D274" s="29" t="s">
        <v>1051</v>
      </c>
      <c r="E274" s="29" t="s">
        <v>34</v>
      </c>
      <c r="F274" s="29" t="s">
        <v>1520</v>
      </c>
    </row>
    <row r="275" spans="1:6" ht="14.6" x14ac:dyDescent="0.4">
      <c r="A275" s="29" t="s">
        <v>32</v>
      </c>
      <c r="B275" s="29" t="s">
        <v>1088</v>
      </c>
      <c r="C275" s="29" t="s">
        <v>33</v>
      </c>
      <c r="D275" s="29" t="s">
        <v>1029</v>
      </c>
      <c r="E275" s="29" t="s">
        <v>34</v>
      </c>
      <c r="F275" s="29" t="s">
        <v>1520</v>
      </c>
    </row>
    <row r="276" spans="1:6" ht="14.6" x14ac:dyDescent="0.4">
      <c r="A276" s="29" t="s">
        <v>32</v>
      </c>
      <c r="B276" s="29" t="s">
        <v>1116</v>
      </c>
      <c r="C276" s="29" t="s">
        <v>33</v>
      </c>
      <c r="D276" s="29" t="s">
        <v>1080</v>
      </c>
      <c r="E276" s="29" t="s">
        <v>34</v>
      </c>
      <c r="F276" s="29" t="s">
        <v>1520</v>
      </c>
    </row>
    <row r="277" spans="1:6" ht="14.6" x14ac:dyDescent="0.4">
      <c r="A277" s="29" t="s">
        <v>41</v>
      </c>
      <c r="B277" s="29" t="s">
        <v>50</v>
      </c>
      <c r="C277" s="29" t="s">
        <v>42</v>
      </c>
      <c r="D277" s="29" t="s">
        <v>40</v>
      </c>
      <c r="E277" s="29" t="s">
        <v>34</v>
      </c>
      <c r="F277" s="29" t="s">
        <v>1520</v>
      </c>
    </row>
    <row r="278" spans="1:6" ht="14.6" x14ac:dyDescent="0.4">
      <c r="A278" s="29" t="s">
        <v>41</v>
      </c>
      <c r="B278" s="29" t="s">
        <v>106</v>
      </c>
      <c r="C278" s="29" t="s">
        <v>42</v>
      </c>
      <c r="D278" s="29" t="s">
        <v>82</v>
      </c>
      <c r="E278" s="29" t="s">
        <v>34</v>
      </c>
      <c r="F278" s="29" t="s">
        <v>1520</v>
      </c>
    </row>
    <row r="279" spans="1:6" ht="14.6" x14ac:dyDescent="0.4">
      <c r="A279" s="29" t="s">
        <v>41</v>
      </c>
      <c r="B279" s="29" t="s">
        <v>1050</v>
      </c>
      <c r="C279" s="29" t="s">
        <v>42</v>
      </c>
      <c r="D279" s="29" t="s">
        <v>1051</v>
      </c>
      <c r="E279" s="29" t="s">
        <v>34</v>
      </c>
      <c r="F279" s="29" t="s">
        <v>1520</v>
      </c>
    </row>
    <row r="280" spans="1:6" ht="14.6" x14ac:dyDescent="0.4">
      <c r="A280" s="29" t="s">
        <v>41</v>
      </c>
      <c r="B280" s="29" t="s">
        <v>1088</v>
      </c>
      <c r="C280" s="29" t="s">
        <v>42</v>
      </c>
      <c r="D280" s="29" t="s">
        <v>1029</v>
      </c>
      <c r="E280" s="29" t="s">
        <v>34</v>
      </c>
      <c r="F280" s="29" t="s">
        <v>1520</v>
      </c>
    </row>
    <row r="281" spans="1:6" ht="14.6" x14ac:dyDescent="0.4">
      <c r="A281" s="29" t="s">
        <v>41</v>
      </c>
      <c r="B281" s="29" t="s">
        <v>1116</v>
      </c>
      <c r="C281" s="29" t="s">
        <v>42</v>
      </c>
      <c r="D281" s="29" t="s">
        <v>1080</v>
      </c>
      <c r="E281" s="29" t="s">
        <v>34</v>
      </c>
      <c r="F281" s="29" t="s">
        <v>1520</v>
      </c>
    </row>
    <row r="282" spans="1:6" ht="14.6" x14ac:dyDescent="0.4">
      <c r="A282" s="29" t="s">
        <v>50</v>
      </c>
      <c r="B282" s="29" t="s">
        <v>106</v>
      </c>
      <c r="C282" s="29" t="s">
        <v>40</v>
      </c>
      <c r="D282" s="29" t="s">
        <v>82</v>
      </c>
      <c r="E282" s="29" t="s">
        <v>34</v>
      </c>
      <c r="F282" s="29" t="s">
        <v>1520</v>
      </c>
    </row>
    <row r="283" spans="1:6" ht="14.6" x14ac:dyDescent="0.4">
      <c r="A283" s="29" t="s">
        <v>50</v>
      </c>
      <c r="B283" s="29" t="s">
        <v>1050</v>
      </c>
      <c r="C283" s="29" t="s">
        <v>40</v>
      </c>
      <c r="D283" s="29" t="s">
        <v>1051</v>
      </c>
      <c r="E283" s="29" t="s">
        <v>34</v>
      </c>
      <c r="F283" s="29" t="s">
        <v>1520</v>
      </c>
    </row>
    <row r="284" spans="1:6" ht="14.6" x14ac:dyDescent="0.4">
      <c r="A284" s="29" t="s">
        <v>50</v>
      </c>
      <c r="B284" s="29" t="s">
        <v>1088</v>
      </c>
      <c r="C284" s="29" t="s">
        <v>40</v>
      </c>
      <c r="D284" s="29" t="s">
        <v>1029</v>
      </c>
      <c r="E284" s="29" t="s">
        <v>34</v>
      </c>
      <c r="F284" s="29" t="s">
        <v>1520</v>
      </c>
    </row>
    <row r="285" spans="1:6" ht="14.6" x14ac:dyDescent="0.4">
      <c r="A285" s="29" t="s">
        <v>50</v>
      </c>
      <c r="B285" s="29" t="s">
        <v>1116</v>
      </c>
      <c r="C285" s="29" t="s">
        <v>40</v>
      </c>
      <c r="D285" s="29" t="s">
        <v>1080</v>
      </c>
      <c r="E285" s="29" t="s">
        <v>34</v>
      </c>
      <c r="F285" s="29" t="s">
        <v>1520</v>
      </c>
    </row>
    <row r="286" spans="1:6" ht="14.6" x14ac:dyDescent="0.4">
      <c r="A286" s="29" t="s">
        <v>106</v>
      </c>
      <c r="B286" s="29" t="s">
        <v>1050</v>
      </c>
      <c r="C286" s="29" t="s">
        <v>82</v>
      </c>
      <c r="D286" s="29" t="s">
        <v>1051</v>
      </c>
      <c r="E286" s="29" t="s">
        <v>34</v>
      </c>
      <c r="F286" s="29" t="s">
        <v>1520</v>
      </c>
    </row>
    <row r="287" spans="1:6" ht="14.6" x14ac:dyDescent="0.4">
      <c r="A287" s="29" t="s">
        <v>106</v>
      </c>
      <c r="B287" s="29" t="s">
        <v>1088</v>
      </c>
      <c r="C287" s="29" t="s">
        <v>82</v>
      </c>
      <c r="D287" s="29" t="s">
        <v>1029</v>
      </c>
      <c r="E287" s="29" t="s">
        <v>34</v>
      </c>
      <c r="F287" s="29" t="s">
        <v>1520</v>
      </c>
    </row>
    <row r="288" spans="1:6" ht="14.6" x14ac:dyDescent="0.4">
      <c r="A288" s="29" t="s">
        <v>106</v>
      </c>
      <c r="B288" s="29" t="s">
        <v>1116</v>
      </c>
      <c r="C288" s="29" t="s">
        <v>82</v>
      </c>
      <c r="D288" s="29" t="s">
        <v>1080</v>
      </c>
      <c r="E288" s="29" t="s">
        <v>34</v>
      </c>
      <c r="F288" s="29" t="s">
        <v>1520</v>
      </c>
    </row>
    <row r="289" spans="1:6" ht="14.6" x14ac:dyDescent="0.4">
      <c r="A289" s="29" t="s">
        <v>1030</v>
      </c>
      <c r="B289" s="29" t="s">
        <v>1056</v>
      </c>
      <c r="C289" s="29" t="s">
        <v>1031</v>
      </c>
      <c r="D289" s="29" t="s">
        <v>1054</v>
      </c>
      <c r="E289" s="29" t="s">
        <v>9</v>
      </c>
      <c r="F289" s="29" t="s">
        <v>1522</v>
      </c>
    </row>
    <row r="290" spans="1:6" ht="14.6" x14ac:dyDescent="0.4">
      <c r="A290" s="29" t="s">
        <v>7</v>
      </c>
      <c r="B290" s="29" t="s">
        <v>61</v>
      </c>
      <c r="C290" s="29" t="s">
        <v>8</v>
      </c>
      <c r="D290" s="29" t="s">
        <v>62</v>
      </c>
      <c r="E290" s="29" t="s">
        <v>9</v>
      </c>
      <c r="F290" s="29" t="s">
        <v>1520</v>
      </c>
    </row>
    <row r="291" spans="1:6" ht="14.6" x14ac:dyDescent="0.4">
      <c r="A291" s="29" t="s">
        <v>7</v>
      </c>
      <c r="B291" s="29" t="s">
        <v>83</v>
      </c>
      <c r="C291" s="29" t="s">
        <v>8</v>
      </c>
      <c r="D291" s="29" t="s">
        <v>84</v>
      </c>
      <c r="E291" s="29" t="s">
        <v>9</v>
      </c>
      <c r="F291" s="29" t="s">
        <v>1520</v>
      </c>
    </row>
    <row r="292" spans="1:6" ht="14.6" x14ac:dyDescent="0.4">
      <c r="A292" s="29" t="s">
        <v>7</v>
      </c>
      <c r="B292" s="29" t="s">
        <v>127</v>
      </c>
      <c r="C292" s="29" t="s">
        <v>8</v>
      </c>
      <c r="D292" s="29" t="s">
        <v>128</v>
      </c>
      <c r="E292" s="29" t="s">
        <v>9</v>
      </c>
      <c r="F292" s="29" t="s">
        <v>1520</v>
      </c>
    </row>
    <row r="293" spans="1:6" ht="14.6" x14ac:dyDescent="0.4">
      <c r="A293" s="29" t="s">
        <v>7</v>
      </c>
      <c r="B293" s="29" t="s">
        <v>1030</v>
      </c>
      <c r="C293" s="29" t="s">
        <v>8</v>
      </c>
      <c r="D293" s="29" t="s">
        <v>1031</v>
      </c>
      <c r="E293" s="29" t="s">
        <v>9</v>
      </c>
      <c r="F293" s="29" t="s">
        <v>1520</v>
      </c>
    </row>
    <row r="294" spans="1:6" ht="14.6" x14ac:dyDescent="0.4">
      <c r="A294" s="29" t="s">
        <v>7</v>
      </c>
      <c r="B294" s="29" t="s">
        <v>1037</v>
      </c>
      <c r="C294" s="29" t="s">
        <v>8</v>
      </c>
      <c r="D294" s="29" t="s">
        <v>1038</v>
      </c>
      <c r="E294" s="29" t="s">
        <v>9</v>
      </c>
      <c r="F294" s="29" t="s">
        <v>1520</v>
      </c>
    </row>
    <row r="295" spans="1:6" ht="14.6" x14ac:dyDescent="0.4">
      <c r="A295" s="29" t="s">
        <v>7</v>
      </c>
      <c r="B295" s="29" t="s">
        <v>1042</v>
      </c>
      <c r="C295" s="29" t="s">
        <v>8</v>
      </c>
      <c r="D295" s="29" t="s">
        <v>1038</v>
      </c>
      <c r="E295" s="29" t="s">
        <v>9</v>
      </c>
      <c r="F295" s="29" t="s">
        <v>1520</v>
      </c>
    </row>
    <row r="296" spans="1:6" ht="14.6" x14ac:dyDescent="0.4">
      <c r="A296" s="29" t="s">
        <v>7</v>
      </c>
      <c r="B296" s="29" t="s">
        <v>1056</v>
      </c>
      <c r="C296" s="29" t="s">
        <v>8</v>
      </c>
      <c r="D296" s="29" t="s">
        <v>1054</v>
      </c>
      <c r="E296" s="29" t="s">
        <v>9</v>
      </c>
      <c r="F296" s="29" t="s">
        <v>1520</v>
      </c>
    </row>
    <row r="297" spans="1:6" ht="14.6" x14ac:dyDescent="0.4">
      <c r="A297" s="29" t="s">
        <v>61</v>
      </c>
      <c r="B297" s="29" t="s">
        <v>83</v>
      </c>
      <c r="C297" s="29" t="s">
        <v>62</v>
      </c>
      <c r="D297" s="29" t="s">
        <v>84</v>
      </c>
      <c r="E297" s="29" t="s">
        <v>9</v>
      </c>
      <c r="F297" s="29" t="s">
        <v>1520</v>
      </c>
    </row>
    <row r="298" spans="1:6" ht="14.6" x14ac:dyDescent="0.4">
      <c r="A298" s="29" t="s">
        <v>61</v>
      </c>
      <c r="B298" s="29" t="s">
        <v>127</v>
      </c>
      <c r="C298" s="29" t="s">
        <v>62</v>
      </c>
      <c r="D298" s="29" t="s">
        <v>128</v>
      </c>
      <c r="E298" s="29" t="s">
        <v>9</v>
      </c>
      <c r="F298" s="29" t="s">
        <v>1520</v>
      </c>
    </row>
    <row r="299" spans="1:6" ht="14.6" x14ac:dyDescent="0.4">
      <c r="A299" s="29" t="s">
        <v>61</v>
      </c>
      <c r="B299" s="29" t="s">
        <v>1030</v>
      </c>
      <c r="C299" s="29" t="s">
        <v>62</v>
      </c>
      <c r="D299" s="29" t="s">
        <v>1031</v>
      </c>
      <c r="E299" s="29" t="s">
        <v>9</v>
      </c>
      <c r="F299" s="29" t="s">
        <v>1520</v>
      </c>
    </row>
    <row r="300" spans="1:6" ht="14.6" x14ac:dyDescent="0.4">
      <c r="A300" s="29" t="s">
        <v>61</v>
      </c>
      <c r="B300" s="29" t="s">
        <v>1037</v>
      </c>
      <c r="C300" s="29" t="s">
        <v>62</v>
      </c>
      <c r="D300" s="29" t="s">
        <v>1038</v>
      </c>
      <c r="E300" s="29" t="s">
        <v>9</v>
      </c>
      <c r="F300" s="29" t="s">
        <v>1520</v>
      </c>
    </row>
    <row r="301" spans="1:6" ht="14.6" x14ac:dyDescent="0.4">
      <c r="A301" s="29" t="s">
        <v>61</v>
      </c>
      <c r="B301" s="29" t="s">
        <v>1042</v>
      </c>
      <c r="C301" s="29" t="s">
        <v>62</v>
      </c>
      <c r="D301" s="29" t="s">
        <v>1038</v>
      </c>
      <c r="E301" s="29" t="s">
        <v>9</v>
      </c>
      <c r="F301" s="29" t="s">
        <v>1520</v>
      </c>
    </row>
    <row r="302" spans="1:6" ht="14.6" x14ac:dyDescent="0.4">
      <c r="A302" s="29" t="s">
        <v>61</v>
      </c>
      <c r="B302" s="29" t="s">
        <v>1056</v>
      </c>
      <c r="C302" s="29" t="s">
        <v>62</v>
      </c>
      <c r="D302" s="29" t="s">
        <v>1054</v>
      </c>
      <c r="E302" s="29" t="s">
        <v>9</v>
      </c>
      <c r="F302" s="29" t="s">
        <v>1520</v>
      </c>
    </row>
    <row r="303" spans="1:6" ht="14.6" x14ac:dyDescent="0.4">
      <c r="A303" s="29" t="s">
        <v>83</v>
      </c>
      <c r="B303" s="29" t="s">
        <v>127</v>
      </c>
      <c r="C303" s="29" t="s">
        <v>84</v>
      </c>
      <c r="D303" s="29" t="s">
        <v>128</v>
      </c>
      <c r="E303" s="29" t="s">
        <v>9</v>
      </c>
      <c r="F303" s="29" t="s">
        <v>1520</v>
      </c>
    </row>
    <row r="304" spans="1:6" ht="14.6" x14ac:dyDescent="0.4">
      <c r="A304" s="29" t="s">
        <v>83</v>
      </c>
      <c r="B304" s="29" t="s">
        <v>1030</v>
      </c>
      <c r="C304" s="29" t="s">
        <v>84</v>
      </c>
      <c r="D304" s="29" t="s">
        <v>1031</v>
      </c>
      <c r="E304" s="29" t="s">
        <v>9</v>
      </c>
      <c r="F304" s="29" t="s">
        <v>1520</v>
      </c>
    </row>
    <row r="305" spans="1:6" ht="14.6" x14ac:dyDescent="0.4">
      <c r="A305" s="29" t="s">
        <v>83</v>
      </c>
      <c r="B305" s="29" t="s">
        <v>1037</v>
      </c>
      <c r="C305" s="29" t="s">
        <v>84</v>
      </c>
      <c r="D305" s="29" t="s">
        <v>1038</v>
      </c>
      <c r="E305" s="29" t="s">
        <v>9</v>
      </c>
      <c r="F305" s="29" t="s">
        <v>1520</v>
      </c>
    </row>
    <row r="306" spans="1:6" ht="14.6" x14ac:dyDescent="0.4">
      <c r="A306" s="29" t="s">
        <v>83</v>
      </c>
      <c r="B306" s="29" t="s">
        <v>1042</v>
      </c>
      <c r="C306" s="29" t="s">
        <v>84</v>
      </c>
      <c r="D306" s="29" t="s">
        <v>1038</v>
      </c>
      <c r="E306" s="29" t="s">
        <v>9</v>
      </c>
      <c r="F306" s="29" t="s">
        <v>1520</v>
      </c>
    </row>
    <row r="307" spans="1:6" ht="14.6" x14ac:dyDescent="0.4">
      <c r="A307" s="29" t="s">
        <v>83</v>
      </c>
      <c r="B307" s="29" t="s">
        <v>1056</v>
      </c>
      <c r="C307" s="29" t="s">
        <v>84</v>
      </c>
      <c r="D307" s="29" t="s">
        <v>1054</v>
      </c>
      <c r="E307" s="29" t="s">
        <v>9</v>
      </c>
      <c r="F307" s="29" t="s">
        <v>1520</v>
      </c>
    </row>
    <row r="308" spans="1:6" ht="14.6" x14ac:dyDescent="0.4">
      <c r="A308" s="29" t="s">
        <v>127</v>
      </c>
      <c r="B308" s="29" t="s">
        <v>1030</v>
      </c>
      <c r="C308" s="29" t="s">
        <v>128</v>
      </c>
      <c r="D308" s="29" t="s">
        <v>1031</v>
      </c>
      <c r="E308" s="29" t="s">
        <v>9</v>
      </c>
      <c r="F308" s="29" t="s">
        <v>1520</v>
      </c>
    </row>
    <row r="309" spans="1:6" ht="14.6" x14ac:dyDescent="0.4">
      <c r="A309" s="29" t="s">
        <v>127</v>
      </c>
      <c r="B309" s="29" t="s">
        <v>1037</v>
      </c>
      <c r="C309" s="29" t="s">
        <v>128</v>
      </c>
      <c r="D309" s="29" t="s">
        <v>1038</v>
      </c>
      <c r="E309" s="29" t="s">
        <v>9</v>
      </c>
      <c r="F309" s="29" t="s">
        <v>1520</v>
      </c>
    </row>
    <row r="310" spans="1:6" ht="14.6" x14ac:dyDescent="0.4">
      <c r="A310" s="29" t="s">
        <v>127</v>
      </c>
      <c r="B310" s="29" t="s">
        <v>1042</v>
      </c>
      <c r="C310" s="29" t="s">
        <v>128</v>
      </c>
      <c r="D310" s="29" t="s">
        <v>1038</v>
      </c>
      <c r="E310" s="29" t="s">
        <v>9</v>
      </c>
      <c r="F310" s="29" t="s">
        <v>1520</v>
      </c>
    </row>
    <row r="311" spans="1:6" ht="14.6" x14ac:dyDescent="0.4">
      <c r="A311" s="29" t="s">
        <v>127</v>
      </c>
      <c r="B311" s="29" t="s">
        <v>1056</v>
      </c>
      <c r="C311" s="29" t="s">
        <v>128</v>
      </c>
      <c r="D311" s="29" t="s">
        <v>1054</v>
      </c>
      <c r="E311" s="29" t="s">
        <v>9</v>
      </c>
      <c r="F311" s="29" t="s">
        <v>1520</v>
      </c>
    </row>
    <row r="312" spans="1:6" ht="14.6" x14ac:dyDescent="0.4">
      <c r="A312" s="29" t="s">
        <v>1030</v>
      </c>
      <c r="B312" s="29" t="s">
        <v>1037</v>
      </c>
      <c r="C312" s="29" t="s">
        <v>1031</v>
      </c>
      <c r="D312" s="29" t="s">
        <v>1038</v>
      </c>
      <c r="E312" s="29" t="s">
        <v>9</v>
      </c>
      <c r="F312" s="29" t="s">
        <v>1520</v>
      </c>
    </row>
    <row r="313" spans="1:6" ht="14.6" x14ac:dyDescent="0.4">
      <c r="A313" s="29" t="s">
        <v>1030</v>
      </c>
      <c r="B313" s="29" t="s">
        <v>1042</v>
      </c>
      <c r="C313" s="29" t="s">
        <v>1031</v>
      </c>
      <c r="D313" s="29" t="s">
        <v>1038</v>
      </c>
      <c r="E313" s="29" t="s">
        <v>9</v>
      </c>
      <c r="F313" s="29" t="s">
        <v>1520</v>
      </c>
    </row>
    <row r="314" spans="1:6" ht="14.6" x14ac:dyDescent="0.4">
      <c r="A314" s="29" t="s">
        <v>1037</v>
      </c>
      <c r="B314" s="29" t="s">
        <v>1042</v>
      </c>
      <c r="C314" s="29" t="s">
        <v>1038</v>
      </c>
      <c r="D314" s="29" t="s">
        <v>1038</v>
      </c>
      <c r="E314" s="29" t="s">
        <v>9</v>
      </c>
      <c r="F314" s="29" t="s">
        <v>1520</v>
      </c>
    </row>
    <row r="315" spans="1:6" ht="14.6" x14ac:dyDescent="0.4">
      <c r="A315" s="29" t="s">
        <v>1037</v>
      </c>
      <c r="B315" s="29" t="s">
        <v>1056</v>
      </c>
      <c r="C315" s="29" t="s">
        <v>1038</v>
      </c>
      <c r="D315" s="29" t="s">
        <v>1054</v>
      </c>
      <c r="E315" s="29" t="s">
        <v>9</v>
      </c>
      <c r="F315" s="29" t="s">
        <v>1520</v>
      </c>
    </row>
    <row r="316" spans="1:6" ht="14.6" x14ac:dyDescent="0.4">
      <c r="A316" s="29" t="s">
        <v>1042</v>
      </c>
      <c r="B316" s="29" t="s">
        <v>1056</v>
      </c>
      <c r="C316" s="29" t="s">
        <v>1038</v>
      </c>
      <c r="D316" s="29" t="s">
        <v>1054</v>
      </c>
      <c r="E316" s="29" t="s">
        <v>9</v>
      </c>
      <c r="F316" s="29" t="s">
        <v>1520</v>
      </c>
    </row>
    <row r="317" spans="1:6" ht="14.6" x14ac:dyDescent="0.4">
      <c r="A317" s="29" t="s">
        <v>1103</v>
      </c>
      <c r="B317" s="29" t="s">
        <v>1111</v>
      </c>
      <c r="C317" s="29" t="s">
        <v>1080</v>
      </c>
      <c r="D317" s="29" t="s">
        <v>1029</v>
      </c>
      <c r="E317" s="29" t="s">
        <v>58</v>
      </c>
      <c r="F317" s="29" t="s">
        <v>1522</v>
      </c>
    </row>
    <row r="318" spans="1:6" ht="14.6" x14ac:dyDescent="0.4">
      <c r="A318" s="29" t="s">
        <v>1213</v>
      </c>
      <c r="B318" s="29" t="s">
        <v>1247</v>
      </c>
      <c r="C318" s="29" t="s">
        <v>1156</v>
      </c>
      <c r="D318" s="29" t="s">
        <v>1145</v>
      </c>
      <c r="E318" s="29" t="s">
        <v>58</v>
      </c>
      <c r="F318" s="29" t="s">
        <v>1522</v>
      </c>
    </row>
    <row r="319" spans="1:6" ht="14.6" x14ac:dyDescent="0.4">
      <c r="A319" s="29" t="s">
        <v>56</v>
      </c>
      <c r="B319" s="29" t="s">
        <v>111</v>
      </c>
      <c r="C319" s="29" t="s">
        <v>57</v>
      </c>
      <c r="D319" s="29" t="s">
        <v>112</v>
      </c>
      <c r="E319" s="29" t="s">
        <v>58</v>
      </c>
      <c r="F319" s="29" t="s">
        <v>1520</v>
      </c>
    </row>
    <row r="320" spans="1:6" ht="14.6" x14ac:dyDescent="0.4">
      <c r="A320" s="29" t="s">
        <v>56</v>
      </c>
      <c r="B320" s="29" t="s">
        <v>159</v>
      </c>
      <c r="C320" s="29" t="s">
        <v>57</v>
      </c>
      <c r="D320" s="29" t="s">
        <v>160</v>
      </c>
      <c r="E320" s="29" t="s">
        <v>58</v>
      </c>
      <c r="F320" s="29" t="s">
        <v>1520</v>
      </c>
    </row>
    <row r="321" spans="1:6" ht="14.6" x14ac:dyDescent="0.4">
      <c r="A321" s="29" t="s">
        <v>56</v>
      </c>
      <c r="B321" s="29" t="s">
        <v>199</v>
      </c>
      <c r="C321" s="29" t="s">
        <v>57</v>
      </c>
      <c r="D321" s="29" t="s">
        <v>200</v>
      </c>
      <c r="E321" s="29" t="s">
        <v>58</v>
      </c>
      <c r="F321" s="29" t="s">
        <v>1520</v>
      </c>
    </row>
    <row r="322" spans="1:6" ht="14.6" x14ac:dyDescent="0.4">
      <c r="A322" s="29" t="s">
        <v>56</v>
      </c>
      <c r="B322" s="29" t="s">
        <v>1103</v>
      </c>
      <c r="C322" s="29" t="s">
        <v>57</v>
      </c>
      <c r="D322" s="29" t="s">
        <v>1080</v>
      </c>
      <c r="E322" s="29" t="s">
        <v>58</v>
      </c>
      <c r="F322" s="29" t="s">
        <v>1520</v>
      </c>
    </row>
    <row r="323" spans="1:6" ht="14.6" x14ac:dyDescent="0.4">
      <c r="A323" s="29" t="s">
        <v>56</v>
      </c>
      <c r="B323" s="29" t="s">
        <v>1111</v>
      </c>
      <c r="C323" s="29" t="s">
        <v>57</v>
      </c>
      <c r="D323" s="29" t="s">
        <v>1029</v>
      </c>
      <c r="E323" s="29" t="s">
        <v>58</v>
      </c>
      <c r="F323" s="29" t="s">
        <v>1520</v>
      </c>
    </row>
    <row r="324" spans="1:6" ht="14.6" x14ac:dyDescent="0.4">
      <c r="A324" s="29" t="s">
        <v>56</v>
      </c>
      <c r="B324" s="29" t="s">
        <v>1213</v>
      </c>
      <c r="C324" s="29" t="s">
        <v>57</v>
      </c>
      <c r="D324" s="29" t="s">
        <v>1156</v>
      </c>
      <c r="E324" s="29" t="s">
        <v>58</v>
      </c>
      <c r="F324" s="29" t="s">
        <v>1520</v>
      </c>
    </row>
    <row r="325" spans="1:6" ht="14.6" x14ac:dyDescent="0.4">
      <c r="A325" s="29" t="s">
        <v>56</v>
      </c>
      <c r="B325" s="29" t="s">
        <v>1247</v>
      </c>
      <c r="C325" s="29" t="s">
        <v>57</v>
      </c>
      <c r="D325" s="29" t="s">
        <v>1145</v>
      </c>
      <c r="E325" s="29" t="s">
        <v>58</v>
      </c>
      <c r="F325" s="29" t="s">
        <v>1520</v>
      </c>
    </row>
    <row r="326" spans="1:6" ht="14.6" x14ac:dyDescent="0.4">
      <c r="A326" s="29" t="s">
        <v>111</v>
      </c>
      <c r="B326" s="29" t="s">
        <v>159</v>
      </c>
      <c r="C326" s="29" t="s">
        <v>112</v>
      </c>
      <c r="D326" s="29" t="s">
        <v>160</v>
      </c>
      <c r="E326" s="29" t="s">
        <v>58</v>
      </c>
      <c r="F326" s="29" t="s">
        <v>1520</v>
      </c>
    </row>
    <row r="327" spans="1:6" ht="14.6" x14ac:dyDescent="0.4">
      <c r="A327" s="29" t="s">
        <v>111</v>
      </c>
      <c r="B327" s="29" t="s">
        <v>199</v>
      </c>
      <c r="C327" s="29" t="s">
        <v>112</v>
      </c>
      <c r="D327" s="29" t="s">
        <v>200</v>
      </c>
      <c r="E327" s="29" t="s">
        <v>58</v>
      </c>
      <c r="F327" s="29" t="s">
        <v>1520</v>
      </c>
    </row>
    <row r="328" spans="1:6" ht="14.6" x14ac:dyDescent="0.4">
      <c r="A328" s="29" t="s">
        <v>111</v>
      </c>
      <c r="B328" s="29" t="s">
        <v>1103</v>
      </c>
      <c r="C328" s="29" t="s">
        <v>112</v>
      </c>
      <c r="D328" s="29" t="s">
        <v>1080</v>
      </c>
      <c r="E328" s="29" t="s">
        <v>58</v>
      </c>
      <c r="F328" s="29" t="s">
        <v>1520</v>
      </c>
    </row>
    <row r="329" spans="1:6" ht="14.6" x14ac:dyDescent="0.4">
      <c r="A329" s="29" t="s">
        <v>111</v>
      </c>
      <c r="B329" s="29" t="s">
        <v>1111</v>
      </c>
      <c r="C329" s="29" t="s">
        <v>112</v>
      </c>
      <c r="D329" s="29" t="s">
        <v>1029</v>
      </c>
      <c r="E329" s="29" t="s">
        <v>58</v>
      </c>
      <c r="F329" s="29" t="s">
        <v>1520</v>
      </c>
    </row>
    <row r="330" spans="1:6" ht="14.6" x14ac:dyDescent="0.4">
      <c r="A330" s="29" t="s">
        <v>111</v>
      </c>
      <c r="B330" s="29" t="s">
        <v>1213</v>
      </c>
      <c r="C330" s="29" t="s">
        <v>112</v>
      </c>
      <c r="D330" s="29" t="s">
        <v>1156</v>
      </c>
      <c r="E330" s="29" t="s">
        <v>58</v>
      </c>
      <c r="F330" s="29" t="s">
        <v>1520</v>
      </c>
    </row>
    <row r="331" spans="1:6" ht="14.6" x14ac:dyDescent="0.4">
      <c r="A331" s="29" t="s">
        <v>111</v>
      </c>
      <c r="B331" s="29" t="s">
        <v>1247</v>
      </c>
      <c r="C331" s="29" t="s">
        <v>112</v>
      </c>
      <c r="D331" s="29" t="s">
        <v>1145</v>
      </c>
      <c r="E331" s="29" t="s">
        <v>58</v>
      </c>
      <c r="F331" s="29" t="s">
        <v>1520</v>
      </c>
    </row>
    <row r="332" spans="1:6" ht="14.6" x14ac:dyDescent="0.4">
      <c r="A332" s="29" t="s">
        <v>159</v>
      </c>
      <c r="B332" s="29" t="s">
        <v>199</v>
      </c>
      <c r="C332" s="29" t="s">
        <v>160</v>
      </c>
      <c r="D332" s="29" t="s">
        <v>200</v>
      </c>
      <c r="E332" s="29" t="s">
        <v>58</v>
      </c>
      <c r="F332" s="29" t="s">
        <v>1520</v>
      </c>
    </row>
    <row r="333" spans="1:6" ht="14.6" x14ac:dyDescent="0.4">
      <c r="A333" s="29" t="s">
        <v>159</v>
      </c>
      <c r="B333" s="29" t="s">
        <v>1103</v>
      </c>
      <c r="C333" s="29" t="s">
        <v>160</v>
      </c>
      <c r="D333" s="29" t="s">
        <v>1080</v>
      </c>
      <c r="E333" s="29" t="s">
        <v>58</v>
      </c>
      <c r="F333" s="29" t="s">
        <v>1520</v>
      </c>
    </row>
    <row r="334" spans="1:6" ht="14.6" x14ac:dyDescent="0.4">
      <c r="A334" s="29" t="s">
        <v>159</v>
      </c>
      <c r="B334" s="29" t="s">
        <v>1111</v>
      </c>
      <c r="C334" s="29" t="s">
        <v>160</v>
      </c>
      <c r="D334" s="29" t="s">
        <v>1029</v>
      </c>
      <c r="E334" s="29" t="s">
        <v>58</v>
      </c>
      <c r="F334" s="29" t="s">
        <v>1520</v>
      </c>
    </row>
    <row r="335" spans="1:6" ht="14.6" x14ac:dyDescent="0.4">
      <c r="A335" s="29" t="s">
        <v>159</v>
      </c>
      <c r="B335" s="29" t="s">
        <v>1213</v>
      </c>
      <c r="C335" s="29" t="s">
        <v>160</v>
      </c>
      <c r="D335" s="29" t="s">
        <v>1156</v>
      </c>
      <c r="E335" s="29" t="s">
        <v>58</v>
      </c>
      <c r="F335" s="29" t="s">
        <v>1520</v>
      </c>
    </row>
    <row r="336" spans="1:6" ht="14.6" x14ac:dyDescent="0.4">
      <c r="A336" s="29" t="s">
        <v>159</v>
      </c>
      <c r="B336" s="29" t="s">
        <v>1247</v>
      </c>
      <c r="C336" s="29" t="s">
        <v>160</v>
      </c>
      <c r="D336" s="29" t="s">
        <v>1145</v>
      </c>
      <c r="E336" s="29" t="s">
        <v>58</v>
      </c>
      <c r="F336" s="29" t="s">
        <v>1520</v>
      </c>
    </row>
    <row r="337" spans="1:6" ht="14.6" x14ac:dyDescent="0.4">
      <c r="A337" s="29" t="s">
        <v>199</v>
      </c>
      <c r="B337" s="29" t="s">
        <v>1103</v>
      </c>
      <c r="C337" s="29" t="s">
        <v>200</v>
      </c>
      <c r="D337" s="29" t="s">
        <v>1080</v>
      </c>
      <c r="E337" s="29" t="s">
        <v>58</v>
      </c>
      <c r="F337" s="29" t="s">
        <v>1520</v>
      </c>
    </row>
    <row r="338" spans="1:6" ht="14.6" x14ac:dyDescent="0.4">
      <c r="A338" s="29" t="s">
        <v>199</v>
      </c>
      <c r="B338" s="29" t="s">
        <v>1111</v>
      </c>
      <c r="C338" s="29" t="s">
        <v>200</v>
      </c>
      <c r="D338" s="29" t="s">
        <v>1029</v>
      </c>
      <c r="E338" s="29" t="s">
        <v>58</v>
      </c>
      <c r="F338" s="29" t="s">
        <v>1520</v>
      </c>
    </row>
    <row r="339" spans="1:6" ht="14.6" x14ac:dyDescent="0.4">
      <c r="A339" s="29" t="s">
        <v>199</v>
      </c>
      <c r="B339" s="29" t="s">
        <v>1213</v>
      </c>
      <c r="C339" s="29" t="s">
        <v>200</v>
      </c>
      <c r="D339" s="29" t="s">
        <v>1156</v>
      </c>
      <c r="E339" s="29" t="s">
        <v>58</v>
      </c>
      <c r="F339" s="29" t="s">
        <v>1520</v>
      </c>
    </row>
    <row r="340" spans="1:6" ht="14.6" x14ac:dyDescent="0.4">
      <c r="A340" s="29" t="s">
        <v>199</v>
      </c>
      <c r="B340" s="29" t="s">
        <v>1247</v>
      </c>
      <c r="C340" s="29" t="s">
        <v>200</v>
      </c>
      <c r="D340" s="29" t="s">
        <v>1145</v>
      </c>
      <c r="E340" s="29" t="s">
        <v>58</v>
      </c>
      <c r="F340" s="29" t="s">
        <v>1520</v>
      </c>
    </row>
    <row r="341" spans="1:6" ht="14.6" x14ac:dyDescent="0.4">
      <c r="A341" s="29" t="s">
        <v>1103</v>
      </c>
      <c r="B341" s="29" t="s">
        <v>1213</v>
      </c>
      <c r="C341" s="29" t="s">
        <v>1080</v>
      </c>
      <c r="D341" s="29" t="s">
        <v>1156</v>
      </c>
      <c r="E341" s="29" t="s">
        <v>58</v>
      </c>
      <c r="F341" s="29" t="s">
        <v>1520</v>
      </c>
    </row>
    <row r="342" spans="1:6" ht="14.6" x14ac:dyDescent="0.4">
      <c r="A342" s="29" t="s">
        <v>1103</v>
      </c>
      <c r="B342" s="29" t="s">
        <v>1247</v>
      </c>
      <c r="C342" s="29" t="s">
        <v>1080</v>
      </c>
      <c r="D342" s="29" t="s">
        <v>1145</v>
      </c>
      <c r="E342" s="29" t="s">
        <v>58</v>
      </c>
      <c r="F342" s="29" t="s">
        <v>1520</v>
      </c>
    </row>
    <row r="343" spans="1:6" ht="14.6" x14ac:dyDescent="0.4">
      <c r="A343" s="29" t="s">
        <v>1111</v>
      </c>
      <c r="B343" s="29" t="s">
        <v>1213</v>
      </c>
      <c r="C343" s="29" t="s">
        <v>1029</v>
      </c>
      <c r="D343" s="29" t="s">
        <v>1156</v>
      </c>
      <c r="E343" s="29" t="s">
        <v>58</v>
      </c>
      <c r="F343" s="29" t="s">
        <v>1520</v>
      </c>
    </row>
    <row r="344" spans="1:6" ht="14.6" x14ac:dyDescent="0.4">
      <c r="A344" s="29" t="s">
        <v>1111</v>
      </c>
      <c r="B344" s="29" t="s">
        <v>1247</v>
      </c>
      <c r="C344" s="29" t="s">
        <v>1029</v>
      </c>
      <c r="D344" s="29" t="s">
        <v>1145</v>
      </c>
      <c r="E344" s="29" t="s">
        <v>58</v>
      </c>
      <c r="F344" s="29" t="s">
        <v>1520</v>
      </c>
    </row>
    <row r="345" spans="1:6" ht="14.6" x14ac:dyDescent="0.4">
      <c r="A345" s="29" t="s">
        <v>1352</v>
      </c>
      <c r="B345" s="29" t="s">
        <v>1424</v>
      </c>
      <c r="C345" s="29" t="s">
        <v>1353</v>
      </c>
      <c r="D345" s="29" t="s">
        <v>1359</v>
      </c>
      <c r="E345" s="29" t="s">
        <v>12</v>
      </c>
      <c r="F345" s="29" t="s">
        <v>1522</v>
      </c>
    </row>
    <row r="346" spans="1:6" ht="14.6" x14ac:dyDescent="0.4">
      <c r="A346" s="29" t="s">
        <v>1034</v>
      </c>
      <c r="B346" s="29" t="s">
        <v>1079</v>
      </c>
      <c r="C346" s="29" t="s">
        <v>1035</v>
      </c>
      <c r="D346" s="29" t="s">
        <v>1080</v>
      </c>
      <c r="E346" s="29" t="s">
        <v>12</v>
      </c>
      <c r="F346" s="29" t="s">
        <v>1522</v>
      </c>
    </row>
    <row r="347" spans="1:6" ht="14.6" x14ac:dyDescent="0.4">
      <c r="A347" s="29" t="s">
        <v>10</v>
      </c>
      <c r="B347" s="29" t="s">
        <v>30</v>
      </c>
      <c r="C347" s="29" t="s">
        <v>11</v>
      </c>
      <c r="D347" s="29" t="s">
        <v>31</v>
      </c>
      <c r="E347" s="29" t="s">
        <v>12</v>
      </c>
      <c r="F347" s="29" t="s">
        <v>1520</v>
      </c>
    </row>
    <row r="348" spans="1:6" ht="14.6" x14ac:dyDescent="0.4">
      <c r="A348" s="29" t="s">
        <v>10</v>
      </c>
      <c r="B348" s="29" t="s">
        <v>37</v>
      </c>
      <c r="C348" s="29" t="s">
        <v>11</v>
      </c>
      <c r="D348" s="29" t="s">
        <v>38</v>
      </c>
      <c r="E348" s="29" t="s">
        <v>12</v>
      </c>
      <c r="F348" s="29" t="s">
        <v>1520</v>
      </c>
    </row>
    <row r="349" spans="1:6" ht="14.6" x14ac:dyDescent="0.4">
      <c r="A349" s="29" t="s">
        <v>10</v>
      </c>
      <c r="B349" s="29" t="s">
        <v>59</v>
      </c>
      <c r="C349" s="29" t="s">
        <v>11</v>
      </c>
      <c r="D349" s="29" t="s">
        <v>60</v>
      </c>
      <c r="E349" s="29" t="s">
        <v>12</v>
      </c>
      <c r="F349" s="29" t="s">
        <v>1520</v>
      </c>
    </row>
    <row r="350" spans="1:6" ht="14.6" x14ac:dyDescent="0.4">
      <c r="A350" s="29" t="s">
        <v>10</v>
      </c>
      <c r="B350" s="29" t="s">
        <v>1352</v>
      </c>
      <c r="C350" s="29" t="s">
        <v>11</v>
      </c>
      <c r="D350" s="29" t="s">
        <v>1353</v>
      </c>
      <c r="E350" s="29" t="s">
        <v>12</v>
      </c>
      <c r="F350" s="29" t="s">
        <v>1520</v>
      </c>
    </row>
    <row r="351" spans="1:6" ht="14.6" x14ac:dyDescent="0.4">
      <c r="A351" s="29" t="s">
        <v>10</v>
      </c>
      <c r="B351" s="29" t="s">
        <v>1424</v>
      </c>
      <c r="C351" s="29" t="s">
        <v>11</v>
      </c>
      <c r="D351" s="29" t="s">
        <v>1359</v>
      </c>
      <c r="E351" s="29" t="s">
        <v>12</v>
      </c>
      <c r="F351" s="29" t="s">
        <v>1520</v>
      </c>
    </row>
    <row r="352" spans="1:6" ht="14.6" x14ac:dyDescent="0.4">
      <c r="A352" s="29" t="s">
        <v>10</v>
      </c>
      <c r="B352" s="29" t="s">
        <v>1034</v>
      </c>
      <c r="C352" s="29" t="s">
        <v>11</v>
      </c>
      <c r="D352" s="29" t="s">
        <v>1035</v>
      </c>
      <c r="E352" s="29" t="s">
        <v>12</v>
      </c>
      <c r="F352" s="29" t="s">
        <v>1520</v>
      </c>
    </row>
    <row r="353" spans="1:6" ht="14.6" x14ac:dyDescent="0.4">
      <c r="A353" s="29" t="s">
        <v>10</v>
      </c>
      <c r="B353" s="29" t="s">
        <v>1079</v>
      </c>
      <c r="C353" s="29" t="s">
        <v>11</v>
      </c>
      <c r="D353" s="29" t="s">
        <v>1080</v>
      </c>
      <c r="E353" s="29" t="s">
        <v>12</v>
      </c>
      <c r="F353" s="29" t="s">
        <v>1520</v>
      </c>
    </row>
    <row r="354" spans="1:6" ht="14.6" x14ac:dyDescent="0.4">
      <c r="A354" s="29" t="s">
        <v>30</v>
      </c>
      <c r="B354" s="29" t="s">
        <v>37</v>
      </c>
      <c r="C354" s="29" t="s">
        <v>31</v>
      </c>
      <c r="D354" s="29" t="s">
        <v>38</v>
      </c>
      <c r="E354" s="29" t="s">
        <v>12</v>
      </c>
      <c r="F354" s="29" t="s">
        <v>1520</v>
      </c>
    </row>
    <row r="355" spans="1:6" ht="14.6" x14ac:dyDescent="0.4">
      <c r="A355" s="29" t="s">
        <v>30</v>
      </c>
      <c r="B355" s="29" t="s">
        <v>59</v>
      </c>
      <c r="C355" s="29" t="s">
        <v>31</v>
      </c>
      <c r="D355" s="29" t="s">
        <v>60</v>
      </c>
      <c r="E355" s="29" t="s">
        <v>12</v>
      </c>
      <c r="F355" s="29" t="s">
        <v>1520</v>
      </c>
    </row>
    <row r="356" spans="1:6" ht="14.6" x14ac:dyDescent="0.4">
      <c r="A356" s="29" t="s">
        <v>30</v>
      </c>
      <c r="B356" s="29" t="s">
        <v>1352</v>
      </c>
      <c r="C356" s="29" t="s">
        <v>31</v>
      </c>
      <c r="D356" s="29" t="s">
        <v>1353</v>
      </c>
      <c r="E356" s="29" t="s">
        <v>12</v>
      </c>
      <c r="F356" s="29" t="s">
        <v>1520</v>
      </c>
    </row>
    <row r="357" spans="1:6" ht="14.6" x14ac:dyDescent="0.4">
      <c r="A357" s="29" t="s">
        <v>30</v>
      </c>
      <c r="B357" s="29" t="s">
        <v>1424</v>
      </c>
      <c r="C357" s="29" t="s">
        <v>31</v>
      </c>
      <c r="D357" s="29" t="s">
        <v>1359</v>
      </c>
      <c r="E357" s="29" t="s">
        <v>12</v>
      </c>
      <c r="F357" s="29" t="s">
        <v>1520</v>
      </c>
    </row>
    <row r="358" spans="1:6" ht="14.6" x14ac:dyDescent="0.4">
      <c r="A358" s="29" t="s">
        <v>30</v>
      </c>
      <c r="B358" s="29" t="s">
        <v>1034</v>
      </c>
      <c r="C358" s="29" t="s">
        <v>31</v>
      </c>
      <c r="D358" s="29" t="s">
        <v>1035</v>
      </c>
      <c r="E358" s="29" t="s">
        <v>12</v>
      </c>
      <c r="F358" s="29" t="s">
        <v>1520</v>
      </c>
    </row>
    <row r="359" spans="1:6" ht="14.6" x14ac:dyDescent="0.4">
      <c r="A359" s="29" t="s">
        <v>30</v>
      </c>
      <c r="B359" s="29" t="s">
        <v>1079</v>
      </c>
      <c r="C359" s="29" t="s">
        <v>31</v>
      </c>
      <c r="D359" s="29" t="s">
        <v>1080</v>
      </c>
      <c r="E359" s="29" t="s">
        <v>12</v>
      </c>
      <c r="F359" s="29" t="s">
        <v>1520</v>
      </c>
    </row>
    <row r="360" spans="1:6" ht="14.6" x14ac:dyDescent="0.4">
      <c r="A360" s="29" t="s">
        <v>37</v>
      </c>
      <c r="B360" s="29" t="s">
        <v>59</v>
      </c>
      <c r="C360" s="29" t="s">
        <v>38</v>
      </c>
      <c r="D360" s="29" t="s">
        <v>60</v>
      </c>
      <c r="E360" s="29" t="s">
        <v>12</v>
      </c>
      <c r="F360" s="29" t="s">
        <v>1520</v>
      </c>
    </row>
    <row r="361" spans="1:6" ht="14.6" x14ac:dyDescent="0.4">
      <c r="A361" s="29" t="s">
        <v>37</v>
      </c>
      <c r="B361" s="29" t="s">
        <v>1352</v>
      </c>
      <c r="C361" s="29" t="s">
        <v>38</v>
      </c>
      <c r="D361" s="29" t="s">
        <v>1353</v>
      </c>
      <c r="E361" s="29" t="s">
        <v>12</v>
      </c>
      <c r="F361" s="29" t="s">
        <v>1520</v>
      </c>
    </row>
    <row r="362" spans="1:6" ht="14.6" x14ac:dyDescent="0.4">
      <c r="A362" s="29" t="s">
        <v>37</v>
      </c>
      <c r="B362" s="29" t="s">
        <v>1424</v>
      </c>
      <c r="C362" s="29" t="s">
        <v>38</v>
      </c>
      <c r="D362" s="29" t="s">
        <v>1359</v>
      </c>
      <c r="E362" s="29" t="s">
        <v>12</v>
      </c>
      <c r="F362" s="29" t="s">
        <v>1520</v>
      </c>
    </row>
    <row r="363" spans="1:6" ht="14.6" x14ac:dyDescent="0.4">
      <c r="A363" s="29" t="s">
        <v>37</v>
      </c>
      <c r="B363" s="29" t="s">
        <v>1034</v>
      </c>
      <c r="C363" s="29" t="s">
        <v>38</v>
      </c>
      <c r="D363" s="29" t="s">
        <v>1035</v>
      </c>
      <c r="E363" s="29" t="s">
        <v>12</v>
      </c>
      <c r="F363" s="29" t="s">
        <v>1520</v>
      </c>
    </row>
    <row r="364" spans="1:6" ht="14.6" x14ac:dyDescent="0.4">
      <c r="A364" s="29" t="s">
        <v>37</v>
      </c>
      <c r="B364" s="29" t="s">
        <v>1079</v>
      </c>
      <c r="C364" s="29" t="s">
        <v>38</v>
      </c>
      <c r="D364" s="29" t="s">
        <v>1080</v>
      </c>
      <c r="E364" s="29" t="s">
        <v>12</v>
      </c>
      <c r="F364" s="29" t="s">
        <v>1520</v>
      </c>
    </row>
    <row r="365" spans="1:6" ht="14.6" x14ac:dyDescent="0.4">
      <c r="A365" s="29" t="s">
        <v>59</v>
      </c>
      <c r="B365" s="29" t="s">
        <v>1352</v>
      </c>
      <c r="C365" s="29" t="s">
        <v>60</v>
      </c>
      <c r="D365" s="29" t="s">
        <v>1353</v>
      </c>
      <c r="E365" s="29" t="s">
        <v>12</v>
      </c>
      <c r="F365" s="29" t="s">
        <v>1520</v>
      </c>
    </row>
    <row r="366" spans="1:6" ht="14.6" x14ac:dyDescent="0.4">
      <c r="A366" s="29" t="s">
        <v>59</v>
      </c>
      <c r="B366" s="29" t="s">
        <v>1424</v>
      </c>
      <c r="C366" s="29" t="s">
        <v>60</v>
      </c>
      <c r="D366" s="29" t="s">
        <v>1359</v>
      </c>
      <c r="E366" s="29" t="s">
        <v>12</v>
      </c>
      <c r="F366" s="29" t="s">
        <v>1520</v>
      </c>
    </row>
    <row r="367" spans="1:6" ht="14.6" x14ac:dyDescent="0.4">
      <c r="A367" s="29" t="s">
        <v>59</v>
      </c>
      <c r="B367" s="29" t="s">
        <v>1034</v>
      </c>
      <c r="C367" s="29" t="s">
        <v>60</v>
      </c>
      <c r="D367" s="29" t="s">
        <v>1035</v>
      </c>
      <c r="E367" s="29" t="s">
        <v>12</v>
      </c>
      <c r="F367" s="29" t="s">
        <v>1520</v>
      </c>
    </row>
    <row r="368" spans="1:6" ht="14.6" x14ac:dyDescent="0.4">
      <c r="A368" s="29" t="s">
        <v>59</v>
      </c>
      <c r="B368" s="29" t="s">
        <v>1079</v>
      </c>
      <c r="C368" s="29" t="s">
        <v>60</v>
      </c>
      <c r="D368" s="29" t="s">
        <v>1080</v>
      </c>
      <c r="E368" s="29" t="s">
        <v>12</v>
      </c>
      <c r="F368" s="29" t="s">
        <v>1520</v>
      </c>
    </row>
    <row r="369" spans="1:8" ht="14.6" x14ac:dyDescent="0.4">
      <c r="A369" s="29" t="s">
        <v>1352</v>
      </c>
      <c r="B369" s="29" t="s">
        <v>1034</v>
      </c>
      <c r="C369" s="29" t="s">
        <v>1353</v>
      </c>
      <c r="D369" s="29" t="s">
        <v>1035</v>
      </c>
      <c r="E369" s="29" t="s">
        <v>12</v>
      </c>
      <c r="F369" s="29" t="s">
        <v>1520</v>
      </c>
    </row>
    <row r="370" spans="1:8" ht="14.6" x14ac:dyDescent="0.4">
      <c r="A370" s="29" t="s">
        <v>1352</v>
      </c>
      <c r="B370" s="29" t="s">
        <v>1079</v>
      </c>
      <c r="C370" s="29" t="s">
        <v>1353</v>
      </c>
      <c r="D370" s="29" t="s">
        <v>1080</v>
      </c>
      <c r="E370" s="29" t="s">
        <v>12</v>
      </c>
      <c r="F370" s="29" t="s">
        <v>1520</v>
      </c>
    </row>
    <row r="371" spans="1:8" ht="14.6" x14ac:dyDescent="0.4">
      <c r="A371" s="29" t="s">
        <v>1424</v>
      </c>
      <c r="B371" s="29" t="s">
        <v>1034</v>
      </c>
      <c r="C371" s="29" t="s">
        <v>1359</v>
      </c>
      <c r="D371" s="29" t="s">
        <v>1035</v>
      </c>
      <c r="E371" s="29" t="s">
        <v>12</v>
      </c>
      <c r="F371" s="29" t="s">
        <v>1520</v>
      </c>
    </row>
    <row r="372" spans="1:8" ht="14.6" x14ac:dyDescent="0.4">
      <c r="A372" s="29" t="s">
        <v>1424</v>
      </c>
      <c r="B372" s="29" t="s">
        <v>1079</v>
      </c>
      <c r="C372" s="29" t="s">
        <v>1359</v>
      </c>
      <c r="D372" s="29" t="s">
        <v>1080</v>
      </c>
      <c r="E372" s="29" t="s">
        <v>12</v>
      </c>
      <c r="F372" s="29" t="s">
        <v>1520</v>
      </c>
    </row>
    <row r="374" spans="1:8" ht="20.149999999999999" x14ac:dyDescent="0.5">
      <c r="G374" s="52">
        <f>COUNTIF(F:F,"YES")</f>
        <v>35</v>
      </c>
      <c r="H374" s="52">
        <f>COUNTIF(F:F,"No")</f>
        <v>336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B232" workbookViewId="0"/>
  </sheetViews>
  <sheetFormatPr defaultColWidth="12.61328125" defaultRowHeight="15.75" customHeight="1" x14ac:dyDescent="0.3"/>
  <cols>
    <col min="1" max="1" width="16.61328125" customWidth="1"/>
    <col min="2" max="2" width="17" customWidth="1"/>
    <col min="3" max="3" width="47.15234375" customWidth="1"/>
    <col min="4" max="4" width="46" customWidth="1"/>
    <col min="5" max="5" width="22.3828125" customWidth="1"/>
    <col min="6" max="6" width="15.61328125" customWidth="1"/>
    <col min="7" max="8" width="7.61328125" customWidth="1"/>
    <col min="9" max="9" width="37.84375" customWidth="1"/>
    <col min="10" max="26" width="7.61328125" customWidth="1"/>
  </cols>
  <sheetData>
    <row r="1" spans="1:26" ht="15.75" customHeight="1" x14ac:dyDescent="0.5">
      <c r="A1" s="19" t="s">
        <v>1870</v>
      </c>
      <c r="B1" s="19" t="s">
        <v>1871</v>
      </c>
      <c r="C1" s="19" t="s">
        <v>1872</v>
      </c>
      <c r="D1" s="19" t="s">
        <v>1873</v>
      </c>
      <c r="E1" s="19" t="s">
        <v>1565</v>
      </c>
      <c r="F1" s="19" t="s">
        <v>1732</v>
      </c>
      <c r="G1" s="19" t="s">
        <v>1577</v>
      </c>
      <c r="H1" s="19" t="s">
        <v>1578</v>
      </c>
      <c r="I1" s="19" t="s">
        <v>1579</v>
      </c>
      <c r="J1" s="20"/>
      <c r="K1" s="20"/>
      <c r="L1" s="20"/>
      <c r="M1" s="20"/>
      <c r="N1" s="20"/>
      <c r="O1" s="20"/>
      <c r="P1" s="20"/>
      <c r="Q1" s="20"/>
      <c r="R1" s="20"/>
      <c r="S1" s="20"/>
      <c r="T1" s="20"/>
      <c r="U1" s="20"/>
      <c r="V1" s="20"/>
      <c r="W1" s="20"/>
      <c r="X1" s="20"/>
      <c r="Y1" s="20"/>
      <c r="Z1" s="20"/>
    </row>
    <row r="2" spans="1:26" ht="15.75" customHeight="1" x14ac:dyDescent="0.4">
      <c r="A2" s="8" t="s">
        <v>45</v>
      </c>
      <c r="B2" s="8" t="s">
        <v>87</v>
      </c>
      <c r="C2" s="8" t="s">
        <v>46</v>
      </c>
      <c r="D2" s="8" t="s">
        <v>88</v>
      </c>
      <c r="E2" s="8" t="s">
        <v>47</v>
      </c>
      <c r="F2" s="8" t="s">
        <v>1584</v>
      </c>
      <c r="G2" s="8" t="s">
        <v>1768</v>
      </c>
      <c r="H2" s="8" t="s">
        <v>1874</v>
      </c>
      <c r="I2" s="21"/>
    </row>
    <row r="3" spans="1:26" ht="15.75" customHeight="1" x14ac:dyDescent="0.4">
      <c r="A3" s="8" t="s">
        <v>45</v>
      </c>
      <c r="B3" s="8" t="s">
        <v>104</v>
      </c>
      <c r="C3" s="8" t="s">
        <v>46</v>
      </c>
      <c r="D3" s="8" t="s">
        <v>105</v>
      </c>
      <c r="E3" s="8" t="s">
        <v>47</v>
      </c>
      <c r="F3" s="8" t="s">
        <v>1584</v>
      </c>
      <c r="G3" s="8" t="s">
        <v>1768</v>
      </c>
      <c r="H3" s="8" t="s">
        <v>1874</v>
      </c>
      <c r="I3" s="21"/>
    </row>
    <row r="4" spans="1:26" ht="15.75" customHeight="1" x14ac:dyDescent="0.4">
      <c r="A4" s="8" t="s">
        <v>45</v>
      </c>
      <c r="B4" s="8" t="s">
        <v>107</v>
      </c>
      <c r="C4" s="8" t="s">
        <v>46</v>
      </c>
      <c r="D4" s="8" t="s">
        <v>108</v>
      </c>
      <c r="E4" s="8" t="s">
        <v>47</v>
      </c>
      <c r="F4" s="8" t="s">
        <v>1584</v>
      </c>
      <c r="G4" s="8" t="s">
        <v>1768</v>
      </c>
      <c r="H4" s="8" t="s">
        <v>1874</v>
      </c>
      <c r="I4" s="21"/>
    </row>
    <row r="5" spans="1:26" ht="15.75" customHeight="1" x14ac:dyDescent="0.4">
      <c r="A5" s="8" t="s">
        <v>87</v>
      </c>
      <c r="B5" s="8" t="s">
        <v>104</v>
      </c>
      <c r="C5" s="8" t="s">
        <v>88</v>
      </c>
      <c r="D5" s="8" t="s">
        <v>105</v>
      </c>
      <c r="E5" s="8" t="s">
        <v>47</v>
      </c>
      <c r="F5" s="8" t="s">
        <v>1584</v>
      </c>
      <c r="G5" s="8" t="s">
        <v>1768</v>
      </c>
      <c r="H5" s="8" t="s">
        <v>1874</v>
      </c>
      <c r="I5" s="21"/>
    </row>
    <row r="6" spans="1:26" ht="15.75" customHeight="1" x14ac:dyDescent="0.4">
      <c r="A6" s="8" t="s">
        <v>87</v>
      </c>
      <c r="B6" s="8" t="s">
        <v>107</v>
      </c>
      <c r="C6" s="8" t="s">
        <v>88</v>
      </c>
      <c r="D6" s="8" t="s">
        <v>108</v>
      </c>
      <c r="E6" s="8" t="s">
        <v>47</v>
      </c>
      <c r="F6" s="8" t="s">
        <v>1584</v>
      </c>
      <c r="G6" s="8" t="s">
        <v>1768</v>
      </c>
      <c r="H6" s="8" t="s">
        <v>1874</v>
      </c>
      <c r="I6" s="21"/>
    </row>
    <row r="7" spans="1:26" ht="15.75" customHeight="1" x14ac:dyDescent="0.4">
      <c r="A7" s="8" t="s">
        <v>104</v>
      </c>
      <c r="B7" s="8" t="s">
        <v>107</v>
      </c>
      <c r="C7" s="8" t="s">
        <v>105</v>
      </c>
      <c r="D7" s="8" t="s">
        <v>108</v>
      </c>
      <c r="E7" s="8" t="s">
        <v>47</v>
      </c>
      <c r="F7" s="8" t="s">
        <v>1584</v>
      </c>
      <c r="G7" s="8" t="s">
        <v>1768</v>
      </c>
      <c r="H7" s="8" t="s">
        <v>1874</v>
      </c>
      <c r="I7" s="21"/>
    </row>
    <row r="8" spans="1:26" ht="15.75" customHeight="1" x14ac:dyDescent="0.4">
      <c r="A8" s="8" t="s">
        <v>19</v>
      </c>
      <c r="B8" s="8" t="s">
        <v>35</v>
      </c>
      <c r="C8" s="8" t="s">
        <v>20</v>
      </c>
      <c r="D8" s="8" t="s">
        <v>36</v>
      </c>
      <c r="E8" s="8" t="s">
        <v>21</v>
      </c>
      <c r="F8" s="8" t="s">
        <v>1584</v>
      </c>
      <c r="G8" s="8" t="s">
        <v>1768</v>
      </c>
      <c r="H8" s="8" t="s">
        <v>1874</v>
      </c>
      <c r="I8" s="21"/>
    </row>
    <row r="9" spans="1:26" ht="15.75" customHeight="1" x14ac:dyDescent="0.4">
      <c r="A9" s="8" t="s">
        <v>19</v>
      </c>
      <c r="B9" s="8" t="s">
        <v>152</v>
      </c>
      <c r="C9" s="8" t="s">
        <v>20</v>
      </c>
      <c r="D9" s="8" t="s">
        <v>11</v>
      </c>
      <c r="E9" s="8" t="s">
        <v>21</v>
      </c>
      <c r="F9" s="8" t="s">
        <v>1584</v>
      </c>
      <c r="G9" s="8" t="s">
        <v>1768</v>
      </c>
      <c r="H9" s="8" t="s">
        <v>1874</v>
      </c>
      <c r="I9" s="21"/>
    </row>
    <row r="10" spans="1:26" ht="15.75" customHeight="1" x14ac:dyDescent="0.4">
      <c r="A10" s="8" t="s">
        <v>19</v>
      </c>
      <c r="B10" s="8" t="s">
        <v>1417</v>
      </c>
      <c r="C10" s="8" t="s">
        <v>20</v>
      </c>
      <c r="D10" s="8" t="s">
        <v>1355</v>
      </c>
      <c r="E10" s="8" t="s">
        <v>21</v>
      </c>
      <c r="F10" s="8" t="s">
        <v>1584</v>
      </c>
      <c r="G10" s="8" t="s">
        <v>1768</v>
      </c>
      <c r="H10" s="8" t="s">
        <v>1874</v>
      </c>
      <c r="I10" s="21"/>
    </row>
    <row r="11" spans="1:26" ht="15.75" customHeight="1" x14ac:dyDescent="0.4">
      <c r="A11" s="8" t="s">
        <v>19</v>
      </c>
      <c r="B11" s="8" t="s">
        <v>1039</v>
      </c>
      <c r="C11" s="8" t="s">
        <v>20</v>
      </c>
      <c r="D11" s="8" t="s">
        <v>1040</v>
      </c>
      <c r="E11" s="8" t="s">
        <v>21</v>
      </c>
      <c r="F11" s="8" t="s">
        <v>1584</v>
      </c>
      <c r="G11" s="8" t="s">
        <v>1768</v>
      </c>
      <c r="H11" s="8" t="s">
        <v>1874</v>
      </c>
      <c r="I11" s="21"/>
    </row>
    <row r="12" spans="1:26" ht="15.75" customHeight="1" x14ac:dyDescent="0.4">
      <c r="A12" s="8" t="s">
        <v>19</v>
      </c>
      <c r="B12" s="8" t="s">
        <v>1068</v>
      </c>
      <c r="C12" s="8" t="s">
        <v>20</v>
      </c>
      <c r="D12" s="8" t="s">
        <v>1033</v>
      </c>
      <c r="E12" s="8" t="s">
        <v>21</v>
      </c>
      <c r="F12" s="8" t="s">
        <v>1584</v>
      </c>
      <c r="G12" s="8" t="s">
        <v>1768</v>
      </c>
      <c r="H12" s="8" t="s">
        <v>1874</v>
      </c>
      <c r="I12" s="21"/>
    </row>
    <row r="13" spans="1:26" ht="15.75" customHeight="1" x14ac:dyDescent="0.4">
      <c r="A13" s="8" t="s">
        <v>19</v>
      </c>
      <c r="B13" s="8" t="s">
        <v>1089</v>
      </c>
      <c r="C13" s="8" t="s">
        <v>20</v>
      </c>
      <c r="D13" s="8" t="s">
        <v>1062</v>
      </c>
      <c r="E13" s="8" t="s">
        <v>21</v>
      </c>
      <c r="F13" s="8" t="s">
        <v>1584</v>
      </c>
      <c r="G13" s="8" t="s">
        <v>1768</v>
      </c>
      <c r="H13" s="8" t="s">
        <v>1874</v>
      </c>
      <c r="I13" s="21"/>
    </row>
    <row r="14" spans="1:26" ht="15.75" customHeight="1" x14ac:dyDescent="0.4">
      <c r="A14" s="8" t="s">
        <v>19</v>
      </c>
      <c r="B14" s="8" t="s">
        <v>1100</v>
      </c>
      <c r="C14" s="8" t="s">
        <v>20</v>
      </c>
      <c r="D14" s="8" t="s">
        <v>1070</v>
      </c>
      <c r="E14" s="8" t="s">
        <v>21</v>
      </c>
      <c r="F14" s="8" t="s">
        <v>1584</v>
      </c>
      <c r="G14" s="8" t="s">
        <v>1768</v>
      </c>
      <c r="H14" s="8" t="s">
        <v>1874</v>
      </c>
      <c r="I14" s="21"/>
    </row>
    <row r="15" spans="1:26" ht="15.75" customHeight="1" x14ac:dyDescent="0.4">
      <c r="A15" s="8" t="s">
        <v>35</v>
      </c>
      <c r="B15" s="8" t="s">
        <v>152</v>
      </c>
      <c r="C15" s="8" t="s">
        <v>36</v>
      </c>
      <c r="D15" s="8" t="s">
        <v>11</v>
      </c>
      <c r="E15" s="8" t="s">
        <v>21</v>
      </c>
      <c r="F15" s="8" t="s">
        <v>1584</v>
      </c>
      <c r="G15" s="8" t="s">
        <v>1768</v>
      </c>
      <c r="H15" s="8" t="s">
        <v>1874</v>
      </c>
      <c r="I15" s="21"/>
    </row>
    <row r="16" spans="1:26" ht="15.75" customHeight="1" x14ac:dyDescent="0.4">
      <c r="A16" s="8" t="s">
        <v>35</v>
      </c>
      <c r="B16" s="8" t="s">
        <v>1417</v>
      </c>
      <c r="C16" s="8" t="s">
        <v>36</v>
      </c>
      <c r="D16" s="8" t="s">
        <v>1355</v>
      </c>
      <c r="E16" s="8" t="s">
        <v>21</v>
      </c>
      <c r="F16" s="8" t="s">
        <v>1584</v>
      </c>
      <c r="G16" s="8" t="s">
        <v>1768</v>
      </c>
      <c r="H16" s="8" t="s">
        <v>1874</v>
      </c>
      <c r="I16" s="21"/>
    </row>
    <row r="17" spans="1:9" ht="15.75" customHeight="1" x14ac:dyDescent="0.4">
      <c r="A17" s="8" t="s">
        <v>35</v>
      </c>
      <c r="B17" s="8" t="s">
        <v>1039</v>
      </c>
      <c r="C17" s="8" t="s">
        <v>36</v>
      </c>
      <c r="D17" s="8" t="s">
        <v>1040</v>
      </c>
      <c r="E17" s="8" t="s">
        <v>21</v>
      </c>
      <c r="F17" s="8" t="s">
        <v>1584</v>
      </c>
      <c r="G17" s="8" t="s">
        <v>1768</v>
      </c>
      <c r="H17" s="8" t="s">
        <v>1874</v>
      </c>
      <c r="I17" s="21"/>
    </row>
    <row r="18" spans="1:9" ht="15.75" customHeight="1" x14ac:dyDescent="0.4">
      <c r="A18" s="8" t="s">
        <v>35</v>
      </c>
      <c r="B18" s="8" t="s">
        <v>1068</v>
      </c>
      <c r="C18" s="8" t="s">
        <v>36</v>
      </c>
      <c r="D18" s="8" t="s">
        <v>1033</v>
      </c>
      <c r="E18" s="8" t="s">
        <v>21</v>
      </c>
      <c r="F18" s="8" t="s">
        <v>1584</v>
      </c>
      <c r="G18" s="8" t="s">
        <v>1768</v>
      </c>
      <c r="H18" s="8" t="s">
        <v>1874</v>
      </c>
      <c r="I18" s="21"/>
    </row>
    <row r="19" spans="1:9" ht="15.75" customHeight="1" x14ac:dyDescent="0.4">
      <c r="A19" s="8" t="s">
        <v>35</v>
      </c>
      <c r="B19" s="8" t="s">
        <v>1089</v>
      </c>
      <c r="C19" s="8" t="s">
        <v>36</v>
      </c>
      <c r="D19" s="8" t="s">
        <v>1062</v>
      </c>
      <c r="E19" s="8" t="s">
        <v>21</v>
      </c>
      <c r="F19" s="8" t="s">
        <v>1584</v>
      </c>
      <c r="G19" s="8" t="s">
        <v>1768</v>
      </c>
      <c r="H19" s="8" t="s">
        <v>1874</v>
      </c>
      <c r="I19" s="21"/>
    </row>
    <row r="20" spans="1:9" ht="15.75" customHeight="1" x14ac:dyDescent="0.4">
      <c r="A20" s="8" t="s">
        <v>35</v>
      </c>
      <c r="B20" s="8" t="s">
        <v>1100</v>
      </c>
      <c r="C20" s="8" t="s">
        <v>36</v>
      </c>
      <c r="D20" s="8" t="s">
        <v>1070</v>
      </c>
      <c r="E20" s="8" t="s">
        <v>21</v>
      </c>
      <c r="F20" s="8" t="s">
        <v>1584</v>
      </c>
      <c r="G20" s="8" t="s">
        <v>1768</v>
      </c>
      <c r="H20" s="8" t="s">
        <v>1874</v>
      </c>
      <c r="I20" s="21"/>
    </row>
    <row r="21" spans="1:9" ht="15.75" customHeight="1" x14ac:dyDescent="0.4">
      <c r="A21" s="8" t="s">
        <v>152</v>
      </c>
      <c r="B21" s="8" t="s">
        <v>1417</v>
      </c>
      <c r="C21" s="8" t="s">
        <v>11</v>
      </c>
      <c r="D21" s="8" t="s">
        <v>1355</v>
      </c>
      <c r="E21" s="8" t="s">
        <v>21</v>
      </c>
      <c r="F21" s="8" t="s">
        <v>1584</v>
      </c>
      <c r="G21" s="8" t="s">
        <v>1768</v>
      </c>
      <c r="H21" s="8" t="s">
        <v>1874</v>
      </c>
      <c r="I21" s="21"/>
    </row>
    <row r="22" spans="1:9" ht="15.75" customHeight="1" x14ac:dyDescent="0.4">
      <c r="A22" s="8" t="s">
        <v>152</v>
      </c>
      <c r="B22" s="8" t="s">
        <v>1039</v>
      </c>
      <c r="C22" s="8" t="s">
        <v>11</v>
      </c>
      <c r="D22" s="8" t="s">
        <v>1040</v>
      </c>
      <c r="E22" s="8" t="s">
        <v>21</v>
      </c>
      <c r="F22" s="8" t="s">
        <v>1584</v>
      </c>
      <c r="G22" s="8" t="s">
        <v>1768</v>
      </c>
      <c r="H22" s="8" t="s">
        <v>1874</v>
      </c>
      <c r="I22" s="21"/>
    </row>
    <row r="23" spans="1:9" ht="15.75" customHeight="1" x14ac:dyDescent="0.4">
      <c r="A23" s="8" t="s">
        <v>152</v>
      </c>
      <c r="B23" s="8" t="s">
        <v>1068</v>
      </c>
      <c r="C23" s="8" t="s">
        <v>11</v>
      </c>
      <c r="D23" s="8" t="s">
        <v>1033</v>
      </c>
      <c r="E23" s="8" t="s">
        <v>21</v>
      </c>
      <c r="F23" s="8" t="s">
        <v>1584</v>
      </c>
      <c r="G23" s="8" t="s">
        <v>1768</v>
      </c>
      <c r="H23" s="8" t="s">
        <v>1874</v>
      </c>
      <c r="I23" s="21"/>
    </row>
    <row r="24" spans="1:9" ht="15.75" customHeight="1" x14ac:dyDescent="0.4">
      <c r="A24" s="8" t="s">
        <v>152</v>
      </c>
      <c r="B24" s="8" t="s">
        <v>1089</v>
      </c>
      <c r="C24" s="8" t="s">
        <v>11</v>
      </c>
      <c r="D24" s="8" t="s">
        <v>1062</v>
      </c>
      <c r="E24" s="8" t="s">
        <v>21</v>
      </c>
      <c r="F24" s="8" t="s">
        <v>1584</v>
      </c>
      <c r="G24" s="8" t="s">
        <v>1768</v>
      </c>
      <c r="H24" s="8" t="s">
        <v>1874</v>
      </c>
      <c r="I24" s="21"/>
    </row>
    <row r="25" spans="1:9" ht="15.75" customHeight="1" x14ac:dyDescent="0.4">
      <c r="A25" s="8" t="s">
        <v>152</v>
      </c>
      <c r="B25" s="8" t="s">
        <v>1100</v>
      </c>
      <c r="C25" s="8" t="s">
        <v>11</v>
      </c>
      <c r="D25" s="8" t="s">
        <v>1070</v>
      </c>
      <c r="E25" s="8" t="s">
        <v>21</v>
      </c>
      <c r="F25" s="8" t="s">
        <v>1584</v>
      </c>
      <c r="G25" s="8" t="s">
        <v>1768</v>
      </c>
      <c r="H25" s="8" t="s">
        <v>1874</v>
      </c>
      <c r="I25" s="21"/>
    </row>
    <row r="26" spans="1:9" ht="15.75" customHeight="1" x14ac:dyDescent="0.4">
      <c r="A26" s="8" t="s">
        <v>1417</v>
      </c>
      <c r="B26" s="8" t="s">
        <v>1039</v>
      </c>
      <c r="C26" s="8" t="s">
        <v>1355</v>
      </c>
      <c r="D26" s="8" t="s">
        <v>1040</v>
      </c>
      <c r="E26" s="8" t="s">
        <v>21</v>
      </c>
      <c r="F26" s="8" t="s">
        <v>1584</v>
      </c>
      <c r="G26" s="8" t="s">
        <v>1768</v>
      </c>
      <c r="H26" s="8" t="s">
        <v>1874</v>
      </c>
      <c r="I26" s="21"/>
    </row>
    <row r="27" spans="1:9" ht="15.75" customHeight="1" x14ac:dyDescent="0.4">
      <c r="A27" s="8" t="s">
        <v>1417</v>
      </c>
      <c r="B27" s="8" t="s">
        <v>1068</v>
      </c>
      <c r="C27" s="8" t="s">
        <v>1355</v>
      </c>
      <c r="D27" s="8" t="s">
        <v>1033</v>
      </c>
      <c r="E27" s="8" t="s">
        <v>21</v>
      </c>
      <c r="F27" s="8" t="s">
        <v>1584</v>
      </c>
      <c r="G27" s="8" t="s">
        <v>1768</v>
      </c>
      <c r="H27" s="8" t="s">
        <v>1874</v>
      </c>
      <c r="I27" s="21"/>
    </row>
    <row r="28" spans="1:9" ht="15.75" customHeight="1" x14ac:dyDescent="0.4">
      <c r="A28" s="8" t="s">
        <v>1417</v>
      </c>
      <c r="B28" s="8" t="s">
        <v>1089</v>
      </c>
      <c r="C28" s="8" t="s">
        <v>1355</v>
      </c>
      <c r="D28" s="8" t="s">
        <v>1062</v>
      </c>
      <c r="E28" s="8" t="s">
        <v>21</v>
      </c>
      <c r="F28" s="8" t="s">
        <v>1584</v>
      </c>
      <c r="G28" s="8" t="s">
        <v>1768</v>
      </c>
      <c r="H28" s="8" t="s">
        <v>1874</v>
      </c>
      <c r="I28" s="21"/>
    </row>
    <row r="29" spans="1:9" ht="15.75" customHeight="1" x14ac:dyDescent="0.4">
      <c r="A29" s="8" t="s">
        <v>1417</v>
      </c>
      <c r="B29" s="8" t="s">
        <v>1100</v>
      </c>
      <c r="C29" s="8" t="s">
        <v>1355</v>
      </c>
      <c r="D29" s="8" t="s">
        <v>1070</v>
      </c>
      <c r="E29" s="8" t="s">
        <v>21</v>
      </c>
      <c r="F29" s="8" t="s">
        <v>1584</v>
      </c>
      <c r="G29" s="8" t="s">
        <v>1768</v>
      </c>
      <c r="H29" s="8" t="s">
        <v>1874</v>
      </c>
      <c r="I29" s="21"/>
    </row>
    <row r="30" spans="1:9" ht="15.75" customHeight="1" x14ac:dyDescent="0.4">
      <c r="A30" s="8" t="s">
        <v>1039</v>
      </c>
      <c r="B30" s="8" t="s">
        <v>1068</v>
      </c>
      <c r="C30" s="8" t="s">
        <v>1040</v>
      </c>
      <c r="D30" s="8" t="s">
        <v>1033</v>
      </c>
      <c r="E30" s="8" t="s">
        <v>21</v>
      </c>
      <c r="F30" s="8" t="s">
        <v>1584</v>
      </c>
      <c r="G30" s="8" t="s">
        <v>1768</v>
      </c>
      <c r="H30" s="8" t="s">
        <v>1874</v>
      </c>
      <c r="I30" s="21"/>
    </row>
    <row r="31" spans="1:9" ht="15.75" customHeight="1" x14ac:dyDescent="0.4">
      <c r="A31" s="8" t="s">
        <v>1039</v>
      </c>
      <c r="B31" s="8" t="s">
        <v>1089</v>
      </c>
      <c r="C31" s="8" t="s">
        <v>1040</v>
      </c>
      <c r="D31" s="8" t="s">
        <v>1062</v>
      </c>
      <c r="E31" s="8" t="s">
        <v>21</v>
      </c>
      <c r="F31" s="8" t="s">
        <v>1584</v>
      </c>
      <c r="G31" s="8" t="s">
        <v>1768</v>
      </c>
      <c r="H31" s="8" t="s">
        <v>1874</v>
      </c>
      <c r="I31" s="21"/>
    </row>
    <row r="32" spans="1:9" ht="15.75" customHeight="1" x14ac:dyDescent="0.4">
      <c r="A32" s="8" t="s">
        <v>1039</v>
      </c>
      <c r="B32" s="8" t="s">
        <v>1100</v>
      </c>
      <c r="C32" s="8" t="s">
        <v>1040</v>
      </c>
      <c r="D32" s="8" t="s">
        <v>1070</v>
      </c>
      <c r="E32" s="8" t="s">
        <v>21</v>
      </c>
      <c r="F32" s="8" t="s">
        <v>1584</v>
      </c>
      <c r="G32" s="8" t="s">
        <v>1768</v>
      </c>
      <c r="H32" s="8" t="s">
        <v>1874</v>
      </c>
      <c r="I32" s="21"/>
    </row>
    <row r="33" spans="1:9" ht="15.75" customHeight="1" x14ac:dyDescent="0.4">
      <c r="A33" s="8" t="s">
        <v>1068</v>
      </c>
      <c r="B33" s="8" t="s">
        <v>1089</v>
      </c>
      <c r="C33" s="8" t="s">
        <v>1033</v>
      </c>
      <c r="D33" s="8" t="s">
        <v>1062</v>
      </c>
      <c r="E33" s="8" t="s">
        <v>21</v>
      </c>
      <c r="F33" s="8" t="s">
        <v>1584</v>
      </c>
      <c r="G33" s="8" t="s">
        <v>1768</v>
      </c>
      <c r="H33" s="8" t="s">
        <v>1874</v>
      </c>
      <c r="I33" s="21"/>
    </row>
    <row r="34" spans="1:9" ht="15.75" customHeight="1" x14ac:dyDescent="0.4">
      <c r="A34" s="8" t="s">
        <v>1068</v>
      </c>
      <c r="B34" s="8" t="s">
        <v>1100</v>
      </c>
      <c r="C34" s="8" t="s">
        <v>1033</v>
      </c>
      <c r="D34" s="8" t="s">
        <v>1070</v>
      </c>
      <c r="E34" s="8" t="s">
        <v>21</v>
      </c>
      <c r="F34" s="8" t="s">
        <v>1584</v>
      </c>
      <c r="G34" s="8" t="s">
        <v>1768</v>
      </c>
      <c r="H34" s="8" t="s">
        <v>1874</v>
      </c>
      <c r="I34" s="21"/>
    </row>
    <row r="35" spans="1:9" ht="15.75" customHeight="1" x14ac:dyDescent="0.4">
      <c r="A35" s="8" t="s">
        <v>1089</v>
      </c>
      <c r="B35" s="8" t="s">
        <v>1100</v>
      </c>
      <c r="C35" s="8" t="s">
        <v>1062</v>
      </c>
      <c r="D35" s="8" t="s">
        <v>1070</v>
      </c>
      <c r="E35" s="8" t="s">
        <v>21</v>
      </c>
      <c r="F35" s="8" t="s">
        <v>1584</v>
      </c>
      <c r="G35" s="8" t="s">
        <v>1768</v>
      </c>
      <c r="H35" s="8" t="s">
        <v>1874</v>
      </c>
      <c r="I35" s="21"/>
    </row>
    <row r="36" spans="1:9" ht="15.75" customHeight="1" x14ac:dyDescent="0.4">
      <c r="A36" s="8" t="s">
        <v>27</v>
      </c>
      <c r="B36" s="8" t="s">
        <v>69</v>
      </c>
      <c r="C36" s="8" t="s">
        <v>28</v>
      </c>
      <c r="D36" s="8" t="s">
        <v>70</v>
      </c>
      <c r="E36" s="8" t="s">
        <v>29</v>
      </c>
      <c r="F36" s="8" t="s">
        <v>1584</v>
      </c>
      <c r="G36" s="8" t="s">
        <v>1768</v>
      </c>
      <c r="H36" s="8" t="s">
        <v>1874</v>
      </c>
      <c r="I36" s="21"/>
    </row>
    <row r="37" spans="1:9" ht="14.6" x14ac:dyDescent="0.4">
      <c r="A37" s="8" t="s">
        <v>27</v>
      </c>
      <c r="B37" s="8" t="s">
        <v>96</v>
      </c>
      <c r="C37" s="8" t="s">
        <v>28</v>
      </c>
      <c r="D37" s="8" t="s">
        <v>8</v>
      </c>
      <c r="E37" s="8" t="s">
        <v>29</v>
      </c>
      <c r="F37" s="8" t="s">
        <v>1584</v>
      </c>
      <c r="G37" s="8" t="s">
        <v>1768</v>
      </c>
      <c r="H37" s="8" t="s">
        <v>1874</v>
      </c>
      <c r="I37" s="21"/>
    </row>
    <row r="38" spans="1:9" ht="14.6" x14ac:dyDescent="0.4">
      <c r="A38" s="8" t="s">
        <v>27</v>
      </c>
      <c r="B38" s="8" t="s">
        <v>100</v>
      </c>
      <c r="C38" s="8" t="s">
        <v>28</v>
      </c>
      <c r="D38" s="8" t="s">
        <v>101</v>
      </c>
      <c r="E38" s="8" t="s">
        <v>29</v>
      </c>
      <c r="F38" s="8" t="s">
        <v>1584</v>
      </c>
      <c r="G38" s="8" t="s">
        <v>1768</v>
      </c>
      <c r="H38" s="8" t="s">
        <v>1874</v>
      </c>
      <c r="I38" s="21"/>
    </row>
    <row r="39" spans="1:9" ht="14.6" x14ac:dyDescent="0.4">
      <c r="A39" s="8" t="s">
        <v>27</v>
      </c>
      <c r="B39" s="8" t="s">
        <v>1144</v>
      </c>
      <c r="C39" s="8" t="s">
        <v>28</v>
      </c>
      <c r="D39" s="8" t="s">
        <v>1145</v>
      </c>
      <c r="E39" s="8" t="s">
        <v>29</v>
      </c>
      <c r="F39" s="8" t="s">
        <v>1584</v>
      </c>
      <c r="G39" s="8" t="s">
        <v>1768</v>
      </c>
      <c r="H39" s="8" t="s">
        <v>1874</v>
      </c>
      <c r="I39" s="21"/>
    </row>
    <row r="40" spans="1:9" ht="14.6" x14ac:dyDescent="0.4">
      <c r="A40" s="8" t="s">
        <v>27</v>
      </c>
      <c r="B40" s="8" t="s">
        <v>1194</v>
      </c>
      <c r="C40" s="8" t="s">
        <v>28</v>
      </c>
      <c r="D40" s="8" t="s">
        <v>1158</v>
      </c>
      <c r="E40" s="8" t="s">
        <v>29</v>
      </c>
      <c r="F40" s="8" t="s">
        <v>1584</v>
      </c>
      <c r="G40" s="8" t="s">
        <v>1768</v>
      </c>
      <c r="H40" s="8" t="s">
        <v>1874</v>
      </c>
      <c r="I40" s="21"/>
    </row>
    <row r="41" spans="1:9" ht="14.6" x14ac:dyDescent="0.4">
      <c r="A41" s="8" t="s">
        <v>27</v>
      </c>
      <c r="B41" s="8" t="s">
        <v>1207</v>
      </c>
      <c r="C41" s="8" t="s">
        <v>28</v>
      </c>
      <c r="D41" s="8" t="s">
        <v>1156</v>
      </c>
      <c r="E41" s="8" t="s">
        <v>29</v>
      </c>
      <c r="F41" s="8" t="s">
        <v>1584</v>
      </c>
      <c r="G41" s="8" t="s">
        <v>1768</v>
      </c>
      <c r="H41" s="8" t="s">
        <v>1874</v>
      </c>
      <c r="I41" s="21"/>
    </row>
    <row r="42" spans="1:9" ht="14.6" x14ac:dyDescent="0.4">
      <c r="A42" s="8" t="s">
        <v>27</v>
      </c>
      <c r="B42" s="8" t="s">
        <v>1254</v>
      </c>
      <c r="C42" s="8" t="s">
        <v>28</v>
      </c>
      <c r="D42" s="8" t="s">
        <v>1145</v>
      </c>
      <c r="E42" s="8" t="s">
        <v>29</v>
      </c>
      <c r="F42" s="8" t="s">
        <v>1584</v>
      </c>
      <c r="G42" s="8" t="s">
        <v>1768</v>
      </c>
      <c r="H42" s="8" t="s">
        <v>1874</v>
      </c>
      <c r="I42" s="21"/>
    </row>
    <row r="43" spans="1:9" ht="14.6" x14ac:dyDescent="0.4">
      <c r="A43" s="8" t="s">
        <v>69</v>
      </c>
      <c r="B43" s="8" t="s">
        <v>96</v>
      </c>
      <c r="C43" s="8" t="s">
        <v>70</v>
      </c>
      <c r="D43" s="8" t="s">
        <v>8</v>
      </c>
      <c r="E43" s="8" t="s">
        <v>29</v>
      </c>
      <c r="F43" s="8" t="s">
        <v>1584</v>
      </c>
      <c r="G43" s="8" t="s">
        <v>1768</v>
      </c>
      <c r="H43" s="8" t="s">
        <v>1874</v>
      </c>
      <c r="I43" s="21"/>
    </row>
    <row r="44" spans="1:9" ht="14.6" x14ac:dyDescent="0.4">
      <c r="A44" s="8" t="s">
        <v>69</v>
      </c>
      <c r="B44" s="8" t="s">
        <v>100</v>
      </c>
      <c r="C44" s="8" t="s">
        <v>70</v>
      </c>
      <c r="D44" s="8" t="s">
        <v>101</v>
      </c>
      <c r="E44" s="8" t="s">
        <v>29</v>
      </c>
      <c r="F44" s="8" t="s">
        <v>1584</v>
      </c>
      <c r="G44" s="8" t="s">
        <v>1768</v>
      </c>
      <c r="H44" s="8" t="s">
        <v>1874</v>
      </c>
      <c r="I44" s="21"/>
    </row>
    <row r="45" spans="1:9" ht="14.6" x14ac:dyDescent="0.4">
      <c r="A45" s="8" t="s">
        <v>69</v>
      </c>
      <c r="B45" s="8" t="s">
        <v>1144</v>
      </c>
      <c r="C45" s="8" t="s">
        <v>70</v>
      </c>
      <c r="D45" s="8" t="s">
        <v>1145</v>
      </c>
      <c r="E45" s="8" t="s">
        <v>29</v>
      </c>
      <c r="F45" s="8" t="s">
        <v>1584</v>
      </c>
      <c r="G45" s="8" t="s">
        <v>1768</v>
      </c>
      <c r="H45" s="8" t="s">
        <v>1874</v>
      </c>
      <c r="I45" s="21"/>
    </row>
    <row r="46" spans="1:9" ht="14.6" x14ac:dyDescent="0.4">
      <c r="A46" s="8" t="s">
        <v>69</v>
      </c>
      <c r="B46" s="8" t="s">
        <v>1194</v>
      </c>
      <c r="C46" s="8" t="s">
        <v>70</v>
      </c>
      <c r="D46" s="8" t="s">
        <v>1158</v>
      </c>
      <c r="E46" s="8" t="s">
        <v>29</v>
      </c>
      <c r="F46" s="8" t="s">
        <v>1584</v>
      </c>
      <c r="G46" s="8" t="s">
        <v>1768</v>
      </c>
      <c r="H46" s="8" t="s">
        <v>1874</v>
      </c>
      <c r="I46" s="21"/>
    </row>
    <row r="47" spans="1:9" ht="14.6" x14ac:dyDescent="0.4">
      <c r="A47" s="8" t="s">
        <v>69</v>
      </c>
      <c r="B47" s="8" t="s">
        <v>1207</v>
      </c>
      <c r="C47" s="8" t="s">
        <v>70</v>
      </c>
      <c r="D47" s="8" t="s">
        <v>1156</v>
      </c>
      <c r="E47" s="8" t="s">
        <v>29</v>
      </c>
      <c r="F47" s="8" t="s">
        <v>1584</v>
      </c>
      <c r="G47" s="8" t="s">
        <v>1768</v>
      </c>
      <c r="H47" s="8" t="s">
        <v>1874</v>
      </c>
      <c r="I47" s="21"/>
    </row>
    <row r="48" spans="1:9" ht="14.6" x14ac:dyDescent="0.4">
      <c r="A48" s="8" t="s">
        <v>69</v>
      </c>
      <c r="B48" s="8" t="s">
        <v>1254</v>
      </c>
      <c r="C48" s="8" t="s">
        <v>70</v>
      </c>
      <c r="D48" s="8" t="s">
        <v>1145</v>
      </c>
      <c r="E48" s="8" t="s">
        <v>29</v>
      </c>
      <c r="F48" s="8" t="s">
        <v>1584</v>
      </c>
      <c r="G48" s="8" t="s">
        <v>1768</v>
      </c>
      <c r="H48" s="8" t="s">
        <v>1874</v>
      </c>
      <c r="I48" s="21"/>
    </row>
    <row r="49" spans="1:9" ht="14.6" x14ac:dyDescent="0.4">
      <c r="A49" s="8" t="s">
        <v>96</v>
      </c>
      <c r="B49" s="8" t="s">
        <v>100</v>
      </c>
      <c r="C49" s="8" t="s">
        <v>8</v>
      </c>
      <c r="D49" s="8" t="s">
        <v>101</v>
      </c>
      <c r="E49" s="8" t="s">
        <v>29</v>
      </c>
      <c r="F49" s="8" t="s">
        <v>1584</v>
      </c>
      <c r="G49" s="8" t="s">
        <v>1768</v>
      </c>
      <c r="H49" s="8" t="s">
        <v>1874</v>
      </c>
      <c r="I49" s="21"/>
    </row>
    <row r="50" spans="1:9" ht="14.6" x14ac:dyDescent="0.4">
      <c r="A50" s="8" t="s">
        <v>96</v>
      </c>
      <c r="B50" s="8" t="s">
        <v>1144</v>
      </c>
      <c r="C50" s="8" t="s">
        <v>8</v>
      </c>
      <c r="D50" s="8" t="s">
        <v>1145</v>
      </c>
      <c r="E50" s="8" t="s">
        <v>29</v>
      </c>
      <c r="F50" s="8" t="s">
        <v>1584</v>
      </c>
      <c r="G50" s="8" t="s">
        <v>1768</v>
      </c>
      <c r="H50" s="8" t="s">
        <v>1874</v>
      </c>
      <c r="I50" s="21"/>
    </row>
    <row r="51" spans="1:9" ht="14.6" x14ac:dyDescent="0.4">
      <c r="A51" s="8" t="s">
        <v>96</v>
      </c>
      <c r="B51" s="8" t="s">
        <v>1194</v>
      </c>
      <c r="C51" s="8" t="s">
        <v>8</v>
      </c>
      <c r="D51" s="8" t="s">
        <v>1158</v>
      </c>
      <c r="E51" s="8" t="s">
        <v>29</v>
      </c>
      <c r="F51" s="8" t="s">
        <v>1584</v>
      </c>
      <c r="G51" s="8" t="s">
        <v>1768</v>
      </c>
      <c r="H51" s="8" t="s">
        <v>1874</v>
      </c>
      <c r="I51" s="21"/>
    </row>
    <row r="52" spans="1:9" ht="14.6" x14ac:dyDescent="0.4">
      <c r="A52" s="8" t="s">
        <v>96</v>
      </c>
      <c r="B52" s="8" t="s">
        <v>1207</v>
      </c>
      <c r="C52" s="8" t="s">
        <v>8</v>
      </c>
      <c r="D52" s="8" t="s">
        <v>1156</v>
      </c>
      <c r="E52" s="8" t="s">
        <v>29</v>
      </c>
      <c r="F52" s="8" t="s">
        <v>1584</v>
      </c>
      <c r="G52" s="8" t="s">
        <v>1768</v>
      </c>
      <c r="H52" s="8" t="s">
        <v>1874</v>
      </c>
      <c r="I52" s="21"/>
    </row>
    <row r="53" spans="1:9" ht="14.6" x14ac:dyDescent="0.4">
      <c r="A53" s="8" t="s">
        <v>96</v>
      </c>
      <c r="B53" s="8" t="s">
        <v>1254</v>
      </c>
      <c r="C53" s="8" t="s">
        <v>8</v>
      </c>
      <c r="D53" s="8" t="s">
        <v>1145</v>
      </c>
      <c r="E53" s="8" t="s">
        <v>29</v>
      </c>
      <c r="F53" s="8" t="s">
        <v>1584</v>
      </c>
      <c r="G53" s="8" t="s">
        <v>1768</v>
      </c>
      <c r="H53" s="8" t="s">
        <v>1874</v>
      </c>
      <c r="I53" s="21"/>
    </row>
    <row r="54" spans="1:9" ht="14.6" x14ac:dyDescent="0.4">
      <c r="A54" s="8" t="s">
        <v>100</v>
      </c>
      <c r="B54" s="8" t="s">
        <v>1144</v>
      </c>
      <c r="C54" s="8" t="s">
        <v>101</v>
      </c>
      <c r="D54" s="8" t="s">
        <v>1145</v>
      </c>
      <c r="E54" s="8" t="s">
        <v>29</v>
      </c>
      <c r="F54" s="8" t="s">
        <v>1584</v>
      </c>
      <c r="G54" s="8" t="s">
        <v>1768</v>
      </c>
      <c r="H54" s="8" t="s">
        <v>1874</v>
      </c>
      <c r="I54" s="21"/>
    </row>
    <row r="55" spans="1:9" ht="14.6" x14ac:dyDescent="0.4">
      <c r="A55" s="8" t="s">
        <v>100</v>
      </c>
      <c r="B55" s="8" t="s">
        <v>1194</v>
      </c>
      <c r="C55" s="8" t="s">
        <v>101</v>
      </c>
      <c r="D55" s="8" t="s">
        <v>1158</v>
      </c>
      <c r="E55" s="8" t="s">
        <v>29</v>
      </c>
      <c r="F55" s="8" t="s">
        <v>1584</v>
      </c>
      <c r="G55" s="8" t="s">
        <v>1768</v>
      </c>
      <c r="H55" s="8" t="s">
        <v>1874</v>
      </c>
      <c r="I55" s="21"/>
    </row>
    <row r="56" spans="1:9" ht="14.6" x14ac:dyDescent="0.4">
      <c r="A56" s="8" t="s">
        <v>100</v>
      </c>
      <c r="B56" s="8" t="s">
        <v>1207</v>
      </c>
      <c r="C56" s="8" t="s">
        <v>101</v>
      </c>
      <c r="D56" s="8" t="s">
        <v>1156</v>
      </c>
      <c r="E56" s="8" t="s">
        <v>29</v>
      </c>
      <c r="F56" s="8" t="s">
        <v>1584</v>
      </c>
      <c r="G56" s="8" t="s">
        <v>1768</v>
      </c>
      <c r="H56" s="8" t="s">
        <v>1874</v>
      </c>
      <c r="I56" s="21"/>
    </row>
    <row r="57" spans="1:9" ht="14.6" x14ac:dyDescent="0.4">
      <c r="A57" s="8" t="s">
        <v>100</v>
      </c>
      <c r="B57" s="8" t="s">
        <v>1254</v>
      </c>
      <c r="C57" s="8" t="s">
        <v>101</v>
      </c>
      <c r="D57" s="8" t="s">
        <v>1145</v>
      </c>
      <c r="E57" s="8" t="s">
        <v>29</v>
      </c>
      <c r="F57" s="8" t="s">
        <v>1584</v>
      </c>
      <c r="G57" s="8" t="s">
        <v>1768</v>
      </c>
      <c r="H57" s="8" t="s">
        <v>1874</v>
      </c>
      <c r="I57" s="21"/>
    </row>
    <row r="58" spans="1:9" ht="14.6" x14ac:dyDescent="0.4">
      <c r="A58" s="8" t="s">
        <v>1144</v>
      </c>
      <c r="B58" s="8" t="s">
        <v>1194</v>
      </c>
      <c r="C58" s="8" t="s">
        <v>1145</v>
      </c>
      <c r="D58" s="8" t="s">
        <v>1158</v>
      </c>
      <c r="E58" s="8" t="s">
        <v>29</v>
      </c>
      <c r="F58" s="8" t="s">
        <v>1584</v>
      </c>
      <c r="G58" s="8" t="s">
        <v>1768</v>
      </c>
      <c r="H58" s="8" t="s">
        <v>1874</v>
      </c>
      <c r="I58" s="21"/>
    </row>
    <row r="59" spans="1:9" ht="14.6" x14ac:dyDescent="0.4">
      <c r="A59" s="8" t="s">
        <v>1144</v>
      </c>
      <c r="B59" s="8" t="s">
        <v>1207</v>
      </c>
      <c r="C59" s="8" t="s">
        <v>1145</v>
      </c>
      <c r="D59" s="8" t="s">
        <v>1156</v>
      </c>
      <c r="E59" s="8" t="s">
        <v>29</v>
      </c>
      <c r="F59" s="8" t="s">
        <v>1584</v>
      </c>
      <c r="G59" s="8" t="s">
        <v>1768</v>
      </c>
      <c r="H59" s="8" t="s">
        <v>1874</v>
      </c>
      <c r="I59" s="21"/>
    </row>
    <row r="60" spans="1:9" ht="14.6" x14ac:dyDescent="0.4">
      <c r="A60" s="8" t="s">
        <v>1144</v>
      </c>
      <c r="B60" s="8" t="s">
        <v>1254</v>
      </c>
      <c r="C60" s="8" t="s">
        <v>1145</v>
      </c>
      <c r="D60" s="8" t="s">
        <v>1145</v>
      </c>
      <c r="E60" s="8" t="s">
        <v>29</v>
      </c>
      <c r="F60" s="8" t="s">
        <v>1584</v>
      </c>
      <c r="G60" s="8" t="s">
        <v>1768</v>
      </c>
      <c r="H60" s="8" t="s">
        <v>1874</v>
      </c>
      <c r="I60" s="21"/>
    </row>
    <row r="61" spans="1:9" ht="14.6" x14ac:dyDescent="0.4">
      <c r="A61" s="8" t="s">
        <v>1194</v>
      </c>
      <c r="B61" s="8" t="s">
        <v>1207</v>
      </c>
      <c r="C61" s="8" t="s">
        <v>1158</v>
      </c>
      <c r="D61" s="8" t="s">
        <v>1156</v>
      </c>
      <c r="E61" s="8" t="s">
        <v>29</v>
      </c>
      <c r="F61" s="8" t="s">
        <v>1584</v>
      </c>
      <c r="G61" s="8" t="s">
        <v>1768</v>
      </c>
      <c r="H61" s="8" t="s">
        <v>1874</v>
      </c>
      <c r="I61" s="21"/>
    </row>
    <row r="62" spans="1:9" ht="14.6" x14ac:dyDescent="0.4">
      <c r="A62" s="8" t="s">
        <v>1194</v>
      </c>
      <c r="B62" s="8" t="s">
        <v>1254</v>
      </c>
      <c r="C62" s="8" t="s">
        <v>1158</v>
      </c>
      <c r="D62" s="8" t="s">
        <v>1145</v>
      </c>
      <c r="E62" s="8" t="s">
        <v>29</v>
      </c>
      <c r="F62" s="8" t="s">
        <v>1584</v>
      </c>
      <c r="G62" s="8" t="s">
        <v>1768</v>
      </c>
      <c r="H62" s="8" t="s">
        <v>1874</v>
      </c>
      <c r="I62" s="21"/>
    </row>
    <row r="63" spans="1:9" ht="14.6" x14ac:dyDescent="0.4">
      <c r="A63" s="8" t="s">
        <v>1207</v>
      </c>
      <c r="B63" s="8" t="s">
        <v>1254</v>
      </c>
      <c r="C63" s="8" t="s">
        <v>1156</v>
      </c>
      <c r="D63" s="8" t="s">
        <v>1145</v>
      </c>
      <c r="E63" s="8" t="s">
        <v>29</v>
      </c>
      <c r="F63" s="8" t="s">
        <v>1584</v>
      </c>
      <c r="G63" s="8" t="s">
        <v>1768</v>
      </c>
      <c r="H63" s="8" t="s">
        <v>1874</v>
      </c>
      <c r="I63" s="21"/>
    </row>
    <row r="64" spans="1:9" ht="14.6" x14ac:dyDescent="0.4">
      <c r="A64" s="8" t="s">
        <v>1065</v>
      </c>
      <c r="B64" s="8" t="s">
        <v>1134</v>
      </c>
      <c r="C64" s="8" t="s">
        <v>1062</v>
      </c>
      <c r="D64" s="8" t="s">
        <v>1070</v>
      </c>
      <c r="E64" s="8" t="s">
        <v>18</v>
      </c>
      <c r="F64" s="8" t="s">
        <v>1580</v>
      </c>
      <c r="G64" s="8" t="s">
        <v>1585</v>
      </c>
      <c r="H64" s="8" t="s">
        <v>1875</v>
      </c>
      <c r="I64" s="8" t="s">
        <v>1876</v>
      </c>
    </row>
    <row r="65" spans="1:9" ht="14.6" x14ac:dyDescent="0.4">
      <c r="A65" s="8" t="s">
        <v>16</v>
      </c>
      <c r="B65" s="8" t="s">
        <v>48</v>
      </c>
      <c r="C65" s="8" t="s">
        <v>17</v>
      </c>
      <c r="D65" s="8" t="s">
        <v>49</v>
      </c>
      <c r="E65" s="8" t="s">
        <v>18</v>
      </c>
      <c r="F65" s="8" t="s">
        <v>1584</v>
      </c>
      <c r="G65" s="8" t="s">
        <v>1768</v>
      </c>
      <c r="H65" s="8" t="s">
        <v>1874</v>
      </c>
      <c r="I65" s="21"/>
    </row>
    <row r="66" spans="1:9" ht="14.6" x14ac:dyDescent="0.4">
      <c r="A66" s="8" t="s">
        <v>16</v>
      </c>
      <c r="B66" s="8" t="s">
        <v>71</v>
      </c>
      <c r="C66" s="8" t="s">
        <v>17</v>
      </c>
      <c r="D66" s="8" t="s">
        <v>72</v>
      </c>
      <c r="E66" s="8" t="s">
        <v>18</v>
      </c>
      <c r="F66" s="8" t="s">
        <v>1584</v>
      </c>
      <c r="G66" s="8" t="s">
        <v>1768</v>
      </c>
      <c r="H66" s="8" t="s">
        <v>1874</v>
      </c>
      <c r="I66" s="21"/>
    </row>
    <row r="67" spans="1:9" ht="14.6" x14ac:dyDescent="0.4">
      <c r="A67" s="8" t="s">
        <v>16</v>
      </c>
      <c r="B67" s="8" t="s">
        <v>92</v>
      </c>
      <c r="C67" s="8" t="s">
        <v>17</v>
      </c>
      <c r="D67" s="8" t="s">
        <v>93</v>
      </c>
      <c r="E67" s="8" t="s">
        <v>18</v>
      </c>
      <c r="F67" s="8" t="s">
        <v>1584</v>
      </c>
      <c r="G67" s="8" t="s">
        <v>1768</v>
      </c>
      <c r="H67" s="8" t="s">
        <v>1874</v>
      </c>
      <c r="I67" s="21"/>
    </row>
    <row r="68" spans="1:9" ht="14.6" x14ac:dyDescent="0.4">
      <c r="A68" s="8" t="s">
        <v>16</v>
      </c>
      <c r="B68" s="8" t="s">
        <v>1065</v>
      </c>
      <c r="C68" s="8" t="s">
        <v>17</v>
      </c>
      <c r="D68" s="8" t="s">
        <v>1062</v>
      </c>
      <c r="E68" s="8" t="s">
        <v>18</v>
      </c>
      <c r="F68" s="8" t="s">
        <v>1584</v>
      </c>
      <c r="G68" s="8" t="s">
        <v>1768</v>
      </c>
      <c r="H68" s="8" t="s">
        <v>1874</v>
      </c>
      <c r="I68" s="21"/>
    </row>
    <row r="69" spans="1:9" ht="14.6" x14ac:dyDescent="0.4">
      <c r="A69" s="8" t="s">
        <v>16</v>
      </c>
      <c r="B69" s="8" t="s">
        <v>1134</v>
      </c>
      <c r="C69" s="8" t="s">
        <v>17</v>
      </c>
      <c r="D69" s="8" t="s">
        <v>1070</v>
      </c>
      <c r="E69" s="8" t="s">
        <v>18</v>
      </c>
      <c r="F69" s="8" t="s">
        <v>1584</v>
      </c>
      <c r="G69" s="8" t="s">
        <v>1768</v>
      </c>
      <c r="H69" s="8" t="s">
        <v>1874</v>
      </c>
      <c r="I69" s="21"/>
    </row>
    <row r="70" spans="1:9" ht="14.6" x14ac:dyDescent="0.4">
      <c r="A70" s="8" t="s">
        <v>48</v>
      </c>
      <c r="B70" s="8" t="s">
        <v>71</v>
      </c>
      <c r="C70" s="8" t="s">
        <v>49</v>
      </c>
      <c r="D70" s="8" t="s">
        <v>72</v>
      </c>
      <c r="E70" s="8" t="s">
        <v>18</v>
      </c>
      <c r="F70" s="8" t="s">
        <v>1584</v>
      </c>
      <c r="G70" s="8" t="s">
        <v>1768</v>
      </c>
      <c r="H70" s="8" t="s">
        <v>1874</v>
      </c>
      <c r="I70" s="21"/>
    </row>
    <row r="71" spans="1:9" ht="14.6" x14ac:dyDescent="0.4">
      <c r="A71" s="8" t="s">
        <v>48</v>
      </c>
      <c r="B71" s="8" t="s">
        <v>92</v>
      </c>
      <c r="C71" s="8" t="s">
        <v>49</v>
      </c>
      <c r="D71" s="8" t="s">
        <v>93</v>
      </c>
      <c r="E71" s="8" t="s">
        <v>18</v>
      </c>
      <c r="F71" s="8" t="s">
        <v>1584</v>
      </c>
      <c r="G71" s="8" t="s">
        <v>1768</v>
      </c>
      <c r="H71" s="8" t="s">
        <v>1874</v>
      </c>
      <c r="I71" s="21"/>
    </row>
    <row r="72" spans="1:9" ht="14.6" x14ac:dyDescent="0.4">
      <c r="A72" s="8" t="s">
        <v>48</v>
      </c>
      <c r="B72" s="8" t="s">
        <v>1065</v>
      </c>
      <c r="C72" s="8" t="s">
        <v>49</v>
      </c>
      <c r="D72" s="8" t="s">
        <v>1062</v>
      </c>
      <c r="E72" s="8" t="s">
        <v>18</v>
      </c>
      <c r="F72" s="8" t="s">
        <v>1584</v>
      </c>
      <c r="G72" s="8" t="s">
        <v>1768</v>
      </c>
      <c r="H72" s="8" t="s">
        <v>1874</v>
      </c>
      <c r="I72" s="21"/>
    </row>
    <row r="73" spans="1:9" ht="14.6" x14ac:dyDescent="0.4">
      <c r="A73" s="8" t="s">
        <v>48</v>
      </c>
      <c r="B73" s="8" t="s">
        <v>1134</v>
      </c>
      <c r="C73" s="8" t="s">
        <v>49</v>
      </c>
      <c r="D73" s="8" t="s">
        <v>1070</v>
      </c>
      <c r="E73" s="8" t="s">
        <v>18</v>
      </c>
      <c r="F73" s="8" t="s">
        <v>1584</v>
      </c>
      <c r="G73" s="8" t="s">
        <v>1768</v>
      </c>
      <c r="H73" s="8" t="s">
        <v>1874</v>
      </c>
      <c r="I73" s="21"/>
    </row>
    <row r="74" spans="1:9" ht="14.6" x14ac:dyDescent="0.4">
      <c r="A74" s="8" t="s">
        <v>71</v>
      </c>
      <c r="B74" s="8" t="s">
        <v>92</v>
      </c>
      <c r="C74" s="8" t="s">
        <v>72</v>
      </c>
      <c r="D74" s="8" t="s">
        <v>93</v>
      </c>
      <c r="E74" s="8" t="s">
        <v>18</v>
      </c>
      <c r="F74" s="8" t="s">
        <v>1584</v>
      </c>
      <c r="G74" s="8" t="s">
        <v>1768</v>
      </c>
      <c r="H74" s="8" t="s">
        <v>1874</v>
      </c>
      <c r="I74" s="21"/>
    </row>
    <row r="75" spans="1:9" ht="14.6" x14ac:dyDescent="0.4">
      <c r="A75" s="8" t="s">
        <v>71</v>
      </c>
      <c r="B75" s="8" t="s">
        <v>1065</v>
      </c>
      <c r="C75" s="8" t="s">
        <v>72</v>
      </c>
      <c r="D75" s="8" t="s">
        <v>1062</v>
      </c>
      <c r="E75" s="8" t="s">
        <v>18</v>
      </c>
      <c r="F75" s="8" t="s">
        <v>1584</v>
      </c>
      <c r="G75" s="8" t="s">
        <v>1768</v>
      </c>
      <c r="H75" s="8" t="s">
        <v>1874</v>
      </c>
      <c r="I75" s="21"/>
    </row>
    <row r="76" spans="1:9" ht="14.6" x14ac:dyDescent="0.4">
      <c r="A76" s="8" t="s">
        <v>71</v>
      </c>
      <c r="B76" s="8" t="s">
        <v>1134</v>
      </c>
      <c r="C76" s="8" t="s">
        <v>72</v>
      </c>
      <c r="D76" s="8" t="s">
        <v>1070</v>
      </c>
      <c r="E76" s="8" t="s">
        <v>18</v>
      </c>
      <c r="F76" s="8" t="s">
        <v>1584</v>
      </c>
      <c r="G76" s="8" t="s">
        <v>1768</v>
      </c>
      <c r="H76" s="8" t="s">
        <v>1874</v>
      </c>
      <c r="I76" s="21"/>
    </row>
    <row r="77" spans="1:9" ht="14.6" x14ac:dyDescent="0.4">
      <c r="A77" s="8" t="s">
        <v>92</v>
      </c>
      <c r="B77" s="8" t="s">
        <v>1065</v>
      </c>
      <c r="C77" s="8" t="s">
        <v>93</v>
      </c>
      <c r="D77" s="8" t="s">
        <v>1062</v>
      </c>
      <c r="E77" s="8" t="s">
        <v>18</v>
      </c>
      <c r="F77" s="8" t="s">
        <v>1584</v>
      </c>
      <c r="G77" s="8" t="s">
        <v>1768</v>
      </c>
      <c r="H77" s="8" t="s">
        <v>1874</v>
      </c>
      <c r="I77" s="21"/>
    </row>
    <row r="78" spans="1:9" ht="14.6" x14ac:dyDescent="0.4">
      <c r="A78" s="8" t="s">
        <v>92</v>
      </c>
      <c r="B78" s="8" t="s">
        <v>1134</v>
      </c>
      <c r="C78" s="8" t="s">
        <v>93</v>
      </c>
      <c r="D78" s="8" t="s">
        <v>1070</v>
      </c>
      <c r="E78" s="8" t="s">
        <v>18</v>
      </c>
      <c r="F78" s="8" t="s">
        <v>1584</v>
      </c>
      <c r="G78" s="8" t="s">
        <v>1768</v>
      </c>
      <c r="H78" s="8" t="s">
        <v>1874</v>
      </c>
      <c r="I78" s="21"/>
    </row>
    <row r="79" spans="1:9" ht="14.6" x14ac:dyDescent="0.4">
      <c r="A79" s="8" t="s">
        <v>1069</v>
      </c>
      <c r="B79" s="8" t="s">
        <v>1097</v>
      </c>
      <c r="C79" s="8" t="s">
        <v>1070</v>
      </c>
      <c r="D79" s="8" t="s">
        <v>1038</v>
      </c>
      <c r="E79" s="8" t="s">
        <v>65</v>
      </c>
      <c r="F79" s="8" t="s">
        <v>1580</v>
      </c>
      <c r="G79" s="8" t="s">
        <v>1768</v>
      </c>
      <c r="H79" s="8" t="s">
        <v>1877</v>
      </c>
      <c r="I79" s="8" t="s">
        <v>1878</v>
      </c>
    </row>
    <row r="80" spans="1:9" ht="14.6" x14ac:dyDescent="0.4">
      <c r="A80" s="8" t="s">
        <v>1115</v>
      </c>
      <c r="B80" s="8" t="s">
        <v>1121</v>
      </c>
      <c r="C80" s="8" t="s">
        <v>1047</v>
      </c>
      <c r="D80" s="8" t="s">
        <v>1031</v>
      </c>
      <c r="E80" s="8" t="s">
        <v>65</v>
      </c>
      <c r="F80" s="8" t="s">
        <v>1580</v>
      </c>
      <c r="G80" s="8" t="s">
        <v>1768</v>
      </c>
      <c r="H80" s="8" t="s">
        <v>1879</v>
      </c>
      <c r="I80" s="8" t="s">
        <v>1880</v>
      </c>
    </row>
    <row r="81" spans="1:9" ht="14.6" x14ac:dyDescent="0.4">
      <c r="A81" s="8" t="s">
        <v>63</v>
      </c>
      <c r="B81" s="8" t="s">
        <v>73</v>
      </c>
      <c r="C81" s="8" t="s">
        <v>64</v>
      </c>
      <c r="D81" s="8" t="s">
        <v>74</v>
      </c>
      <c r="E81" s="8" t="s">
        <v>65</v>
      </c>
      <c r="F81" s="8" t="s">
        <v>1584</v>
      </c>
      <c r="G81" s="8" t="s">
        <v>1768</v>
      </c>
      <c r="H81" s="8" t="s">
        <v>1874</v>
      </c>
      <c r="I81" s="21"/>
    </row>
    <row r="82" spans="1:9" ht="14.6" x14ac:dyDescent="0.4">
      <c r="A82" s="8" t="s">
        <v>63</v>
      </c>
      <c r="B82" s="8" t="s">
        <v>75</v>
      </c>
      <c r="C82" s="8" t="s">
        <v>64</v>
      </c>
      <c r="D82" s="8" t="s">
        <v>76</v>
      </c>
      <c r="E82" s="8" t="s">
        <v>65</v>
      </c>
      <c r="F82" s="8" t="s">
        <v>1584</v>
      </c>
      <c r="G82" s="8" t="s">
        <v>1768</v>
      </c>
      <c r="H82" s="8" t="s">
        <v>1874</v>
      </c>
      <c r="I82" s="21"/>
    </row>
    <row r="83" spans="1:9" ht="14.6" x14ac:dyDescent="0.4">
      <c r="A83" s="8" t="s">
        <v>63</v>
      </c>
      <c r="B83" s="8" t="s">
        <v>89</v>
      </c>
      <c r="C83" s="8" t="s">
        <v>64</v>
      </c>
      <c r="D83" s="8" t="s">
        <v>90</v>
      </c>
      <c r="E83" s="8" t="s">
        <v>65</v>
      </c>
      <c r="F83" s="8" t="s">
        <v>1584</v>
      </c>
      <c r="G83" s="8" t="s">
        <v>1768</v>
      </c>
      <c r="H83" s="8" t="s">
        <v>1874</v>
      </c>
      <c r="I83" s="21"/>
    </row>
    <row r="84" spans="1:9" ht="14.6" x14ac:dyDescent="0.4">
      <c r="A84" s="8" t="s">
        <v>63</v>
      </c>
      <c r="B84" s="8" t="s">
        <v>1069</v>
      </c>
      <c r="C84" s="8" t="s">
        <v>64</v>
      </c>
      <c r="D84" s="8" t="s">
        <v>1070</v>
      </c>
      <c r="E84" s="8" t="s">
        <v>65</v>
      </c>
      <c r="F84" s="8" t="s">
        <v>1584</v>
      </c>
      <c r="G84" s="8" t="s">
        <v>1768</v>
      </c>
      <c r="H84" s="8" t="s">
        <v>1874</v>
      </c>
      <c r="I84" s="21"/>
    </row>
    <row r="85" spans="1:9" ht="14.6" x14ac:dyDescent="0.4">
      <c r="A85" s="8" t="s">
        <v>63</v>
      </c>
      <c r="B85" s="8" t="s">
        <v>1097</v>
      </c>
      <c r="C85" s="8" t="s">
        <v>64</v>
      </c>
      <c r="D85" s="8" t="s">
        <v>1038</v>
      </c>
      <c r="E85" s="8" t="s">
        <v>65</v>
      </c>
      <c r="F85" s="8" t="s">
        <v>1584</v>
      </c>
      <c r="G85" s="8" t="s">
        <v>1768</v>
      </c>
      <c r="H85" s="8" t="s">
        <v>1874</v>
      </c>
      <c r="I85" s="21"/>
    </row>
    <row r="86" spans="1:9" ht="14.6" x14ac:dyDescent="0.4">
      <c r="A86" s="8" t="s">
        <v>63</v>
      </c>
      <c r="B86" s="8" t="s">
        <v>1115</v>
      </c>
      <c r="C86" s="8" t="s">
        <v>64</v>
      </c>
      <c r="D86" s="8" t="s">
        <v>1047</v>
      </c>
      <c r="E86" s="8" t="s">
        <v>65</v>
      </c>
      <c r="F86" s="8" t="s">
        <v>1584</v>
      </c>
      <c r="G86" s="8" t="s">
        <v>1768</v>
      </c>
      <c r="H86" s="8" t="s">
        <v>1874</v>
      </c>
      <c r="I86" s="21"/>
    </row>
    <row r="87" spans="1:9" ht="14.6" x14ac:dyDescent="0.4">
      <c r="A87" s="8" t="s">
        <v>63</v>
      </c>
      <c r="B87" s="8" t="s">
        <v>1121</v>
      </c>
      <c r="C87" s="8" t="s">
        <v>64</v>
      </c>
      <c r="D87" s="8" t="s">
        <v>1031</v>
      </c>
      <c r="E87" s="8" t="s">
        <v>65</v>
      </c>
      <c r="F87" s="8" t="s">
        <v>1584</v>
      </c>
      <c r="G87" s="8" t="s">
        <v>1768</v>
      </c>
      <c r="H87" s="8" t="s">
        <v>1874</v>
      </c>
      <c r="I87" s="21"/>
    </row>
    <row r="88" spans="1:9" ht="14.6" x14ac:dyDescent="0.4">
      <c r="A88" s="8" t="s">
        <v>73</v>
      </c>
      <c r="B88" s="8" t="s">
        <v>75</v>
      </c>
      <c r="C88" s="8" t="s">
        <v>74</v>
      </c>
      <c r="D88" s="8" t="s">
        <v>76</v>
      </c>
      <c r="E88" s="8" t="s">
        <v>65</v>
      </c>
      <c r="F88" s="8" t="s">
        <v>1584</v>
      </c>
      <c r="G88" s="8" t="s">
        <v>1768</v>
      </c>
      <c r="H88" s="8" t="s">
        <v>1874</v>
      </c>
      <c r="I88" s="21"/>
    </row>
    <row r="89" spans="1:9" ht="14.6" x14ac:dyDescent="0.4">
      <c r="A89" s="8" t="s">
        <v>73</v>
      </c>
      <c r="B89" s="8" t="s">
        <v>89</v>
      </c>
      <c r="C89" s="8" t="s">
        <v>74</v>
      </c>
      <c r="D89" s="8" t="s">
        <v>90</v>
      </c>
      <c r="E89" s="8" t="s">
        <v>65</v>
      </c>
      <c r="F89" s="8" t="s">
        <v>1584</v>
      </c>
      <c r="G89" s="8" t="s">
        <v>1768</v>
      </c>
      <c r="H89" s="8" t="s">
        <v>1874</v>
      </c>
      <c r="I89" s="21"/>
    </row>
    <row r="90" spans="1:9" ht="14.6" x14ac:dyDescent="0.4">
      <c r="A90" s="8" t="s">
        <v>73</v>
      </c>
      <c r="B90" s="8" t="s">
        <v>1069</v>
      </c>
      <c r="C90" s="8" t="s">
        <v>74</v>
      </c>
      <c r="D90" s="8" t="s">
        <v>1070</v>
      </c>
      <c r="E90" s="8" t="s">
        <v>65</v>
      </c>
      <c r="F90" s="8" t="s">
        <v>1584</v>
      </c>
      <c r="G90" s="8" t="s">
        <v>1768</v>
      </c>
      <c r="H90" s="8" t="s">
        <v>1874</v>
      </c>
      <c r="I90" s="21"/>
    </row>
    <row r="91" spans="1:9" ht="14.6" x14ac:dyDescent="0.4">
      <c r="A91" s="8" t="s">
        <v>73</v>
      </c>
      <c r="B91" s="8" t="s">
        <v>1097</v>
      </c>
      <c r="C91" s="8" t="s">
        <v>74</v>
      </c>
      <c r="D91" s="8" t="s">
        <v>1038</v>
      </c>
      <c r="E91" s="8" t="s">
        <v>65</v>
      </c>
      <c r="F91" s="8" t="s">
        <v>1584</v>
      </c>
      <c r="G91" s="8" t="s">
        <v>1768</v>
      </c>
      <c r="H91" s="8" t="s">
        <v>1874</v>
      </c>
      <c r="I91" s="21"/>
    </row>
    <row r="92" spans="1:9" ht="14.6" x14ac:dyDescent="0.4">
      <c r="A92" s="8" t="s">
        <v>73</v>
      </c>
      <c r="B92" s="8" t="s">
        <v>1115</v>
      </c>
      <c r="C92" s="8" t="s">
        <v>74</v>
      </c>
      <c r="D92" s="8" t="s">
        <v>1047</v>
      </c>
      <c r="E92" s="8" t="s">
        <v>65</v>
      </c>
      <c r="F92" s="8" t="s">
        <v>1584</v>
      </c>
      <c r="G92" s="8" t="s">
        <v>1768</v>
      </c>
      <c r="H92" s="8" t="s">
        <v>1874</v>
      </c>
      <c r="I92" s="21"/>
    </row>
    <row r="93" spans="1:9" ht="14.6" x14ac:dyDescent="0.4">
      <c r="A93" s="8" t="s">
        <v>73</v>
      </c>
      <c r="B93" s="8" t="s">
        <v>1121</v>
      </c>
      <c r="C93" s="8" t="s">
        <v>74</v>
      </c>
      <c r="D93" s="8" t="s">
        <v>1031</v>
      </c>
      <c r="E93" s="8" t="s">
        <v>65</v>
      </c>
      <c r="F93" s="8" t="s">
        <v>1584</v>
      </c>
      <c r="G93" s="8" t="s">
        <v>1768</v>
      </c>
      <c r="H93" s="8" t="s">
        <v>1874</v>
      </c>
      <c r="I93" s="21"/>
    </row>
    <row r="94" spans="1:9" ht="14.6" x14ac:dyDescent="0.4">
      <c r="A94" s="8" t="s">
        <v>75</v>
      </c>
      <c r="B94" s="8" t="s">
        <v>89</v>
      </c>
      <c r="C94" s="8" t="s">
        <v>76</v>
      </c>
      <c r="D94" s="8" t="s">
        <v>90</v>
      </c>
      <c r="E94" s="8" t="s">
        <v>65</v>
      </c>
      <c r="F94" s="8" t="s">
        <v>1584</v>
      </c>
      <c r="G94" s="8" t="s">
        <v>1768</v>
      </c>
      <c r="H94" s="8" t="s">
        <v>1874</v>
      </c>
      <c r="I94" s="21"/>
    </row>
    <row r="95" spans="1:9" ht="14.6" x14ac:dyDescent="0.4">
      <c r="A95" s="8" t="s">
        <v>75</v>
      </c>
      <c r="B95" s="8" t="s">
        <v>1069</v>
      </c>
      <c r="C95" s="8" t="s">
        <v>76</v>
      </c>
      <c r="D95" s="8" t="s">
        <v>1070</v>
      </c>
      <c r="E95" s="8" t="s">
        <v>65</v>
      </c>
      <c r="F95" s="8" t="s">
        <v>1584</v>
      </c>
      <c r="G95" s="8" t="s">
        <v>1768</v>
      </c>
      <c r="H95" s="8" t="s">
        <v>1874</v>
      </c>
      <c r="I95" s="21"/>
    </row>
    <row r="96" spans="1:9" ht="14.6" x14ac:dyDescent="0.4">
      <c r="A96" s="8" t="s">
        <v>75</v>
      </c>
      <c r="B96" s="8" t="s">
        <v>1097</v>
      </c>
      <c r="C96" s="8" t="s">
        <v>76</v>
      </c>
      <c r="D96" s="8" t="s">
        <v>1038</v>
      </c>
      <c r="E96" s="8" t="s">
        <v>65</v>
      </c>
      <c r="F96" s="8" t="s">
        <v>1584</v>
      </c>
      <c r="G96" s="8" t="s">
        <v>1768</v>
      </c>
      <c r="H96" s="8" t="s">
        <v>1874</v>
      </c>
      <c r="I96" s="21"/>
    </row>
    <row r="97" spans="1:9" ht="14.6" x14ac:dyDescent="0.4">
      <c r="A97" s="8" t="s">
        <v>75</v>
      </c>
      <c r="B97" s="8" t="s">
        <v>1115</v>
      </c>
      <c r="C97" s="8" t="s">
        <v>76</v>
      </c>
      <c r="D97" s="8" t="s">
        <v>1047</v>
      </c>
      <c r="E97" s="8" t="s">
        <v>65</v>
      </c>
      <c r="F97" s="8" t="s">
        <v>1584</v>
      </c>
      <c r="G97" s="8" t="s">
        <v>1768</v>
      </c>
      <c r="H97" s="8" t="s">
        <v>1874</v>
      </c>
      <c r="I97" s="21"/>
    </row>
    <row r="98" spans="1:9" ht="14.6" x14ac:dyDescent="0.4">
      <c r="A98" s="8" t="s">
        <v>75</v>
      </c>
      <c r="B98" s="8" t="s">
        <v>1121</v>
      </c>
      <c r="C98" s="8" t="s">
        <v>76</v>
      </c>
      <c r="D98" s="8" t="s">
        <v>1031</v>
      </c>
      <c r="E98" s="8" t="s">
        <v>65</v>
      </c>
      <c r="F98" s="8" t="s">
        <v>1584</v>
      </c>
      <c r="G98" s="8" t="s">
        <v>1768</v>
      </c>
      <c r="H98" s="8" t="s">
        <v>1874</v>
      </c>
      <c r="I98" s="21"/>
    </row>
    <row r="99" spans="1:9" ht="14.6" x14ac:dyDescent="0.4">
      <c r="A99" s="8" t="s">
        <v>89</v>
      </c>
      <c r="B99" s="8" t="s">
        <v>1069</v>
      </c>
      <c r="C99" s="8" t="s">
        <v>90</v>
      </c>
      <c r="D99" s="8" t="s">
        <v>1070</v>
      </c>
      <c r="E99" s="8" t="s">
        <v>65</v>
      </c>
      <c r="F99" s="8" t="s">
        <v>1584</v>
      </c>
      <c r="G99" s="8" t="s">
        <v>1768</v>
      </c>
      <c r="H99" s="8" t="s">
        <v>1874</v>
      </c>
      <c r="I99" s="21"/>
    </row>
    <row r="100" spans="1:9" ht="14.6" x14ac:dyDescent="0.4">
      <c r="A100" s="8" t="s">
        <v>89</v>
      </c>
      <c r="B100" s="8" t="s">
        <v>1097</v>
      </c>
      <c r="C100" s="8" t="s">
        <v>90</v>
      </c>
      <c r="D100" s="8" t="s">
        <v>1038</v>
      </c>
      <c r="E100" s="8" t="s">
        <v>65</v>
      </c>
      <c r="F100" s="8" t="s">
        <v>1584</v>
      </c>
      <c r="G100" s="8" t="s">
        <v>1768</v>
      </c>
      <c r="H100" s="8" t="s">
        <v>1874</v>
      </c>
      <c r="I100" s="21"/>
    </row>
    <row r="101" spans="1:9" ht="14.6" x14ac:dyDescent="0.4">
      <c r="A101" s="8" t="s">
        <v>89</v>
      </c>
      <c r="B101" s="8" t="s">
        <v>1115</v>
      </c>
      <c r="C101" s="8" t="s">
        <v>90</v>
      </c>
      <c r="D101" s="8" t="s">
        <v>1047</v>
      </c>
      <c r="E101" s="8" t="s">
        <v>65</v>
      </c>
      <c r="F101" s="8" t="s">
        <v>1584</v>
      </c>
      <c r="G101" s="8" t="s">
        <v>1768</v>
      </c>
      <c r="H101" s="8" t="s">
        <v>1874</v>
      </c>
      <c r="I101" s="21"/>
    </row>
    <row r="102" spans="1:9" ht="14.6" x14ac:dyDescent="0.4">
      <c r="A102" s="8" t="s">
        <v>89</v>
      </c>
      <c r="B102" s="8" t="s">
        <v>1121</v>
      </c>
      <c r="C102" s="8" t="s">
        <v>90</v>
      </c>
      <c r="D102" s="8" t="s">
        <v>1031</v>
      </c>
      <c r="E102" s="8" t="s">
        <v>65</v>
      </c>
      <c r="F102" s="8" t="s">
        <v>1584</v>
      </c>
      <c r="G102" s="8" t="s">
        <v>1768</v>
      </c>
      <c r="H102" s="8" t="s">
        <v>1874</v>
      </c>
      <c r="I102" s="21"/>
    </row>
    <row r="103" spans="1:9" ht="14.6" x14ac:dyDescent="0.4">
      <c r="A103" s="8" t="s">
        <v>1069</v>
      </c>
      <c r="B103" s="8" t="s">
        <v>1115</v>
      </c>
      <c r="C103" s="8" t="s">
        <v>1070</v>
      </c>
      <c r="D103" s="8" t="s">
        <v>1047</v>
      </c>
      <c r="E103" s="8" t="s">
        <v>65</v>
      </c>
      <c r="F103" s="8" t="s">
        <v>1584</v>
      </c>
      <c r="G103" s="8" t="s">
        <v>1768</v>
      </c>
      <c r="H103" s="8" t="s">
        <v>1874</v>
      </c>
      <c r="I103" s="21"/>
    </row>
    <row r="104" spans="1:9" ht="14.6" x14ac:dyDescent="0.4">
      <c r="A104" s="8" t="s">
        <v>1069</v>
      </c>
      <c r="B104" s="8" t="s">
        <v>1121</v>
      </c>
      <c r="C104" s="8" t="s">
        <v>1070</v>
      </c>
      <c r="D104" s="8" t="s">
        <v>1031</v>
      </c>
      <c r="E104" s="8" t="s">
        <v>65</v>
      </c>
      <c r="F104" s="8" t="s">
        <v>1584</v>
      </c>
      <c r="G104" s="8" t="s">
        <v>1768</v>
      </c>
      <c r="H104" s="8" t="s">
        <v>1874</v>
      </c>
      <c r="I104" s="21"/>
    </row>
    <row r="105" spans="1:9" ht="14.6" x14ac:dyDescent="0.4">
      <c r="A105" s="8" t="s">
        <v>1097</v>
      </c>
      <c r="B105" s="8" t="s">
        <v>1115</v>
      </c>
      <c r="C105" s="8" t="s">
        <v>1038</v>
      </c>
      <c r="D105" s="8" t="s">
        <v>1047</v>
      </c>
      <c r="E105" s="8" t="s">
        <v>65</v>
      </c>
      <c r="F105" s="8" t="s">
        <v>1584</v>
      </c>
      <c r="G105" s="8" t="s">
        <v>1768</v>
      </c>
      <c r="H105" s="8" t="s">
        <v>1874</v>
      </c>
      <c r="I105" s="21"/>
    </row>
    <row r="106" spans="1:9" ht="14.6" x14ac:dyDescent="0.4">
      <c r="A106" s="8" t="s">
        <v>1097</v>
      </c>
      <c r="B106" s="8" t="s">
        <v>1121</v>
      </c>
      <c r="C106" s="8" t="s">
        <v>1038</v>
      </c>
      <c r="D106" s="8" t="s">
        <v>1031</v>
      </c>
      <c r="E106" s="8" t="s">
        <v>65</v>
      </c>
      <c r="F106" s="8" t="s">
        <v>1584</v>
      </c>
      <c r="G106" s="8" t="s">
        <v>1768</v>
      </c>
      <c r="H106" s="8" t="s">
        <v>1874</v>
      </c>
      <c r="I106" s="21"/>
    </row>
    <row r="107" spans="1:9" ht="14.6" x14ac:dyDescent="0.4">
      <c r="A107" s="8" t="s">
        <v>66</v>
      </c>
      <c r="B107" s="8" t="s">
        <v>81</v>
      </c>
      <c r="C107" s="8" t="s">
        <v>67</v>
      </c>
      <c r="D107" s="8" t="s">
        <v>82</v>
      </c>
      <c r="E107" s="8" t="s">
        <v>68</v>
      </c>
      <c r="F107" s="8" t="s">
        <v>1584</v>
      </c>
      <c r="G107" s="8" t="s">
        <v>1768</v>
      </c>
      <c r="H107" s="8" t="s">
        <v>1874</v>
      </c>
      <c r="I107" s="21"/>
    </row>
    <row r="108" spans="1:9" ht="14.6" x14ac:dyDescent="0.4">
      <c r="A108" s="8" t="s">
        <v>66</v>
      </c>
      <c r="B108" s="8" t="s">
        <v>119</v>
      </c>
      <c r="C108" s="8" t="s">
        <v>67</v>
      </c>
      <c r="D108" s="8" t="s">
        <v>120</v>
      </c>
      <c r="E108" s="8" t="s">
        <v>68</v>
      </c>
      <c r="F108" s="8" t="s">
        <v>1584</v>
      </c>
      <c r="G108" s="8" t="s">
        <v>1768</v>
      </c>
      <c r="H108" s="8" t="s">
        <v>1874</v>
      </c>
      <c r="I108" s="21"/>
    </row>
    <row r="109" spans="1:9" ht="14.6" x14ac:dyDescent="0.4">
      <c r="A109" s="8" t="s">
        <v>66</v>
      </c>
      <c r="B109" s="8" t="s">
        <v>134</v>
      </c>
      <c r="C109" s="8" t="s">
        <v>67</v>
      </c>
      <c r="D109" s="8" t="s">
        <v>135</v>
      </c>
      <c r="E109" s="8" t="s">
        <v>68</v>
      </c>
      <c r="F109" s="8" t="s">
        <v>1584</v>
      </c>
      <c r="G109" s="8" t="s">
        <v>1768</v>
      </c>
      <c r="H109" s="8" t="s">
        <v>1874</v>
      </c>
      <c r="I109" s="21"/>
    </row>
    <row r="110" spans="1:9" ht="14.6" x14ac:dyDescent="0.4">
      <c r="A110" s="8" t="s">
        <v>66</v>
      </c>
      <c r="B110" s="8" t="s">
        <v>1052</v>
      </c>
      <c r="C110" s="8" t="s">
        <v>67</v>
      </c>
      <c r="D110" s="8" t="s">
        <v>1038</v>
      </c>
      <c r="E110" s="8" t="s">
        <v>68</v>
      </c>
      <c r="F110" s="8" t="s">
        <v>1584</v>
      </c>
      <c r="G110" s="8" t="s">
        <v>1768</v>
      </c>
      <c r="H110" s="8" t="s">
        <v>1874</v>
      </c>
      <c r="I110" s="21"/>
    </row>
    <row r="111" spans="1:9" ht="14.6" x14ac:dyDescent="0.4">
      <c r="A111" s="8" t="s">
        <v>66</v>
      </c>
      <c r="B111" s="8" t="s">
        <v>1055</v>
      </c>
      <c r="C111" s="8" t="s">
        <v>67</v>
      </c>
      <c r="D111" s="8" t="s">
        <v>1029</v>
      </c>
      <c r="E111" s="8" t="s">
        <v>68</v>
      </c>
      <c r="F111" s="8" t="s">
        <v>1584</v>
      </c>
      <c r="G111" s="8" t="s">
        <v>1768</v>
      </c>
      <c r="H111" s="8" t="s">
        <v>1874</v>
      </c>
      <c r="I111" s="21"/>
    </row>
    <row r="112" spans="1:9" ht="14.6" x14ac:dyDescent="0.4">
      <c r="A112" s="8" t="s">
        <v>66</v>
      </c>
      <c r="B112" s="8" t="s">
        <v>1073</v>
      </c>
      <c r="C112" s="8" t="s">
        <v>67</v>
      </c>
      <c r="D112" s="8" t="s">
        <v>1074</v>
      </c>
      <c r="E112" s="8" t="s">
        <v>68</v>
      </c>
      <c r="F112" s="8" t="s">
        <v>1584</v>
      </c>
      <c r="G112" s="8" t="s">
        <v>1768</v>
      </c>
      <c r="H112" s="8" t="s">
        <v>1874</v>
      </c>
      <c r="I112" s="21"/>
    </row>
    <row r="113" spans="1:9" ht="14.6" x14ac:dyDescent="0.4">
      <c r="A113" s="8" t="s">
        <v>66</v>
      </c>
      <c r="B113" s="8" t="s">
        <v>1132</v>
      </c>
      <c r="C113" s="8" t="s">
        <v>67</v>
      </c>
      <c r="D113" s="8" t="s">
        <v>1051</v>
      </c>
      <c r="E113" s="8" t="s">
        <v>68</v>
      </c>
      <c r="F113" s="8" t="s">
        <v>1584</v>
      </c>
      <c r="G113" s="8" t="s">
        <v>1768</v>
      </c>
      <c r="H113" s="8" t="s">
        <v>1874</v>
      </c>
      <c r="I113" s="21"/>
    </row>
    <row r="114" spans="1:9" ht="14.6" x14ac:dyDescent="0.4">
      <c r="A114" s="8" t="s">
        <v>81</v>
      </c>
      <c r="B114" s="8" t="s">
        <v>119</v>
      </c>
      <c r="C114" s="8" t="s">
        <v>82</v>
      </c>
      <c r="D114" s="8" t="s">
        <v>120</v>
      </c>
      <c r="E114" s="8" t="s">
        <v>68</v>
      </c>
      <c r="F114" s="8" t="s">
        <v>1584</v>
      </c>
      <c r="G114" s="8" t="s">
        <v>1768</v>
      </c>
      <c r="H114" s="8" t="s">
        <v>1874</v>
      </c>
      <c r="I114" s="21"/>
    </row>
    <row r="115" spans="1:9" ht="14.6" x14ac:dyDescent="0.4">
      <c r="A115" s="8" t="s">
        <v>81</v>
      </c>
      <c r="B115" s="8" t="s">
        <v>134</v>
      </c>
      <c r="C115" s="8" t="s">
        <v>82</v>
      </c>
      <c r="D115" s="8" t="s">
        <v>135</v>
      </c>
      <c r="E115" s="8" t="s">
        <v>68</v>
      </c>
      <c r="F115" s="8" t="s">
        <v>1584</v>
      </c>
      <c r="G115" s="8" t="s">
        <v>1768</v>
      </c>
      <c r="H115" s="8" t="s">
        <v>1874</v>
      </c>
      <c r="I115" s="21"/>
    </row>
    <row r="116" spans="1:9" ht="14.6" x14ac:dyDescent="0.4">
      <c r="A116" s="8" t="s">
        <v>81</v>
      </c>
      <c r="B116" s="8" t="s">
        <v>1052</v>
      </c>
      <c r="C116" s="8" t="s">
        <v>82</v>
      </c>
      <c r="D116" s="8" t="s">
        <v>1038</v>
      </c>
      <c r="E116" s="8" t="s">
        <v>68</v>
      </c>
      <c r="F116" s="8" t="s">
        <v>1584</v>
      </c>
      <c r="G116" s="8" t="s">
        <v>1768</v>
      </c>
      <c r="H116" s="8" t="s">
        <v>1874</v>
      </c>
      <c r="I116" s="21"/>
    </row>
    <row r="117" spans="1:9" ht="14.6" x14ac:dyDescent="0.4">
      <c r="A117" s="8" t="s">
        <v>81</v>
      </c>
      <c r="B117" s="8" t="s">
        <v>1055</v>
      </c>
      <c r="C117" s="8" t="s">
        <v>82</v>
      </c>
      <c r="D117" s="8" t="s">
        <v>1029</v>
      </c>
      <c r="E117" s="8" t="s">
        <v>68</v>
      </c>
      <c r="F117" s="8" t="s">
        <v>1584</v>
      </c>
      <c r="G117" s="8" t="s">
        <v>1768</v>
      </c>
      <c r="H117" s="8" t="s">
        <v>1874</v>
      </c>
      <c r="I117" s="21"/>
    </row>
    <row r="118" spans="1:9" ht="14.6" x14ac:dyDescent="0.4">
      <c r="A118" s="8" t="s">
        <v>81</v>
      </c>
      <c r="B118" s="8" t="s">
        <v>1073</v>
      </c>
      <c r="C118" s="8" t="s">
        <v>82</v>
      </c>
      <c r="D118" s="8" t="s">
        <v>1074</v>
      </c>
      <c r="E118" s="8" t="s">
        <v>68</v>
      </c>
      <c r="F118" s="8" t="s">
        <v>1584</v>
      </c>
      <c r="G118" s="8" t="s">
        <v>1768</v>
      </c>
      <c r="H118" s="8" t="s">
        <v>1874</v>
      </c>
      <c r="I118" s="21"/>
    </row>
    <row r="119" spans="1:9" ht="14.6" x14ac:dyDescent="0.4">
      <c r="A119" s="8" t="s">
        <v>81</v>
      </c>
      <c r="B119" s="8" t="s">
        <v>1132</v>
      </c>
      <c r="C119" s="8" t="s">
        <v>82</v>
      </c>
      <c r="D119" s="8" t="s">
        <v>1051</v>
      </c>
      <c r="E119" s="8" t="s">
        <v>68</v>
      </c>
      <c r="F119" s="8" t="s">
        <v>1584</v>
      </c>
      <c r="G119" s="8" t="s">
        <v>1768</v>
      </c>
      <c r="H119" s="8" t="s">
        <v>1874</v>
      </c>
      <c r="I119" s="21"/>
    </row>
    <row r="120" spans="1:9" ht="14.6" x14ac:dyDescent="0.4">
      <c r="A120" s="8" t="s">
        <v>119</v>
      </c>
      <c r="B120" s="8" t="s">
        <v>134</v>
      </c>
      <c r="C120" s="8" t="s">
        <v>120</v>
      </c>
      <c r="D120" s="8" t="s">
        <v>135</v>
      </c>
      <c r="E120" s="8" t="s">
        <v>68</v>
      </c>
      <c r="F120" s="8" t="s">
        <v>1584</v>
      </c>
      <c r="G120" s="8" t="s">
        <v>1768</v>
      </c>
      <c r="H120" s="8" t="s">
        <v>1874</v>
      </c>
      <c r="I120" s="21"/>
    </row>
    <row r="121" spans="1:9" ht="14.6" x14ac:dyDescent="0.4">
      <c r="A121" s="8" t="s">
        <v>119</v>
      </c>
      <c r="B121" s="8" t="s">
        <v>1052</v>
      </c>
      <c r="C121" s="8" t="s">
        <v>120</v>
      </c>
      <c r="D121" s="8" t="s">
        <v>1038</v>
      </c>
      <c r="E121" s="8" t="s">
        <v>68</v>
      </c>
      <c r="F121" s="8" t="s">
        <v>1584</v>
      </c>
      <c r="G121" s="8" t="s">
        <v>1768</v>
      </c>
      <c r="H121" s="8" t="s">
        <v>1874</v>
      </c>
      <c r="I121" s="21"/>
    </row>
    <row r="122" spans="1:9" ht="14.6" x14ac:dyDescent="0.4">
      <c r="A122" s="8" t="s">
        <v>119</v>
      </c>
      <c r="B122" s="8" t="s">
        <v>1055</v>
      </c>
      <c r="C122" s="8" t="s">
        <v>120</v>
      </c>
      <c r="D122" s="8" t="s">
        <v>1029</v>
      </c>
      <c r="E122" s="8" t="s">
        <v>68</v>
      </c>
      <c r="F122" s="8" t="s">
        <v>1584</v>
      </c>
      <c r="G122" s="8" t="s">
        <v>1768</v>
      </c>
      <c r="H122" s="8" t="s">
        <v>1874</v>
      </c>
      <c r="I122" s="21"/>
    </row>
    <row r="123" spans="1:9" ht="14.6" x14ac:dyDescent="0.4">
      <c r="A123" s="8" t="s">
        <v>119</v>
      </c>
      <c r="B123" s="8" t="s">
        <v>1073</v>
      </c>
      <c r="C123" s="8" t="s">
        <v>120</v>
      </c>
      <c r="D123" s="8" t="s">
        <v>1074</v>
      </c>
      <c r="E123" s="8" t="s">
        <v>68</v>
      </c>
      <c r="F123" s="8" t="s">
        <v>1584</v>
      </c>
      <c r="G123" s="8" t="s">
        <v>1768</v>
      </c>
      <c r="H123" s="8" t="s">
        <v>1874</v>
      </c>
      <c r="I123" s="21"/>
    </row>
    <row r="124" spans="1:9" ht="14.6" x14ac:dyDescent="0.4">
      <c r="A124" s="8" t="s">
        <v>119</v>
      </c>
      <c r="B124" s="8" t="s">
        <v>1132</v>
      </c>
      <c r="C124" s="8" t="s">
        <v>120</v>
      </c>
      <c r="D124" s="8" t="s">
        <v>1051</v>
      </c>
      <c r="E124" s="8" t="s">
        <v>68</v>
      </c>
      <c r="F124" s="8" t="s">
        <v>1584</v>
      </c>
      <c r="G124" s="8" t="s">
        <v>1768</v>
      </c>
      <c r="H124" s="8" t="s">
        <v>1874</v>
      </c>
      <c r="I124" s="21"/>
    </row>
    <row r="125" spans="1:9" ht="14.6" x14ac:dyDescent="0.4">
      <c r="A125" s="8" t="s">
        <v>134</v>
      </c>
      <c r="B125" s="8" t="s">
        <v>1052</v>
      </c>
      <c r="C125" s="8" t="s">
        <v>135</v>
      </c>
      <c r="D125" s="8" t="s">
        <v>1038</v>
      </c>
      <c r="E125" s="8" t="s">
        <v>68</v>
      </c>
      <c r="F125" s="8" t="s">
        <v>1584</v>
      </c>
      <c r="G125" s="8" t="s">
        <v>1768</v>
      </c>
      <c r="H125" s="8" t="s">
        <v>1874</v>
      </c>
      <c r="I125" s="21"/>
    </row>
    <row r="126" spans="1:9" ht="14.6" x14ac:dyDescent="0.4">
      <c r="A126" s="8" t="s">
        <v>134</v>
      </c>
      <c r="B126" s="8" t="s">
        <v>1055</v>
      </c>
      <c r="C126" s="8" t="s">
        <v>135</v>
      </c>
      <c r="D126" s="8" t="s">
        <v>1029</v>
      </c>
      <c r="E126" s="8" t="s">
        <v>68</v>
      </c>
      <c r="F126" s="8" t="s">
        <v>1584</v>
      </c>
      <c r="G126" s="8" t="s">
        <v>1768</v>
      </c>
      <c r="H126" s="8" t="s">
        <v>1874</v>
      </c>
      <c r="I126" s="21"/>
    </row>
    <row r="127" spans="1:9" ht="14.6" x14ac:dyDescent="0.4">
      <c r="A127" s="8" t="s">
        <v>134</v>
      </c>
      <c r="B127" s="8" t="s">
        <v>1073</v>
      </c>
      <c r="C127" s="8" t="s">
        <v>135</v>
      </c>
      <c r="D127" s="8" t="s">
        <v>1074</v>
      </c>
      <c r="E127" s="8" t="s">
        <v>68</v>
      </c>
      <c r="F127" s="8" t="s">
        <v>1584</v>
      </c>
      <c r="G127" s="8" t="s">
        <v>1768</v>
      </c>
      <c r="H127" s="8" t="s">
        <v>1874</v>
      </c>
      <c r="I127" s="21"/>
    </row>
    <row r="128" spans="1:9" ht="14.6" x14ac:dyDescent="0.4">
      <c r="A128" s="8" t="s">
        <v>134</v>
      </c>
      <c r="B128" s="8" t="s">
        <v>1132</v>
      </c>
      <c r="C128" s="8" t="s">
        <v>135</v>
      </c>
      <c r="D128" s="8" t="s">
        <v>1051</v>
      </c>
      <c r="E128" s="8" t="s">
        <v>68</v>
      </c>
      <c r="F128" s="8" t="s">
        <v>1584</v>
      </c>
      <c r="G128" s="8" t="s">
        <v>1768</v>
      </c>
      <c r="H128" s="8" t="s">
        <v>1874</v>
      </c>
      <c r="I128" s="21"/>
    </row>
    <row r="129" spans="1:9" ht="14.6" x14ac:dyDescent="0.4">
      <c r="A129" s="8" t="s">
        <v>1052</v>
      </c>
      <c r="B129" s="8" t="s">
        <v>1055</v>
      </c>
      <c r="C129" s="8" t="s">
        <v>1038</v>
      </c>
      <c r="D129" s="8" t="s">
        <v>1029</v>
      </c>
      <c r="E129" s="8" t="s">
        <v>68</v>
      </c>
      <c r="F129" s="8" t="s">
        <v>1584</v>
      </c>
      <c r="G129" s="8" t="s">
        <v>1768</v>
      </c>
      <c r="H129" s="8" t="s">
        <v>1874</v>
      </c>
      <c r="I129" s="21"/>
    </row>
    <row r="130" spans="1:9" ht="14.6" x14ac:dyDescent="0.4">
      <c r="A130" s="8" t="s">
        <v>1052</v>
      </c>
      <c r="B130" s="8" t="s">
        <v>1073</v>
      </c>
      <c r="C130" s="8" t="s">
        <v>1038</v>
      </c>
      <c r="D130" s="8" t="s">
        <v>1074</v>
      </c>
      <c r="E130" s="8" t="s">
        <v>68</v>
      </c>
      <c r="F130" s="8" t="s">
        <v>1584</v>
      </c>
      <c r="G130" s="8" t="s">
        <v>1768</v>
      </c>
      <c r="H130" s="8" t="s">
        <v>1874</v>
      </c>
      <c r="I130" s="21"/>
    </row>
    <row r="131" spans="1:9" ht="14.6" x14ac:dyDescent="0.4">
      <c r="A131" s="8" t="s">
        <v>1052</v>
      </c>
      <c r="B131" s="8" t="s">
        <v>1132</v>
      </c>
      <c r="C131" s="8" t="s">
        <v>1038</v>
      </c>
      <c r="D131" s="8" t="s">
        <v>1051</v>
      </c>
      <c r="E131" s="8" t="s">
        <v>68</v>
      </c>
      <c r="F131" s="8" t="s">
        <v>1584</v>
      </c>
      <c r="G131" s="8" t="s">
        <v>1768</v>
      </c>
      <c r="H131" s="8" t="s">
        <v>1874</v>
      </c>
      <c r="I131" s="21"/>
    </row>
    <row r="132" spans="1:9" ht="14.6" x14ac:dyDescent="0.4">
      <c r="A132" s="8" t="s">
        <v>1055</v>
      </c>
      <c r="B132" s="8" t="s">
        <v>1073</v>
      </c>
      <c r="C132" s="8" t="s">
        <v>1029</v>
      </c>
      <c r="D132" s="8" t="s">
        <v>1074</v>
      </c>
      <c r="E132" s="8" t="s">
        <v>68</v>
      </c>
      <c r="F132" s="8" t="s">
        <v>1584</v>
      </c>
      <c r="G132" s="8" t="s">
        <v>1768</v>
      </c>
      <c r="H132" s="8" t="s">
        <v>1874</v>
      </c>
      <c r="I132" s="21"/>
    </row>
    <row r="133" spans="1:9" ht="14.6" x14ac:dyDescent="0.4">
      <c r="A133" s="8" t="s">
        <v>1055</v>
      </c>
      <c r="B133" s="8" t="s">
        <v>1132</v>
      </c>
      <c r="C133" s="8" t="s">
        <v>1029</v>
      </c>
      <c r="D133" s="8" t="s">
        <v>1051</v>
      </c>
      <c r="E133" s="8" t="s">
        <v>68</v>
      </c>
      <c r="F133" s="8" t="s">
        <v>1584</v>
      </c>
      <c r="G133" s="8" t="s">
        <v>1768</v>
      </c>
      <c r="H133" s="8" t="s">
        <v>1874</v>
      </c>
      <c r="I133" s="21"/>
    </row>
    <row r="134" spans="1:9" ht="14.6" x14ac:dyDescent="0.4">
      <c r="A134" s="8" t="s">
        <v>1073</v>
      </c>
      <c r="B134" s="8" t="s">
        <v>1132</v>
      </c>
      <c r="C134" s="8" t="s">
        <v>1074</v>
      </c>
      <c r="D134" s="8" t="s">
        <v>1051</v>
      </c>
      <c r="E134" s="8" t="s">
        <v>68</v>
      </c>
      <c r="F134" s="8" t="s">
        <v>1584</v>
      </c>
      <c r="G134" s="8" t="s">
        <v>1768</v>
      </c>
      <c r="H134" s="8" t="s">
        <v>1874</v>
      </c>
      <c r="I134" s="21"/>
    </row>
    <row r="135" spans="1:9" ht="14.6" x14ac:dyDescent="0.4">
      <c r="A135" s="8" t="s">
        <v>1136</v>
      </c>
      <c r="B135" s="8" t="s">
        <v>1137</v>
      </c>
      <c r="C135" s="8" t="s">
        <v>1074</v>
      </c>
      <c r="D135" s="8" t="s">
        <v>1033</v>
      </c>
      <c r="E135" s="8" t="s">
        <v>15</v>
      </c>
      <c r="F135" s="8" t="s">
        <v>1580</v>
      </c>
      <c r="G135" s="8" t="s">
        <v>1768</v>
      </c>
      <c r="H135" s="8" t="s">
        <v>1881</v>
      </c>
      <c r="I135" s="8" t="s">
        <v>1882</v>
      </c>
    </row>
    <row r="136" spans="1:9" ht="14.6" x14ac:dyDescent="0.4">
      <c r="A136" s="8" t="s">
        <v>13</v>
      </c>
      <c r="B136" s="8" t="s">
        <v>25</v>
      </c>
      <c r="C136" s="8" t="s">
        <v>14</v>
      </c>
      <c r="D136" s="8" t="s">
        <v>26</v>
      </c>
      <c r="E136" s="8" t="s">
        <v>15</v>
      </c>
      <c r="F136" s="8" t="s">
        <v>1584</v>
      </c>
      <c r="G136" s="8" t="s">
        <v>1768</v>
      </c>
      <c r="H136" s="8" t="s">
        <v>1874</v>
      </c>
      <c r="I136" s="21"/>
    </row>
    <row r="137" spans="1:9" ht="14.6" x14ac:dyDescent="0.4">
      <c r="A137" s="8" t="s">
        <v>13</v>
      </c>
      <c r="B137" s="8" t="s">
        <v>39</v>
      </c>
      <c r="C137" s="8" t="s">
        <v>14</v>
      </c>
      <c r="D137" s="8" t="s">
        <v>40</v>
      </c>
      <c r="E137" s="8" t="s">
        <v>15</v>
      </c>
      <c r="F137" s="8" t="s">
        <v>1584</v>
      </c>
      <c r="G137" s="8" t="s">
        <v>1768</v>
      </c>
      <c r="H137" s="8" t="s">
        <v>1874</v>
      </c>
      <c r="I137" s="21"/>
    </row>
    <row r="138" spans="1:9" ht="14.6" x14ac:dyDescent="0.4">
      <c r="A138" s="8" t="s">
        <v>13</v>
      </c>
      <c r="B138" s="8" t="s">
        <v>43</v>
      </c>
      <c r="C138" s="8" t="s">
        <v>14</v>
      </c>
      <c r="D138" s="8" t="s">
        <v>44</v>
      </c>
      <c r="E138" s="8" t="s">
        <v>15</v>
      </c>
      <c r="F138" s="8" t="s">
        <v>1584</v>
      </c>
      <c r="G138" s="8" t="s">
        <v>1768</v>
      </c>
      <c r="H138" s="8" t="s">
        <v>1874</v>
      </c>
      <c r="I138" s="21"/>
    </row>
    <row r="139" spans="1:9" ht="14.6" x14ac:dyDescent="0.4">
      <c r="A139" s="8" t="s">
        <v>13</v>
      </c>
      <c r="B139" s="8" t="s">
        <v>1136</v>
      </c>
      <c r="C139" s="8" t="s">
        <v>14</v>
      </c>
      <c r="D139" s="8" t="s">
        <v>1074</v>
      </c>
      <c r="E139" s="8" t="s">
        <v>15</v>
      </c>
      <c r="F139" s="8" t="s">
        <v>1584</v>
      </c>
      <c r="G139" s="8" t="s">
        <v>1768</v>
      </c>
      <c r="H139" s="8" t="s">
        <v>1874</v>
      </c>
      <c r="I139" s="21"/>
    </row>
    <row r="140" spans="1:9" ht="14.6" x14ac:dyDescent="0.4">
      <c r="A140" s="8" t="s">
        <v>13</v>
      </c>
      <c r="B140" s="8" t="s">
        <v>1137</v>
      </c>
      <c r="C140" s="8" t="s">
        <v>14</v>
      </c>
      <c r="D140" s="8" t="s">
        <v>1033</v>
      </c>
      <c r="E140" s="8" t="s">
        <v>15</v>
      </c>
      <c r="F140" s="8" t="s">
        <v>1584</v>
      </c>
      <c r="G140" s="8" t="s">
        <v>1768</v>
      </c>
      <c r="H140" s="8" t="s">
        <v>1874</v>
      </c>
      <c r="I140" s="21"/>
    </row>
    <row r="141" spans="1:9" ht="14.6" x14ac:dyDescent="0.4">
      <c r="A141" s="8" t="s">
        <v>13</v>
      </c>
      <c r="B141" s="8" t="s">
        <v>1155</v>
      </c>
      <c r="C141" s="8" t="s">
        <v>14</v>
      </c>
      <c r="D141" s="8" t="s">
        <v>1156</v>
      </c>
      <c r="E141" s="8" t="s">
        <v>15</v>
      </c>
      <c r="F141" s="8" t="s">
        <v>1584</v>
      </c>
      <c r="G141" s="8" t="s">
        <v>1768</v>
      </c>
      <c r="H141" s="8" t="s">
        <v>1874</v>
      </c>
      <c r="I141" s="21"/>
    </row>
    <row r="142" spans="1:9" ht="14.6" x14ac:dyDescent="0.4">
      <c r="A142" s="8" t="s">
        <v>13</v>
      </c>
      <c r="B142" s="8" t="s">
        <v>1163</v>
      </c>
      <c r="C142" s="8" t="s">
        <v>14</v>
      </c>
      <c r="D142" s="8" t="s">
        <v>1156</v>
      </c>
      <c r="E142" s="8" t="s">
        <v>15</v>
      </c>
      <c r="F142" s="8" t="s">
        <v>1584</v>
      </c>
      <c r="G142" s="8" t="s">
        <v>1768</v>
      </c>
      <c r="H142" s="8" t="s">
        <v>1874</v>
      </c>
      <c r="I142" s="21"/>
    </row>
    <row r="143" spans="1:9" ht="14.6" x14ac:dyDescent="0.4">
      <c r="A143" s="8" t="s">
        <v>25</v>
      </c>
      <c r="B143" s="8" t="s">
        <v>39</v>
      </c>
      <c r="C143" s="8" t="s">
        <v>26</v>
      </c>
      <c r="D143" s="8" t="s">
        <v>40</v>
      </c>
      <c r="E143" s="8" t="s">
        <v>15</v>
      </c>
      <c r="F143" s="8" t="s">
        <v>1584</v>
      </c>
      <c r="G143" s="8" t="s">
        <v>1768</v>
      </c>
      <c r="H143" s="8" t="s">
        <v>1874</v>
      </c>
      <c r="I143" s="21"/>
    </row>
    <row r="144" spans="1:9" ht="14.6" x14ac:dyDescent="0.4">
      <c r="A144" s="8" t="s">
        <v>25</v>
      </c>
      <c r="B144" s="8" t="s">
        <v>43</v>
      </c>
      <c r="C144" s="8" t="s">
        <v>26</v>
      </c>
      <c r="D144" s="8" t="s">
        <v>44</v>
      </c>
      <c r="E144" s="8" t="s">
        <v>15</v>
      </c>
      <c r="F144" s="8" t="s">
        <v>1584</v>
      </c>
      <c r="G144" s="8" t="s">
        <v>1768</v>
      </c>
      <c r="H144" s="8" t="s">
        <v>1874</v>
      </c>
      <c r="I144" s="21"/>
    </row>
    <row r="145" spans="1:9" ht="14.6" x14ac:dyDescent="0.4">
      <c r="A145" s="8" t="s">
        <v>25</v>
      </c>
      <c r="B145" s="8" t="s">
        <v>1136</v>
      </c>
      <c r="C145" s="8" t="s">
        <v>26</v>
      </c>
      <c r="D145" s="8" t="s">
        <v>1074</v>
      </c>
      <c r="E145" s="8" t="s">
        <v>15</v>
      </c>
      <c r="F145" s="8" t="s">
        <v>1584</v>
      </c>
      <c r="G145" s="8" t="s">
        <v>1768</v>
      </c>
      <c r="H145" s="8" t="s">
        <v>1874</v>
      </c>
      <c r="I145" s="21"/>
    </row>
    <row r="146" spans="1:9" ht="14.6" x14ac:dyDescent="0.4">
      <c r="A146" s="8" t="s">
        <v>25</v>
      </c>
      <c r="B146" s="8" t="s">
        <v>1137</v>
      </c>
      <c r="C146" s="8" t="s">
        <v>26</v>
      </c>
      <c r="D146" s="8" t="s">
        <v>1033</v>
      </c>
      <c r="E146" s="8" t="s">
        <v>15</v>
      </c>
      <c r="F146" s="8" t="s">
        <v>1584</v>
      </c>
      <c r="G146" s="8" t="s">
        <v>1768</v>
      </c>
      <c r="H146" s="8" t="s">
        <v>1874</v>
      </c>
      <c r="I146" s="21"/>
    </row>
    <row r="147" spans="1:9" ht="14.6" x14ac:dyDescent="0.4">
      <c r="A147" s="8" t="s">
        <v>25</v>
      </c>
      <c r="B147" s="8" t="s">
        <v>1155</v>
      </c>
      <c r="C147" s="8" t="s">
        <v>26</v>
      </c>
      <c r="D147" s="8" t="s">
        <v>1156</v>
      </c>
      <c r="E147" s="8" t="s">
        <v>15</v>
      </c>
      <c r="F147" s="8" t="s">
        <v>1584</v>
      </c>
      <c r="G147" s="8" t="s">
        <v>1768</v>
      </c>
      <c r="H147" s="8" t="s">
        <v>1874</v>
      </c>
      <c r="I147" s="21"/>
    </row>
    <row r="148" spans="1:9" ht="14.6" x14ac:dyDescent="0.4">
      <c r="A148" s="8" t="s">
        <v>25</v>
      </c>
      <c r="B148" s="8" t="s">
        <v>1163</v>
      </c>
      <c r="C148" s="8" t="s">
        <v>26</v>
      </c>
      <c r="D148" s="8" t="s">
        <v>1156</v>
      </c>
      <c r="E148" s="8" t="s">
        <v>15</v>
      </c>
      <c r="F148" s="8" t="s">
        <v>1584</v>
      </c>
      <c r="G148" s="8" t="s">
        <v>1768</v>
      </c>
      <c r="H148" s="8" t="s">
        <v>1874</v>
      </c>
      <c r="I148" s="21"/>
    </row>
    <row r="149" spans="1:9" ht="14.6" x14ac:dyDescent="0.4">
      <c r="A149" s="8" t="s">
        <v>39</v>
      </c>
      <c r="B149" s="8" t="s">
        <v>43</v>
      </c>
      <c r="C149" s="8" t="s">
        <v>40</v>
      </c>
      <c r="D149" s="8" t="s">
        <v>44</v>
      </c>
      <c r="E149" s="8" t="s">
        <v>15</v>
      </c>
      <c r="F149" s="8" t="s">
        <v>1584</v>
      </c>
      <c r="G149" s="8" t="s">
        <v>1768</v>
      </c>
      <c r="H149" s="8" t="s">
        <v>1874</v>
      </c>
      <c r="I149" s="21"/>
    </row>
    <row r="150" spans="1:9" ht="14.6" x14ac:dyDescent="0.4">
      <c r="A150" s="8" t="s">
        <v>39</v>
      </c>
      <c r="B150" s="8" t="s">
        <v>1136</v>
      </c>
      <c r="C150" s="8" t="s">
        <v>40</v>
      </c>
      <c r="D150" s="8" t="s">
        <v>1074</v>
      </c>
      <c r="E150" s="8" t="s">
        <v>15</v>
      </c>
      <c r="F150" s="8" t="s">
        <v>1584</v>
      </c>
      <c r="G150" s="8" t="s">
        <v>1768</v>
      </c>
      <c r="H150" s="8" t="s">
        <v>1874</v>
      </c>
      <c r="I150" s="21"/>
    </row>
    <row r="151" spans="1:9" ht="14.6" x14ac:dyDescent="0.4">
      <c r="A151" s="8" t="s">
        <v>39</v>
      </c>
      <c r="B151" s="8" t="s">
        <v>1137</v>
      </c>
      <c r="C151" s="8" t="s">
        <v>40</v>
      </c>
      <c r="D151" s="8" t="s">
        <v>1033</v>
      </c>
      <c r="E151" s="8" t="s">
        <v>15</v>
      </c>
      <c r="F151" s="8" t="s">
        <v>1584</v>
      </c>
      <c r="G151" s="8" t="s">
        <v>1768</v>
      </c>
      <c r="H151" s="8" t="s">
        <v>1874</v>
      </c>
      <c r="I151" s="21"/>
    </row>
    <row r="152" spans="1:9" ht="14.6" x14ac:dyDescent="0.4">
      <c r="A152" s="8" t="s">
        <v>39</v>
      </c>
      <c r="B152" s="8" t="s">
        <v>1155</v>
      </c>
      <c r="C152" s="8" t="s">
        <v>40</v>
      </c>
      <c r="D152" s="8" t="s">
        <v>1156</v>
      </c>
      <c r="E152" s="8" t="s">
        <v>15</v>
      </c>
      <c r="F152" s="8" t="s">
        <v>1584</v>
      </c>
      <c r="G152" s="8" t="s">
        <v>1768</v>
      </c>
      <c r="H152" s="8" t="s">
        <v>1874</v>
      </c>
      <c r="I152" s="21"/>
    </row>
    <row r="153" spans="1:9" ht="14.6" x14ac:dyDescent="0.4">
      <c r="A153" s="8" t="s">
        <v>39</v>
      </c>
      <c r="B153" s="8" t="s">
        <v>1163</v>
      </c>
      <c r="C153" s="8" t="s">
        <v>40</v>
      </c>
      <c r="D153" s="8" t="s">
        <v>1156</v>
      </c>
      <c r="E153" s="8" t="s">
        <v>15</v>
      </c>
      <c r="F153" s="8" t="s">
        <v>1584</v>
      </c>
      <c r="G153" s="8" t="s">
        <v>1768</v>
      </c>
      <c r="H153" s="8" t="s">
        <v>1874</v>
      </c>
      <c r="I153" s="21"/>
    </row>
    <row r="154" spans="1:9" ht="14.6" x14ac:dyDescent="0.4">
      <c r="A154" s="8" t="s">
        <v>43</v>
      </c>
      <c r="B154" s="8" t="s">
        <v>1136</v>
      </c>
      <c r="C154" s="8" t="s">
        <v>44</v>
      </c>
      <c r="D154" s="8" t="s">
        <v>1074</v>
      </c>
      <c r="E154" s="8" t="s">
        <v>15</v>
      </c>
      <c r="F154" s="8" t="s">
        <v>1584</v>
      </c>
      <c r="G154" s="8" t="s">
        <v>1768</v>
      </c>
      <c r="H154" s="8" t="s">
        <v>1874</v>
      </c>
      <c r="I154" s="21"/>
    </row>
    <row r="155" spans="1:9" ht="14.6" x14ac:dyDescent="0.4">
      <c r="A155" s="8" t="s">
        <v>43</v>
      </c>
      <c r="B155" s="8" t="s">
        <v>1137</v>
      </c>
      <c r="C155" s="8" t="s">
        <v>44</v>
      </c>
      <c r="D155" s="8" t="s">
        <v>1033</v>
      </c>
      <c r="E155" s="8" t="s">
        <v>15</v>
      </c>
      <c r="F155" s="8" t="s">
        <v>1584</v>
      </c>
      <c r="G155" s="8" t="s">
        <v>1768</v>
      </c>
      <c r="H155" s="8" t="s">
        <v>1874</v>
      </c>
      <c r="I155" s="21"/>
    </row>
    <row r="156" spans="1:9" ht="14.6" x14ac:dyDescent="0.4">
      <c r="A156" s="8" t="s">
        <v>43</v>
      </c>
      <c r="B156" s="8" t="s">
        <v>1155</v>
      </c>
      <c r="C156" s="8" t="s">
        <v>44</v>
      </c>
      <c r="D156" s="8" t="s">
        <v>1156</v>
      </c>
      <c r="E156" s="8" t="s">
        <v>15</v>
      </c>
      <c r="F156" s="8" t="s">
        <v>1584</v>
      </c>
      <c r="G156" s="8" t="s">
        <v>1768</v>
      </c>
      <c r="H156" s="8" t="s">
        <v>1874</v>
      </c>
      <c r="I156" s="21"/>
    </row>
    <row r="157" spans="1:9" ht="14.6" x14ac:dyDescent="0.4">
      <c r="A157" s="8" t="s">
        <v>43</v>
      </c>
      <c r="B157" s="8" t="s">
        <v>1163</v>
      </c>
      <c r="C157" s="8" t="s">
        <v>44</v>
      </c>
      <c r="D157" s="8" t="s">
        <v>1156</v>
      </c>
      <c r="E157" s="8" t="s">
        <v>15</v>
      </c>
      <c r="F157" s="8" t="s">
        <v>1584</v>
      </c>
      <c r="G157" s="8" t="s">
        <v>1768</v>
      </c>
      <c r="H157" s="8" t="s">
        <v>1874</v>
      </c>
      <c r="I157" s="21"/>
    </row>
    <row r="158" spans="1:9" ht="14.6" x14ac:dyDescent="0.4">
      <c r="A158" s="8" t="s">
        <v>1136</v>
      </c>
      <c r="B158" s="8" t="s">
        <v>1155</v>
      </c>
      <c r="C158" s="8" t="s">
        <v>1074</v>
      </c>
      <c r="D158" s="8" t="s">
        <v>1156</v>
      </c>
      <c r="E158" s="8" t="s">
        <v>15</v>
      </c>
      <c r="F158" s="8" t="s">
        <v>1584</v>
      </c>
      <c r="G158" s="8" t="s">
        <v>1768</v>
      </c>
      <c r="H158" s="8" t="s">
        <v>1874</v>
      </c>
      <c r="I158" s="21"/>
    </row>
    <row r="159" spans="1:9" ht="14.6" x14ac:dyDescent="0.4">
      <c r="A159" s="8" t="s">
        <v>1136</v>
      </c>
      <c r="B159" s="8" t="s">
        <v>1163</v>
      </c>
      <c r="C159" s="8" t="s">
        <v>1074</v>
      </c>
      <c r="D159" s="8" t="s">
        <v>1156</v>
      </c>
      <c r="E159" s="8" t="s">
        <v>15</v>
      </c>
      <c r="F159" s="8" t="s">
        <v>1584</v>
      </c>
      <c r="G159" s="8" t="s">
        <v>1768</v>
      </c>
      <c r="H159" s="8" t="s">
        <v>1874</v>
      </c>
      <c r="I159" s="21"/>
    </row>
    <row r="160" spans="1:9" ht="14.6" x14ac:dyDescent="0.4">
      <c r="A160" s="8" t="s">
        <v>1137</v>
      </c>
      <c r="B160" s="8" t="s">
        <v>1155</v>
      </c>
      <c r="C160" s="8" t="s">
        <v>1033</v>
      </c>
      <c r="D160" s="8" t="s">
        <v>1156</v>
      </c>
      <c r="E160" s="8" t="s">
        <v>15</v>
      </c>
      <c r="F160" s="8" t="s">
        <v>1584</v>
      </c>
      <c r="G160" s="8" t="s">
        <v>1768</v>
      </c>
      <c r="H160" s="8" t="s">
        <v>1874</v>
      </c>
      <c r="I160" s="21"/>
    </row>
    <row r="161" spans="1:9" ht="14.6" x14ac:dyDescent="0.4">
      <c r="A161" s="8" t="s">
        <v>1137</v>
      </c>
      <c r="B161" s="8" t="s">
        <v>1163</v>
      </c>
      <c r="C161" s="8" t="s">
        <v>1033</v>
      </c>
      <c r="D161" s="8" t="s">
        <v>1156</v>
      </c>
      <c r="E161" s="8" t="s">
        <v>15</v>
      </c>
      <c r="F161" s="8" t="s">
        <v>1584</v>
      </c>
      <c r="G161" s="8" t="s">
        <v>1768</v>
      </c>
      <c r="H161" s="8" t="s">
        <v>1874</v>
      </c>
      <c r="I161" s="21"/>
    </row>
    <row r="162" spans="1:9" ht="14.6" x14ac:dyDescent="0.4">
      <c r="A162" s="8" t="s">
        <v>1155</v>
      </c>
      <c r="B162" s="8" t="s">
        <v>1163</v>
      </c>
      <c r="C162" s="8" t="s">
        <v>1156</v>
      </c>
      <c r="D162" s="8" t="s">
        <v>1156</v>
      </c>
      <c r="E162" s="8" t="s">
        <v>15</v>
      </c>
      <c r="F162" s="8" t="s">
        <v>1584</v>
      </c>
      <c r="G162" s="8" t="s">
        <v>1768</v>
      </c>
      <c r="H162" s="8" t="s">
        <v>1874</v>
      </c>
      <c r="I162" s="21"/>
    </row>
    <row r="163" spans="1:9" ht="14.6" x14ac:dyDescent="0.4">
      <c r="A163" s="8" t="s">
        <v>1358</v>
      </c>
      <c r="B163" s="8" t="s">
        <v>1403</v>
      </c>
      <c r="C163" s="8" t="s">
        <v>1359</v>
      </c>
      <c r="D163" s="8" t="s">
        <v>1345</v>
      </c>
      <c r="E163" s="8" t="s">
        <v>24</v>
      </c>
      <c r="F163" s="8" t="s">
        <v>1580</v>
      </c>
      <c r="G163" s="8" t="s">
        <v>1585</v>
      </c>
      <c r="H163" s="8" t="s">
        <v>1883</v>
      </c>
      <c r="I163" s="8" t="s">
        <v>1884</v>
      </c>
    </row>
    <row r="164" spans="1:9" ht="14.6" x14ac:dyDescent="0.4">
      <c r="A164" s="8" t="s">
        <v>1398</v>
      </c>
      <c r="B164" s="8" t="s">
        <v>1403</v>
      </c>
      <c r="C164" s="8" t="s">
        <v>1359</v>
      </c>
      <c r="D164" s="8" t="s">
        <v>1345</v>
      </c>
      <c r="E164" s="8" t="s">
        <v>24</v>
      </c>
      <c r="F164" s="8" t="s">
        <v>1580</v>
      </c>
      <c r="G164" s="8" t="s">
        <v>1585</v>
      </c>
      <c r="H164" s="8" t="s">
        <v>1885</v>
      </c>
      <c r="I164" s="8" t="s">
        <v>1886</v>
      </c>
    </row>
    <row r="165" spans="1:9" ht="14.6" x14ac:dyDescent="0.4">
      <c r="A165" s="8" t="s">
        <v>22</v>
      </c>
      <c r="B165" s="8" t="s">
        <v>85</v>
      </c>
      <c r="C165" s="8" t="s">
        <v>23</v>
      </c>
      <c r="D165" s="8" t="s">
        <v>86</v>
      </c>
      <c r="E165" s="8" t="s">
        <v>24</v>
      </c>
      <c r="F165" s="8" t="s">
        <v>1584</v>
      </c>
      <c r="G165" s="8" t="s">
        <v>1768</v>
      </c>
      <c r="H165" s="8" t="s">
        <v>1874</v>
      </c>
      <c r="I165" s="21"/>
    </row>
    <row r="166" spans="1:9" ht="14.6" x14ac:dyDescent="0.4">
      <c r="A166" s="8" t="s">
        <v>22</v>
      </c>
      <c r="B166" s="8" t="s">
        <v>196</v>
      </c>
      <c r="C166" s="8" t="s">
        <v>23</v>
      </c>
      <c r="D166" s="8" t="s">
        <v>197</v>
      </c>
      <c r="E166" s="8" t="s">
        <v>24</v>
      </c>
      <c r="F166" s="8" t="s">
        <v>1584</v>
      </c>
      <c r="G166" s="8" t="s">
        <v>1768</v>
      </c>
      <c r="H166" s="8" t="s">
        <v>1874</v>
      </c>
      <c r="I166" s="21"/>
    </row>
    <row r="167" spans="1:9" ht="14.6" x14ac:dyDescent="0.4">
      <c r="A167" s="8" t="s">
        <v>22</v>
      </c>
      <c r="B167" s="8" t="s">
        <v>1368</v>
      </c>
      <c r="C167" s="8" t="s">
        <v>23</v>
      </c>
      <c r="D167" s="8" t="s">
        <v>1355</v>
      </c>
      <c r="E167" s="8" t="s">
        <v>24</v>
      </c>
      <c r="F167" s="8" t="s">
        <v>1584</v>
      </c>
      <c r="G167" s="8" t="s">
        <v>1768</v>
      </c>
      <c r="H167" s="8" t="s">
        <v>1874</v>
      </c>
      <c r="I167" s="21"/>
    </row>
    <row r="168" spans="1:9" ht="14.6" x14ac:dyDescent="0.4">
      <c r="A168" s="8" t="s">
        <v>22</v>
      </c>
      <c r="B168" s="8" t="s">
        <v>1358</v>
      </c>
      <c r="C168" s="8" t="s">
        <v>23</v>
      </c>
      <c r="D168" s="8" t="s">
        <v>1359</v>
      </c>
      <c r="E168" s="8" t="s">
        <v>24</v>
      </c>
      <c r="F168" s="8" t="s">
        <v>1584</v>
      </c>
      <c r="G168" s="8" t="s">
        <v>1768</v>
      </c>
      <c r="H168" s="8" t="s">
        <v>1874</v>
      </c>
      <c r="I168" s="21"/>
    </row>
    <row r="169" spans="1:9" ht="14.6" x14ac:dyDescent="0.4">
      <c r="A169" s="8" t="s">
        <v>22</v>
      </c>
      <c r="B169" s="8" t="s">
        <v>1398</v>
      </c>
      <c r="C169" s="8" t="s">
        <v>23</v>
      </c>
      <c r="D169" s="8" t="s">
        <v>1359</v>
      </c>
      <c r="E169" s="8" t="s">
        <v>24</v>
      </c>
      <c r="F169" s="8" t="s">
        <v>1584</v>
      </c>
      <c r="G169" s="8" t="s">
        <v>1768</v>
      </c>
      <c r="H169" s="8" t="s">
        <v>1874</v>
      </c>
      <c r="I169" s="21"/>
    </row>
    <row r="170" spans="1:9" ht="14.6" x14ac:dyDescent="0.4">
      <c r="A170" s="8" t="s">
        <v>22</v>
      </c>
      <c r="B170" s="8" t="s">
        <v>1403</v>
      </c>
      <c r="C170" s="8" t="s">
        <v>23</v>
      </c>
      <c r="D170" s="8" t="s">
        <v>1345</v>
      </c>
      <c r="E170" s="8" t="s">
        <v>24</v>
      </c>
      <c r="F170" s="8" t="s">
        <v>1584</v>
      </c>
      <c r="G170" s="8" t="s">
        <v>1768</v>
      </c>
      <c r="H170" s="8" t="s">
        <v>1874</v>
      </c>
      <c r="I170" s="21"/>
    </row>
    <row r="171" spans="1:9" ht="14.6" x14ac:dyDescent="0.4">
      <c r="A171" s="8" t="s">
        <v>85</v>
      </c>
      <c r="B171" s="8" t="s">
        <v>196</v>
      </c>
      <c r="C171" s="8" t="s">
        <v>86</v>
      </c>
      <c r="D171" s="8" t="s">
        <v>197</v>
      </c>
      <c r="E171" s="8" t="s">
        <v>24</v>
      </c>
      <c r="F171" s="8" t="s">
        <v>1584</v>
      </c>
      <c r="G171" s="8" t="s">
        <v>1768</v>
      </c>
      <c r="H171" s="8" t="s">
        <v>1874</v>
      </c>
      <c r="I171" s="21"/>
    </row>
    <row r="172" spans="1:9" ht="14.6" x14ac:dyDescent="0.4">
      <c r="A172" s="8" t="s">
        <v>85</v>
      </c>
      <c r="B172" s="8" t="s">
        <v>1368</v>
      </c>
      <c r="C172" s="8" t="s">
        <v>86</v>
      </c>
      <c r="D172" s="8" t="s">
        <v>1355</v>
      </c>
      <c r="E172" s="8" t="s">
        <v>24</v>
      </c>
      <c r="F172" s="8" t="s">
        <v>1584</v>
      </c>
      <c r="G172" s="8" t="s">
        <v>1768</v>
      </c>
      <c r="H172" s="8" t="s">
        <v>1874</v>
      </c>
      <c r="I172" s="21"/>
    </row>
    <row r="173" spans="1:9" ht="14.6" x14ac:dyDescent="0.4">
      <c r="A173" s="8" t="s">
        <v>85</v>
      </c>
      <c r="B173" s="8" t="s">
        <v>1358</v>
      </c>
      <c r="C173" s="8" t="s">
        <v>86</v>
      </c>
      <c r="D173" s="8" t="s">
        <v>1359</v>
      </c>
      <c r="E173" s="8" t="s">
        <v>24</v>
      </c>
      <c r="F173" s="8" t="s">
        <v>1584</v>
      </c>
      <c r="G173" s="8" t="s">
        <v>1768</v>
      </c>
      <c r="H173" s="8" t="s">
        <v>1874</v>
      </c>
      <c r="I173" s="21"/>
    </row>
    <row r="174" spans="1:9" ht="14.6" x14ac:dyDescent="0.4">
      <c r="A174" s="8" t="s">
        <v>85</v>
      </c>
      <c r="B174" s="8" t="s">
        <v>1398</v>
      </c>
      <c r="C174" s="8" t="s">
        <v>86</v>
      </c>
      <c r="D174" s="8" t="s">
        <v>1359</v>
      </c>
      <c r="E174" s="8" t="s">
        <v>24</v>
      </c>
      <c r="F174" s="8" t="s">
        <v>1584</v>
      </c>
      <c r="G174" s="8" t="s">
        <v>1768</v>
      </c>
      <c r="H174" s="8" t="s">
        <v>1874</v>
      </c>
      <c r="I174" s="21"/>
    </row>
    <row r="175" spans="1:9" ht="14.6" x14ac:dyDescent="0.4">
      <c r="A175" s="8" t="s">
        <v>85</v>
      </c>
      <c r="B175" s="8" t="s">
        <v>1403</v>
      </c>
      <c r="C175" s="8" t="s">
        <v>86</v>
      </c>
      <c r="D175" s="8" t="s">
        <v>1345</v>
      </c>
      <c r="E175" s="8" t="s">
        <v>24</v>
      </c>
      <c r="F175" s="8" t="s">
        <v>1584</v>
      </c>
      <c r="G175" s="8" t="s">
        <v>1768</v>
      </c>
      <c r="H175" s="8" t="s">
        <v>1874</v>
      </c>
      <c r="I175" s="21"/>
    </row>
    <row r="176" spans="1:9" ht="14.6" x14ac:dyDescent="0.4">
      <c r="A176" s="8" t="s">
        <v>196</v>
      </c>
      <c r="B176" s="8" t="s">
        <v>1368</v>
      </c>
      <c r="C176" s="8" t="s">
        <v>197</v>
      </c>
      <c r="D176" s="8" t="s">
        <v>1355</v>
      </c>
      <c r="E176" s="8" t="s">
        <v>24</v>
      </c>
      <c r="F176" s="8" t="s">
        <v>1584</v>
      </c>
      <c r="G176" s="8" t="s">
        <v>1768</v>
      </c>
      <c r="H176" s="8" t="s">
        <v>1874</v>
      </c>
      <c r="I176" s="21"/>
    </row>
    <row r="177" spans="1:9" ht="14.6" x14ac:dyDescent="0.4">
      <c r="A177" s="8" t="s">
        <v>196</v>
      </c>
      <c r="B177" s="8" t="s">
        <v>1358</v>
      </c>
      <c r="C177" s="8" t="s">
        <v>197</v>
      </c>
      <c r="D177" s="8" t="s">
        <v>1359</v>
      </c>
      <c r="E177" s="8" t="s">
        <v>24</v>
      </c>
      <c r="F177" s="8" t="s">
        <v>1584</v>
      </c>
      <c r="G177" s="8" t="s">
        <v>1768</v>
      </c>
      <c r="H177" s="8" t="s">
        <v>1874</v>
      </c>
      <c r="I177" s="21"/>
    </row>
    <row r="178" spans="1:9" ht="14.6" x14ac:dyDescent="0.4">
      <c r="A178" s="8" t="s">
        <v>196</v>
      </c>
      <c r="B178" s="8" t="s">
        <v>1398</v>
      </c>
      <c r="C178" s="8" t="s">
        <v>197</v>
      </c>
      <c r="D178" s="8" t="s">
        <v>1359</v>
      </c>
      <c r="E178" s="8" t="s">
        <v>24</v>
      </c>
      <c r="F178" s="8" t="s">
        <v>1584</v>
      </c>
      <c r="G178" s="8" t="s">
        <v>1768</v>
      </c>
      <c r="H178" s="8" t="s">
        <v>1874</v>
      </c>
      <c r="I178" s="21"/>
    </row>
    <row r="179" spans="1:9" ht="14.6" x14ac:dyDescent="0.4">
      <c r="A179" s="8" t="s">
        <v>196</v>
      </c>
      <c r="B179" s="8" t="s">
        <v>1403</v>
      </c>
      <c r="C179" s="8" t="s">
        <v>197</v>
      </c>
      <c r="D179" s="8" t="s">
        <v>1345</v>
      </c>
      <c r="E179" s="8" t="s">
        <v>24</v>
      </c>
      <c r="F179" s="8" t="s">
        <v>1584</v>
      </c>
      <c r="G179" s="8" t="s">
        <v>1768</v>
      </c>
      <c r="H179" s="8" t="s">
        <v>1874</v>
      </c>
      <c r="I179" s="21"/>
    </row>
    <row r="180" spans="1:9" ht="14.6" x14ac:dyDescent="0.4">
      <c r="A180" s="8" t="s">
        <v>1368</v>
      </c>
      <c r="B180" s="8" t="s">
        <v>1358</v>
      </c>
      <c r="C180" s="8" t="s">
        <v>1355</v>
      </c>
      <c r="D180" s="8" t="s">
        <v>1359</v>
      </c>
      <c r="E180" s="8" t="s">
        <v>24</v>
      </c>
      <c r="F180" s="8" t="s">
        <v>1584</v>
      </c>
      <c r="G180" s="8" t="s">
        <v>1768</v>
      </c>
      <c r="H180" s="8" t="s">
        <v>1874</v>
      </c>
      <c r="I180" s="21"/>
    </row>
    <row r="181" spans="1:9" ht="14.6" x14ac:dyDescent="0.4">
      <c r="A181" s="8" t="s">
        <v>1368</v>
      </c>
      <c r="B181" s="8" t="s">
        <v>1398</v>
      </c>
      <c r="C181" s="8" t="s">
        <v>1355</v>
      </c>
      <c r="D181" s="8" t="s">
        <v>1359</v>
      </c>
      <c r="E181" s="8" t="s">
        <v>24</v>
      </c>
      <c r="F181" s="8" t="s">
        <v>1584</v>
      </c>
      <c r="G181" s="8" t="s">
        <v>1768</v>
      </c>
      <c r="H181" s="8" t="s">
        <v>1874</v>
      </c>
      <c r="I181" s="21"/>
    </row>
    <row r="182" spans="1:9" ht="14.6" x14ac:dyDescent="0.4">
      <c r="A182" s="8" t="s">
        <v>1368</v>
      </c>
      <c r="B182" s="8" t="s">
        <v>1403</v>
      </c>
      <c r="C182" s="8" t="s">
        <v>1355</v>
      </c>
      <c r="D182" s="8" t="s">
        <v>1345</v>
      </c>
      <c r="E182" s="8" t="s">
        <v>24</v>
      </c>
      <c r="F182" s="8" t="s">
        <v>1584</v>
      </c>
      <c r="G182" s="8" t="s">
        <v>1768</v>
      </c>
      <c r="H182" s="8" t="s">
        <v>1874</v>
      </c>
      <c r="I182" s="21"/>
    </row>
    <row r="183" spans="1:9" ht="14.6" x14ac:dyDescent="0.4">
      <c r="A183" s="8" t="s">
        <v>1358</v>
      </c>
      <c r="B183" s="8" t="s">
        <v>1398</v>
      </c>
      <c r="C183" s="8" t="s">
        <v>1359</v>
      </c>
      <c r="D183" s="8" t="s">
        <v>1359</v>
      </c>
      <c r="E183" s="8" t="s">
        <v>24</v>
      </c>
      <c r="F183" s="8" t="s">
        <v>1584</v>
      </c>
      <c r="G183" s="8" t="s">
        <v>1768</v>
      </c>
      <c r="H183" s="8" t="s">
        <v>1874</v>
      </c>
      <c r="I183" s="21"/>
    </row>
    <row r="184" spans="1:9" ht="14.6" x14ac:dyDescent="0.4">
      <c r="A184" s="8" t="s">
        <v>1370</v>
      </c>
      <c r="B184" s="8" t="s">
        <v>1380</v>
      </c>
      <c r="C184" s="8" t="s">
        <v>1359</v>
      </c>
      <c r="D184" s="8" t="s">
        <v>1353</v>
      </c>
      <c r="E184" s="8" t="s">
        <v>52</v>
      </c>
      <c r="F184" s="8" t="s">
        <v>1580</v>
      </c>
      <c r="G184" s="8" t="s">
        <v>1585</v>
      </c>
      <c r="H184" s="8" t="s">
        <v>1887</v>
      </c>
      <c r="I184" s="8" t="s">
        <v>1888</v>
      </c>
    </row>
    <row r="185" spans="1:9" ht="14.6" x14ac:dyDescent="0.4">
      <c r="A185" s="8" t="s">
        <v>1370</v>
      </c>
      <c r="B185" s="8" t="s">
        <v>1399</v>
      </c>
      <c r="C185" s="8" t="s">
        <v>1359</v>
      </c>
      <c r="D185" s="8" t="s">
        <v>1351</v>
      </c>
      <c r="E185" s="8" t="s">
        <v>52</v>
      </c>
      <c r="F185" s="8" t="s">
        <v>1580</v>
      </c>
      <c r="G185" s="8" t="s">
        <v>1585</v>
      </c>
      <c r="H185" s="8" t="s">
        <v>1889</v>
      </c>
      <c r="I185" s="8" t="s">
        <v>1890</v>
      </c>
    </row>
    <row r="186" spans="1:9" ht="14.6" x14ac:dyDescent="0.4">
      <c r="A186" s="8" t="s">
        <v>1380</v>
      </c>
      <c r="B186" s="8" t="s">
        <v>1399</v>
      </c>
      <c r="C186" s="8" t="s">
        <v>1353</v>
      </c>
      <c r="D186" s="8" t="s">
        <v>1351</v>
      </c>
      <c r="E186" s="8" t="s">
        <v>52</v>
      </c>
      <c r="F186" s="8" t="s">
        <v>1580</v>
      </c>
      <c r="G186" s="8" t="s">
        <v>1585</v>
      </c>
      <c r="H186" s="8" t="s">
        <v>1891</v>
      </c>
      <c r="I186" s="8" t="s">
        <v>1892</v>
      </c>
    </row>
    <row r="187" spans="1:9" ht="14.6" x14ac:dyDescent="0.4">
      <c r="A187" s="8" t="s">
        <v>51</v>
      </c>
      <c r="B187" s="8" t="s">
        <v>102</v>
      </c>
      <c r="C187" s="8" t="s">
        <v>46</v>
      </c>
      <c r="D187" s="8" t="s">
        <v>103</v>
      </c>
      <c r="E187" s="8" t="s">
        <v>52</v>
      </c>
      <c r="F187" s="8" t="s">
        <v>1584</v>
      </c>
      <c r="G187" s="8" t="s">
        <v>1768</v>
      </c>
      <c r="H187" s="8" t="s">
        <v>1874</v>
      </c>
      <c r="I187" s="21"/>
    </row>
    <row r="188" spans="1:9" ht="14.6" x14ac:dyDescent="0.4">
      <c r="A188" s="8" t="s">
        <v>51</v>
      </c>
      <c r="B188" s="8" t="s">
        <v>155</v>
      </c>
      <c r="C188" s="8" t="s">
        <v>46</v>
      </c>
      <c r="D188" s="8" t="s">
        <v>156</v>
      </c>
      <c r="E188" s="8" t="s">
        <v>52</v>
      </c>
      <c r="F188" s="8" t="s">
        <v>1584</v>
      </c>
      <c r="G188" s="8" t="s">
        <v>1768</v>
      </c>
      <c r="H188" s="8" t="s">
        <v>1874</v>
      </c>
      <c r="I188" s="21"/>
    </row>
    <row r="189" spans="1:9" ht="14.6" x14ac:dyDescent="0.4">
      <c r="A189" s="8" t="s">
        <v>51</v>
      </c>
      <c r="B189" s="8" t="s">
        <v>168</v>
      </c>
      <c r="C189" s="8" t="s">
        <v>46</v>
      </c>
      <c r="D189" s="8" t="s">
        <v>169</v>
      </c>
      <c r="E189" s="8" t="s">
        <v>52</v>
      </c>
      <c r="F189" s="8" t="s">
        <v>1584</v>
      </c>
      <c r="G189" s="8" t="s">
        <v>1768</v>
      </c>
      <c r="H189" s="8" t="s">
        <v>1874</v>
      </c>
      <c r="I189" s="21"/>
    </row>
    <row r="190" spans="1:9" ht="14.6" x14ac:dyDescent="0.4">
      <c r="A190" s="8" t="s">
        <v>51</v>
      </c>
      <c r="B190" s="8" t="s">
        <v>1370</v>
      </c>
      <c r="C190" s="8" t="s">
        <v>46</v>
      </c>
      <c r="D190" s="8" t="s">
        <v>1359</v>
      </c>
      <c r="E190" s="8" t="s">
        <v>52</v>
      </c>
      <c r="F190" s="8" t="s">
        <v>1584</v>
      </c>
      <c r="G190" s="8" t="s">
        <v>1768</v>
      </c>
      <c r="H190" s="8" t="s">
        <v>1874</v>
      </c>
      <c r="I190" s="21"/>
    </row>
    <row r="191" spans="1:9" ht="14.6" x14ac:dyDescent="0.4">
      <c r="A191" s="8" t="s">
        <v>51</v>
      </c>
      <c r="B191" s="8" t="s">
        <v>1380</v>
      </c>
      <c r="C191" s="8" t="s">
        <v>46</v>
      </c>
      <c r="D191" s="8" t="s">
        <v>1353</v>
      </c>
      <c r="E191" s="8" t="s">
        <v>52</v>
      </c>
      <c r="F191" s="8" t="s">
        <v>1584</v>
      </c>
      <c r="G191" s="8" t="s">
        <v>1768</v>
      </c>
      <c r="H191" s="8" t="s">
        <v>1874</v>
      </c>
      <c r="I191" s="21"/>
    </row>
    <row r="192" spans="1:9" ht="14.6" x14ac:dyDescent="0.4">
      <c r="A192" s="8" t="s">
        <v>51</v>
      </c>
      <c r="B192" s="8" t="s">
        <v>1399</v>
      </c>
      <c r="C192" s="8" t="s">
        <v>46</v>
      </c>
      <c r="D192" s="8" t="s">
        <v>1351</v>
      </c>
      <c r="E192" s="8" t="s">
        <v>52</v>
      </c>
      <c r="F192" s="8" t="s">
        <v>1584</v>
      </c>
      <c r="G192" s="8" t="s">
        <v>1768</v>
      </c>
      <c r="H192" s="8" t="s">
        <v>1874</v>
      </c>
      <c r="I192" s="21"/>
    </row>
    <row r="193" spans="1:9" ht="14.6" x14ac:dyDescent="0.4">
      <c r="A193" s="8" t="s">
        <v>51</v>
      </c>
      <c r="B193" s="8" t="s">
        <v>1044</v>
      </c>
      <c r="C193" s="8" t="s">
        <v>46</v>
      </c>
      <c r="D193" s="8" t="s">
        <v>1045</v>
      </c>
      <c r="E193" s="8" t="s">
        <v>52</v>
      </c>
      <c r="F193" s="8" t="s">
        <v>1584</v>
      </c>
      <c r="G193" s="8" t="s">
        <v>1768</v>
      </c>
      <c r="H193" s="8" t="s">
        <v>1874</v>
      </c>
      <c r="I193" s="21"/>
    </row>
    <row r="194" spans="1:9" ht="14.6" x14ac:dyDescent="0.4">
      <c r="A194" s="8" t="s">
        <v>102</v>
      </c>
      <c r="B194" s="8" t="s">
        <v>155</v>
      </c>
      <c r="C194" s="8" t="s">
        <v>103</v>
      </c>
      <c r="D194" s="8" t="s">
        <v>156</v>
      </c>
      <c r="E194" s="8" t="s">
        <v>52</v>
      </c>
      <c r="F194" s="8" t="s">
        <v>1584</v>
      </c>
      <c r="G194" s="8" t="s">
        <v>1768</v>
      </c>
      <c r="H194" s="8" t="s">
        <v>1874</v>
      </c>
      <c r="I194" s="21"/>
    </row>
    <row r="195" spans="1:9" ht="14.6" x14ac:dyDescent="0.4">
      <c r="A195" s="8" t="s">
        <v>102</v>
      </c>
      <c r="B195" s="8" t="s">
        <v>168</v>
      </c>
      <c r="C195" s="8" t="s">
        <v>103</v>
      </c>
      <c r="D195" s="8" t="s">
        <v>169</v>
      </c>
      <c r="E195" s="8" t="s">
        <v>52</v>
      </c>
      <c r="F195" s="8" t="s">
        <v>1584</v>
      </c>
      <c r="G195" s="8" t="s">
        <v>1768</v>
      </c>
      <c r="H195" s="8" t="s">
        <v>1874</v>
      </c>
      <c r="I195" s="21"/>
    </row>
    <row r="196" spans="1:9" ht="14.6" x14ac:dyDescent="0.4">
      <c r="A196" s="8" t="s">
        <v>102</v>
      </c>
      <c r="B196" s="8" t="s">
        <v>1370</v>
      </c>
      <c r="C196" s="8" t="s">
        <v>103</v>
      </c>
      <c r="D196" s="8" t="s">
        <v>1359</v>
      </c>
      <c r="E196" s="8" t="s">
        <v>52</v>
      </c>
      <c r="F196" s="8" t="s">
        <v>1584</v>
      </c>
      <c r="G196" s="8" t="s">
        <v>1768</v>
      </c>
      <c r="H196" s="8" t="s">
        <v>1874</v>
      </c>
      <c r="I196" s="21"/>
    </row>
    <row r="197" spans="1:9" ht="14.6" x14ac:dyDescent="0.4">
      <c r="A197" s="8" t="s">
        <v>102</v>
      </c>
      <c r="B197" s="8" t="s">
        <v>1380</v>
      </c>
      <c r="C197" s="8" t="s">
        <v>103</v>
      </c>
      <c r="D197" s="8" t="s">
        <v>1353</v>
      </c>
      <c r="E197" s="8" t="s">
        <v>52</v>
      </c>
      <c r="F197" s="8" t="s">
        <v>1584</v>
      </c>
      <c r="G197" s="8" t="s">
        <v>1768</v>
      </c>
      <c r="H197" s="8" t="s">
        <v>1874</v>
      </c>
      <c r="I197" s="21"/>
    </row>
    <row r="198" spans="1:9" ht="14.6" x14ac:dyDescent="0.4">
      <c r="A198" s="8" t="s">
        <v>102</v>
      </c>
      <c r="B198" s="8" t="s">
        <v>1399</v>
      </c>
      <c r="C198" s="8" t="s">
        <v>103</v>
      </c>
      <c r="D198" s="8" t="s">
        <v>1351</v>
      </c>
      <c r="E198" s="8" t="s">
        <v>52</v>
      </c>
      <c r="F198" s="8" t="s">
        <v>1584</v>
      </c>
      <c r="G198" s="8" t="s">
        <v>1768</v>
      </c>
      <c r="H198" s="8" t="s">
        <v>1874</v>
      </c>
      <c r="I198" s="21"/>
    </row>
    <row r="199" spans="1:9" ht="14.6" x14ac:dyDescent="0.4">
      <c r="A199" s="8" t="s">
        <v>102</v>
      </c>
      <c r="B199" s="8" t="s">
        <v>1044</v>
      </c>
      <c r="C199" s="8" t="s">
        <v>103</v>
      </c>
      <c r="D199" s="8" t="s">
        <v>1045</v>
      </c>
      <c r="E199" s="8" t="s">
        <v>52</v>
      </c>
      <c r="F199" s="8" t="s">
        <v>1584</v>
      </c>
      <c r="G199" s="8" t="s">
        <v>1768</v>
      </c>
      <c r="H199" s="8" t="s">
        <v>1874</v>
      </c>
      <c r="I199" s="21"/>
    </row>
    <row r="200" spans="1:9" ht="14.6" x14ac:dyDescent="0.4">
      <c r="A200" s="8" t="s">
        <v>155</v>
      </c>
      <c r="B200" s="8" t="s">
        <v>168</v>
      </c>
      <c r="C200" s="8" t="s">
        <v>156</v>
      </c>
      <c r="D200" s="8" t="s">
        <v>169</v>
      </c>
      <c r="E200" s="8" t="s">
        <v>52</v>
      </c>
      <c r="F200" s="8" t="s">
        <v>1584</v>
      </c>
      <c r="G200" s="8" t="s">
        <v>1768</v>
      </c>
      <c r="H200" s="8" t="s">
        <v>1874</v>
      </c>
      <c r="I200" s="21"/>
    </row>
    <row r="201" spans="1:9" ht="14.6" x14ac:dyDescent="0.4">
      <c r="A201" s="8" t="s">
        <v>155</v>
      </c>
      <c r="B201" s="8" t="s">
        <v>1370</v>
      </c>
      <c r="C201" s="8" t="s">
        <v>156</v>
      </c>
      <c r="D201" s="8" t="s">
        <v>1359</v>
      </c>
      <c r="E201" s="8" t="s">
        <v>52</v>
      </c>
      <c r="F201" s="8" t="s">
        <v>1584</v>
      </c>
      <c r="G201" s="8" t="s">
        <v>1768</v>
      </c>
      <c r="H201" s="8" t="s">
        <v>1874</v>
      </c>
      <c r="I201" s="21"/>
    </row>
    <row r="202" spans="1:9" ht="14.6" x14ac:dyDescent="0.4">
      <c r="A202" s="8" t="s">
        <v>155</v>
      </c>
      <c r="B202" s="8" t="s">
        <v>1380</v>
      </c>
      <c r="C202" s="8" t="s">
        <v>156</v>
      </c>
      <c r="D202" s="8" t="s">
        <v>1353</v>
      </c>
      <c r="E202" s="8" t="s">
        <v>52</v>
      </c>
      <c r="F202" s="8" t="s">
        <v>1584</v>
      </c>
      <c r="G202" s="8" t="s">
        <v>1768</v>
      </c>
      <c r="H202" s="8" t="s">
        <v>1874</v>
      </c>
      <c r="I202" s="21"/>
    </row>
    <row r="203" spans="1:9" ht="14.6" x14ac:dyDescent="0.4">
      <c r="A203" s="8" t="s">
        <v>155</v>
      </c>
      <c r="B203" s="8" t="s">
        <v>1399</v>
      </c>
      <c r="C203" s="8" t="s">
        <v>156</v>
      </c>
      <c r="D203" s="8" t="s">
        <v>1351</v>
      </c>
      <c r="E203" s="8" t="s">
        <v>52</v>
      </c>
      <c r="F203" s="8" t="s">
        <v>1584</v>
      </c>
      <c r="G203" s="8" t="s">
        <v>1768</v>
      </c>
      <c r="H203" s="8" t="s">
        <v>1874</v>
      </c>
      <c r="I203" s="21"/>
    </row>
    <row r="204" spans="1:9" ht="14.6" x14ac:dyDescent="0.4">
      <c r="A204" s="8" t="s">
        <v>155</v>
      </c>
      <c r="B204" s="8" t="s">
        <v>1044</v>
      </c>
      <c r="C204" s="8" t="s">
        <v>156</v>
      </c>
      <c r="D204" s="8" t="s">
        <v>1045</v>
      </c>
      <c r="E204" s="8" t="s">
        <v>52</v>
      </c>
      <c r="F204" s="8" t="s">
        <v>1584</v>
      </c>
      <c r="G204" s="8" t="s">
        <v>1768</v>
      </c>
      <c r="H204" s="8" t="s">
        <v>1874</v>
      </c>
      <c r="I204" s="21"/>
    </row>
    <row r="205" spans="1:9" ht="14.6" x14ac:dyDescent="0.4">
      <c r="A205" s="8" t="s">
        <v>168</v>
      </c>
      <c r="B205" s="8" t="s">
        <v>1370</v>
      </c>
      <c r="C205" s="8" t="s">
        <v>169</v>
      </c>
      <c r="D205" s="8" t="s">
        <v>1359</v>
      </c>
      <c r="E205" s="8" t="s">
        <v>52</v>
      </c>
      <c r="F205" s="8" t="s">
        <v>1584</v>
      </c>
      <c r="G205" s="8" t="s">
        <v>1768</v>
      </c>
      <c r="H205" s="8" t="s">
        <v>1874</v>
      </c>
      <c r="I205" s="21"/>
    </row>
    <row r="206" spans="1:9" ht="14.6" x14ac:dyDescent="0.4">
      <c r="A206" s="8" t="s">
        <v>168</v>
      </c>
      <c r="B206" s="8" t="s">
        <v>1380</v>
      </c>
      <c r="C206" s="8" t="s">
        <v>169</v>
      </c>
      <c r="D206" s="8" t="s">
        <v>1353</v>
      </c>
      <c r="E206" s="8" t="s">
        <v>52</v>
      </c>
      <c r="F206" s="8" t="s">
        <v>1584</v>
      </c>
      <c r="G206" s="8" t="s">
        <v>1768</v>
      </c>
      <c r="H206" s="8" t="s">
        <v>1874</v>
      </c>
      <c r="I206" s="22"/>
    </row>
    <row r="207" spans="1:9" ht="14.6" x14ac:dyDescent="0.4">
      <c r="A207" s="8" t="s">
        <v>168</v>
      </c>
      <c r="B207" s="8" t="s">
        <v>1399</v>
      </c>
      <c r="C207" s="8" t="s">
        <v>169</v>
      </c>
      <c r="D207" s="8" t="s">
        <v>1351</v>
      </c>
      <c r="E207" s="8" t="s">
        <v>52</v>
      </c>
      <c r="F207" s="8" t="s">
        <v>1584</v>
      </c>
      <c r="G207" s="8" t="s">
        <v>1768</v>
      </c>
      <c r="H207" s="8" t="s">
        <v>1874</v>
      </c>
      <c r="I207" s="22"/>
    </row>
    <row r="208" spans="1:9" ht="14.6" x14ac:dyDescent="0.4">
      <c r="A208" s="8" t="s">
        <v>168</v>
      </c>
      <c r="B208" s="8" t="s">
        <v>1044</v>
      </c>
      <c r="C208" s="8" t="s">
        <v>169</v>
      </c>
      <c r="D208" s="8" t="s">
        <v>1045</v>
      </c>
      <c r="E208" s="8" t="s">
        <v>52</v>
      </c>
      <c r="F208" s="8" t="s">
        <v>1584</v>
      </c>
      <c r="G208" s="8" t="s">
        <v>1768</v>
      </c>
      <c r="H208" s="8" t="s">
        <v>1874</v>
      </c>
      <c r="I208" s="22"/>
    </row>
    <row r="209" spans="1:9" ht="14.6" x14ac:dyDescent="0.4">
      <c r="A209" s="8" t="s">
        <v>1370</v>
      </c>
      <c r="B209" s="8" t="s">
        <v>1044</v>
      </c>
      <c r="C209" s="8" t="s">
        <v>1359</v>
      </c>
      <c r="D209" s="8" t="s">
        <v>1045</v>
      </c>
      <c r="E209" s="8" t="s">
        <v>52</v>
      </c>
      <c r="F209" s="8" t="s">
        <v>1584</v>
      </c>
      <c r="G209" s="8" t="s">
        <v>1768</v>
      </c>
      <c r="H209" s="8" t="s">
        <v>1874</v>
      </c>
      <c r="I209" s="22"/>
    </row>
    <row r="210" spans="1:9" ht="14.6" x14ac:dyDescent="0.4">
      <c r="A210" s="8" t="s">
        <v>1380</v>
      </c>
      <c r="B210" s="8" t="s">
        <v>1044</v>
      </c>
      <c r="C210" s="8" t="s">
        <v>1353</v>
      </c>
      <c r="D210" s="8" t="s">
        <v>1045</v>
      </c>
      <c r="E210" s="8" t="s">
        <v>52</v>
      </c>
      <c r="F210" s="8" t="s">
        <v>1584</v>
      </c>
      <c r="G210" s="8" t="s">
        <v>1768</v>
      </c>
      <c r="H210" s="8" t="s">
        <v>1874</v>
      </c>
      <c r="I210" s="22"/>
    </row>
    <row r="211" spans="1:9" ht="14.6" x14ac:dyDescent="0.4">
      <c r="A211" s="8" t="s">
        <v>1399</v>
      </c>
      <c r="B211" s="8" t="s">
        <v>1044</v>
      </c>
      <c r="C211" s="8" t="s">
        <v>1351</v>
      </c>
      <c r="D211" s="8" t="s">
        <v>1045</v>
      </c>
      <c r="E211" s="8" t="s">
        <v>52</v>
      </c>
      <c r="F211" s="8" t="s">
        <v>1584</v>
      </c>
      <c r="G211" s="8" t="s">
        <v>1768</v>
      </c>
      <c r="H211" s="8" t="s">
        <v>1874</v>
      </c>
      <c r="I211" s="22"/>
    </row>
    <row r="212" spans="1:9" ht="14.6" x14ac:dyDescent="0.4">
      <c r="A212" s="8" t="s">
        <v>1026</v>
      </c>
      <c r="B212" s="8" t="s">
        <v>1043</v>
      </c>
      <c r="C212" s="8" t="s">
        <v>1027</v>
      </c>
      <c r="D212" s="8" t="s">
        <v>1031</v>
      </c>
      <c r="E212" s="8" t="s">
        <v>6</v>
      </c>
      <c r="F212" s="8" t="s">
        <v>1580</v>
      </c>
      <c r="G212" s="8" t="s">
        <v>1585</v>
      </c>
      <c r="H212" s="8" t="s">
        <v>1893</v>
      </c>
      <c r="I212" s="8" t="s">
        <v>1894</v>
      </c>
    </row>
    <row r="213" spans="1:9" ht="14.6" x14ac:dyDescent="0.4">
      <c r="A213" s="8" t="s">
        <v>1026</v>
      </c>
      <c r="B213" s="8" t="s">
        <v>1053</v>
      </c>
      <c r="C213" s="8" t="s">
        <v>1027</v>
      </c>
      <c r="D213" s="8" t="s">
        <v>1054</v>
      </c>
      <c r="E213" s="8" t="s">
        <v>6</v>
      </c>
      <c r="F213" s="8" t="s">
        <v>1580</v>
      </c>
      <c r="G213" s="8" t="s">
        <v>1585</v>
      </c>
      <c r="H213" s="8" t="s">
        <v>1895</v>
      </c>
      <c r="I213" s="8" t="s">
        <v>1896</v>
      </c>
    </row>
    <row r="214" spans="1:9" ht="14.6" x14ac:dyDescent="0.4">
      <c r="A214" s="8" t="s">
        <v>1026</v>
      </c>
      <c r="B214" s="8" t="s">
        <v>1122</v>
      </c>
      <c r="C214" s="8" t="s">
        <v>1027</v>
      </c>
      <c r="D214" s="8" t="s">
        <v>1054</v>
      </c>
      <c r="E214" s="8" t="s">
        <v>6</v>
      </c>
      <c r="F214" s="8" t="s">
        <v>1580</v>
      </c>
      <c r="G214" s="8" t="s">
        <v>1585</v>
      </c>
      <c r="H214" s="8" t="s">
        <v>1897</v>
      </c>
      <c r="I214" s="8" t="s">
        <v>1898</v>
      </c>
    </row>
    <row r="215" spans="1:9" ht="14.6" x14ac:dyDescent="0.4">
      <c r="A215" s="8" t="s">
        <v>1043</v>
      </c>
      <c r="B215" s="8" t="s">
        <v>1053</v>
      </c>
      <c r="C215" s="8" t="s">
        <v>1031</v>
      </c>
      <c r="D215" s="8" t="s">
        <v>1054</v>
      </c>
      <c r="E215" s="8" t="s">
        <v>6</v>
      </c>
      <c r="F215" s="8" t="s">
        <v>1580</v>
      </c>
      <c r="G215" s="8" t="s">
        <v>1585</v>
      </c>
      <c r="H215" s="8" t="s">
        <v>1899</v>
      </c>
      <c r="I215" s="8" t="s">
        <v>1900</v>
      </c>
    </row>
    <row r="216" spans="1:9" ht="14.6" x14ac:dyDescent="0.4">
      <c r="A216" s="8" t="s">
        <v>1043</v>
      </c>
      <c r="B216" s="8" t="s">
        <v>1122</v>
      </c>
      <c r="C216" s="8" t="s">
        <v>1031</v>
      </c>
      <c r="D216" s="8" t="s">
        <v>1054</v>
      </c>
      <c r="E216" s="8" t="s">
        <v>6</v>
      </c>
      <c r="F216" s="8" t="s">
        <v>1580</v>
      </c>
      <c r="G216" s="8" t="s">
        <v>1585</v>
      </c>
      <c r="H216" s="8" t="s">
        <v>1901</v>
      </c>
      <c r="I216" s="8" t="s">
        <v>1902</v>
      </c>
    </row>
    <row r="217" spans="1:9" ht="14.6" x14ac:dyDescent="0.4">
      <c r="A217" s="8" t="s">
        <v>4</v>
      </c>
      <c r="B217" s="8" t="s">
        <v>99</v>
      </c>
      <c r="C217" s="8" t="s">
        <v>5</v>
      </c>
      <c r="D217" s="8" t="s">
        <v>98</v>
      </c>
      <c r="E217" s="8" t="s">
        <v>6</v>
      </c>
      <c r="F217" s="8" t="s">
        <v>1584</v>
      </c>
      <c r="G217" s="8" t="s">
        <v>1768</v>
      </c>
      <c r="H217" s="8" t="s">
        <v>1874</v>
      </c>
      <c r="I217" s="22"/>
    </row>
    <row r="218" spans="1:9" ht="14.6" x14ac:dyDescent="0.4">
      <c r="A218" s="8" t="s">
        <v>4</v>
      </c>
      <c r="B218" s="8" t="s">
        <v>130</v>
      </c>
      <c r="C218" s="8" t="s">
        <v>5</v>
      </c>
      <c r="D218" s="8" t="s">
        <v>131</v>
      </c>
      <c r="E218" s="8" t="s">
        <v>6</v>
      </c>
      <c r="F218" s="8" t="s">
        <v>1584</v>
      </c>
      <c r="G218" s="8" t="s">
        <v>1768</v>
      </c>
      <c r="H218" s="8" t="s">
        <v>1874</v>
      </c>
      <c r="I218" s="22"/>
    </row>
    <row r="219" spans="1:9" ht="14.6" x14ac:dyDescent="0.4">
      <c r="A219" s="8" t="s">
        <v>4</v>
      </c>
      <c r="B219" s="8" t="s">
        <v>140</v>
      </c>
      <c r="C219" s="8" t="s">
        <v>5</v>
      </c>
      <c r="D219" s="8" t="s">
        <v>141</v>
      </c>
      <c r="E219" s="8" t="s">
        <v>6</v>
      </c>
      <c r="F219" s="8" t="s">
        <v>1584</v>
      </c>
      <c r="G219" s="8" t="s">
        <v>1768</v>
      </c>
      <c r="H219" s="8" t="s">
        <v>1874</v>
      </c>
      <c r="I219" s="22"/>
    </row>
    <row r="220" spans="1:9" ht="14.6" x14ac:dyDescent="0.4">
      <c r="A220" s="8" t="s">
        <v>4</v>
      </c>
      <c r="B220" s="8" t="s">
        <v>1026</v>
      </c>
      <c r="C220" s="8" t="s">
        <v>5</v>
      </c>
      <c r="D220" s="8" t="s">
        <v>1027</v>
      </c>
      <c r="E220" s="8" t="s">
        <v>6</v>
      </c>
      <c r="F220" s="8" t="s">
        <v>1584</v>
      </c>
      <c r="G220" s="8" t="s">
        <v>1768</v>
      </c>
      <c r="H220" s="8" t="s">
        <v>1874</v>
      </c>
      <c r="I220" s="22"/>
    </row>
    <row r="221" spans="1:9" ht="14.6" x14ac:dyDescent="0.4">
      <c r="A221" s="8" t="s">
        <v>4</v>
      </c>
      <c r="B221" s="8" t="s">
        <v>1043</v>
      </c>
      <c r="C221" s="8" t="s">
        <v>5</v>
      </c>
      <c r="D221" s="8" t="s">
        <v>1031</v>
      </c>
      <c r="E221" s="8" t="s">
        <v>6</v>
      </c>
      <c r="F221" s="8" t="s">
        <v>1584</v>
      </c>
      <c r="G221" s="8" t="s">
        <v>1768</v>
      </c>
      <c r="H221" s="8" t="s">
        <v>1874</v>
      </c>
      <c r="I221" s="22"/>
    </row>
    <row r="222" spans="1:9" ht="14.6" x14ac:dyDescent="0.4">
      <c r="A222" s="8" t="s">
        <v>4</v>
      </c>
      <c r="B222" s="8" t="s">
        <v>1053</v>
      </c>
      <c r="C222" s="8" t="s">
        <v>5</v>
      </c>
      <c r="D222" s="8" t="s">
        <v>1054</v>
      </c>
      <c r="E222" s="8" t="s">
        <v>6</v>
      </c>
      <c r="F222" s="8" t="s">
        <v>1584</v>
      </c>
      <c r="G222" s="8" t="s">
        <v>1768</v>
      </c>
      <c r="H222" s="8" t="s">
        <v>1874</v>
      </c>
      <c r="I222" s="22"/>
    </row>
    <row r="223" spans="1:9" ht="14.6" x14ac:dyDescent="0.4">
      <c r="A223" s="8" t="s">
        <v>4</v>
      </c>
      <c r="B223" s="8" t="s">
        <v>1122</v>
      </c>
      <c r="C223" s="8" t="s">
        <v>5</v>
      </c>
      <c r="D223" s="8" t="s">
        <v>1054</v>
      </c>
      <c r="E223" s="8" t="s">
        <v>6</v>
      </c>
      <c r="F223" s="8" t="s">
        <v>1584</v>
      </c>
      <c r="G223" s="8" t="s">
        <v>1768</v>
      </c>
      <c r="H223" s="8" t="s">
        <v>1874</v>
      </c>
      <c r="I223" s="22"/>
    </row>
    <row r="224" spans="1:9" ht="14.6" x14ac:dyDescent="0.4">
      <c r="A224" s="8" t="s">
        <v>99</v>
      </c>
      <c r="B224" s="8" t="s">
        <v>130</v>
      </c>
      <c r="C224" s="8" t="s">
        <v>98</v>
      </c>
      <c r="D224" s="8" t="s">
        <v>131</v>
      </c>
      <c r="E224" s="8" t="s">
        <v>6</v>
      </c>
      <c r="F224" s="8" t="s">
        <v>1584</v>
      </c>
      <c r="G224" s="8" t="s">
        <v>1768</v>
      </c>
      <c r="H224" s="8" t="s">
        <v>1874</v>
      </c>
      <c r="I224" s="22"/>
    </row>
    <row r="225" spans="1:9" ht="14.6" x14ac:dyDescent="0.4">
      <c r="A225" s="8" t="s">
        <v>99</v>
      </c>
      <c r="B225" s="8" t="s">
        <v>140</v>
      </c>
      <c r="C225" s="8" t="s">
        <v>98</v>
      </c>
      <c r="D225" s="8" t="s">
        <v>141</v>
      </c>
      <c r="E225" s="8" t="s">
        <v>6</v>
      </c>
      <c r="F225" s="8" t="s">
        <v>1584</v>
      </c>
      <c r="G225" s="8" t="s">
        <v>1768</v>
      </c>
      <c r="H225" s="8" t="s">
        <v>1874</v>
      </c>
      <c r="I225" s="22"/>
    </row>
    <row r="226" spans="1:9" ht="14.6" x14ac:dyDescent="0.4">
      <c r="A226" s="8" t="s">
        <v>99</v>
      </c>
      <c r="B226" s="8" t="s">
        <v>1026</v>
      </c>
      <c r="C226" s="8" t="s">
        <v>98</v>
      </c>
      <c r="D226" s="8" t="s">
        <v>1027</v>
      </c>
      <c r="E226" s="8" t="s">
        <v>6</v>
      </c>
      <c r="F226" s="8" t="s">
        <v>1584</v>
      </c>
      <c r="G226" s="8" t="s">
        <v>1768</v>
      </c>
      <c r="H226" s="8" t="s">
        <v>1874</v>
      </c>
      <c r="I226" s="22"/>
    </row>
    <row r="227" spans="1:9" ht="14.6" x14ac:dyDescent="0.4">
      <c r="A227" s="8" t="s">
        <v>99</v>
      </c>
      <c r="B227" s="8" t="s">
        <v>1043</v>
      </c>
      <c r="C227" s="8" t="s">
        <v>98</v>
      </c>
      <c r="D227" s="8" t="s">
        <v>1031</v>
      </c>
      <c r="E227" s="8" t="s">
        <v>6</v>
      </c>
      <c r="F227" s="8" t="s">
        <v>1584</v>
      </c>
      <c r="G227" s="8" t="s">
        <v>1768</v>
      </c>
      <c r="H227" s="8" t="s">
        <v>1874</v>
      </c>
      <c r="I227" s="22"/>
    </row>
    <row r="228" spans="1:9" ht="14.6" x14ac:dyDescent="0.4">
      <c r="A228" s="8" t="s">
        <v>99</v>
      </c>
      <c r="B228" s="8" t="s">
        <v>1053</v>
      </c>
      <c r="C228" s="8" t="s">
        <v>98</v>
      </c>
      <c r="D228" s="8" t="s">
        <v>1054</v>
      </c>
      <c r="E228" s="8" t="s">
        <v>6</v>
      </c>
      <c r="F228" s="8" t="s">
        <v>1584</v>
      </c>
      <c r="G228" s="8" t="s">
        <v>1768</v>
      </c>
      <c r="H228" s="8" t="s">
        <v>1874</v>
      </c>
      <c r="I228" s="22"/>
    </row>
    <row r="229" spans="1:9" ht="14.6" x14ac:dyDescent="0.4">
      <c r="A229" s="8" t="s">
        <v>99</v>
      </c>
      <c r="B229" s="8" t="s">
        <v>1122</v>
      </c>
      <c r="C229" s="8" t="s">
        <v>98</v>
      </c>
      <c r="D229" s="8" t="s">
        <v>1054</v>
      </c>
      <c r="E229" s="8" t="s">
        <v>6</v>
      </c>
      <c r="F229" s="8" t="s">
        <v>1584</v>
      </c>
      <c r="G229" s="8" t="s">
        <v>1768</v>
      </c>
      <c r="H229" s="8" t="s">
        <v>1874</v>
      </c>
      <c r="I229" s="22"/>
    </row>
    <row r="230" spans="1:9" ht="14.6" x14ac:dyDescent="0.4">
      <c r="A230" s="8" t="s">
        <v>130</v>
      </c>
      <c r="B230" s="8" t="s">
        <v>140</v>
      </c>
      <c r="C230" s="8" t="s">
        <v>131</v>
      </c>
      <c r="D230" s="8" t="s">
        <v>141</v>
      </c>
      <c r="E230" s="8" t="s">
        <v>6</v>
      </c>
      <c r="F230" s="8" t="s">
        <v>1584</v>
      </c>
      <c r="G230" s="8" t="s">
        <v>1768</v>
      </c>
      <c r="H230" s="8" t="s">
        <v>1874</v>
      </c>
      <c r="I230" s="22"/>
    </row>
    <row r="231" spans="1:9" ht="14.6" x14ac:dyDescent="0.4">
      <c r="A231" s="8" t="s">
        <v>130</v>
      </c>
      <c r="B231" s="8" t="s">
        <v>1026</v>
      </c>
      <c r="C231" s="8" t="s">
        <v>131</v>
      </c>
      <c r="D231" s="8" t="s">
        <v>1027</v>
      </c>
      <c r="E231" s="8" t="s">
        <v>6</v>
      </c>
      <c r="F231" s="8" t="s">
        <v>1584</v>
      </c>
      <c r="G231" s="8" t="s">
        <v>1768</v>
      </c>
      <c r="H231" s="8" t="s">
        <v>1874</v>
      </c>
      <c r="I231" s="22"/>
    </row>
    <row r="232" spans="1:9" ht="14.6" x14ac:dyDescent="0.4">
      <c r="A232" s="8" t="s">
        <v>130</v>
      </c>
      <c r="B232" s="8" t="s">
        <v>1043</v>
      </c>
      <c r="C232" s="8" t="s">
        <v>131</v>
      </c>
      <c r="D232" s="8" t="s">
        <v>1031</v>
      </c>
      <c r="E232" s="8" t="s">
        <v>6</v>
      </c>
      <c r="F232" s="8" t="s">
        <v>1584</v>
      </c>
      <c r="G232" s="8" t="s">
        <v>1768</v>
      </c>
      <c r="H232" s="8" t="s">
        <v>1874</v>
      </c>
      <c r="I232" s="22"/>
    </row>
    <row r="233" spans="1:9" ht="14.6" x14ac:dyDescent="0.4">
      <c r="A233" s="8" t="s">
        <v>130</v>
      </c>
      <c r="B233" s="8" t="s">
        <v>1053</v>
      </c>
      <c r="C233" s="8" t="s">
        <v>131</v>
      </c>
      <c r="D233" s="8" t="s">
        <v>1054</v>
      </c>
      <c r="E233" s="8" t="s">
        <v>6</v>
      </c>
      <c r="F233" s="8" t="s">
        <v>1584</v>
      </c>
      <c r="G233" s="8" t="s">
        <v>1768</v>
      </c>
      <c r="H233" s="8" t="s">
        <v>1874</v>
      </c>
      <c r="I233" s="22"/>
    </row>
    <row r="234" spans="1:9" ht="14.6" x14ac:dyDescent="0.4">
      <c r="A234" s="8" t="s">
        <v>130</v>
      </c>
      <c r="B234" s="8" t="s">
        <v>1122</v>
      </c>
      <c r="C234" s="8" t="s">
        <v>131</v>
      </c>
      <c r="D234" s="8" t="s">
        <v>1054</v>
      </c>
      <c r="E234" s="8" t="s">
        <v>6</v>
      </c>
      <c r="F234" s="8" t="s">
        <v>1584</v>
      </c>
      <c r="G234" s="8" t="s">
        <v>1768</v>
      </c>
      <c r="H234" s="8" t="s">
        <v>1874</v>
      </c>
      <c r="I234" s="22"/>
    </row>
    <row r="235" spans="1:9" ht="14.6" x14ac:dyDescent="0.4">
      <c r="A235" s="8" t="s">
        <v>140</v>
      </c>
      <c r="B235" s="8" t="s">
        <v>1026</v>
      </c>
      <c r="C235" s="8" t="s">
        <v>141</v>
      </c>
      <c r="D235" s="8" t="s">
        <v>1027</v>
      </c>
      <c r="E235" s="8" t="s">
        <v>6</v>
      </c>
      <c r="F235" s="8" t="s">
        <v>1584</v>
      </c>
      <c r="G235" s="8" t="s">
        <v>1768</v>
      </c>
      <c r="H235" s="8" t="s">
        <v>1874</v>
      </c>
      <c r="I235" s="22"/>
    </row>
    <row r="236" spans="1:9" ht="14.6" x14ac:dyDescent="0.4">
      <c r="A236" s="8" t="s">
        <v>140</v>
      </c>
      <c r="B236" s="8" t="s">
        <v>1043</v>
      </c>
      <c r="C236" s="8" t="s">
        <v>141</v>
      </c>
      <c r="D236" s="8" t="s">
        <v>1031</v>
      </c>
      <c r="E236" s="8" t="s">
        <v>6</v>
      </c>
      <c r="F236" s="8" t="s">
        <v>1584</v>
      </c>
      <c r="G236" s="8" t="s">
        <v>1768</v>
      </c>
      <c r="H236" s="8" t="s">
        <v>1874</v>
      </c>
      <c r="I236" s="22"/>
    </row>
    <row r="237" spans="1:9" ht="14.6" x14ac:dyDescent="0.4">
      <c r="A237" s="8" t="s">
        <v>140</v>
      </c>
      <c r="B237" s="8" t="s">
        <v>1053</v>
      </c>
      <c r="C237" s="8" t="s">
        <v>141</v>
      </c>
      <c r="D237" s="8" t="s">
        <v>1054</v>
      </c>
      <c r="E237" s="8" t="s">
        <v>6</v>
      </c>
      <c r="F237" s="8" t="s">
        <v>1584</v>
      </c>
      <c r="G237" s="8" t="s">
        <v>1768</v>
      </c>
      <c r="H237" s="8" t="s">
        <v>1874</v>
      </c>
      <c r="I237" s="22"/>
    </row>
    <row r="238" spans="1:9" ht="14.6" x14ac:dyDescent="0.4">
      <c r="A238" s="8" t="s">
        <v>140</v>
      </c>
      <c r="B238" s="8" t="s">
        <v>1122</v>
      </c>
      <c r="C238" s="8" t="s">
        <v>141</v>
      </c>
      <c r="D238" s="8" t="s">
        <v>1054</v>
      </c>
      <c r="E238" s="8" t="s">
        <v>6</v>
      </c>
      <c r="F238" s="8" t="s">
        <v>1584</v>
      </c>
      <c r="G238" s="8" t="s">
        <v>1768</v>
      </c>
      <c r="H238" s="8" t="s">
        <v>1874</v>
      </c>
      <c r="I238" s="22"/>
    </row>
    <row r="239" spans="1:9" ht="14.6" x14ac:dyDescent="0.4">
      <c r="A239" s="8" t="s">
        <v>1053</v>
      </c>
      <c r="B239" s="8" t="s">
        <v>1122</v>
      </c>
      <c r="C239" s="8" t="s">
        <v>1054</v>
      </c>
      <c r="D239" s="8" t="s">
        <v>1054</v>
      </c>
      <c r="E239" s="8" t="s">
        <v>6</v>
      </c>
      <c r="F239" s="8" t="s">
        <v>1584</v>
      </c>
      <c r="G239" s="8" t="s">
        <v>1768</v>
      </c>
      <c r="H239" s="8" t="s">
        <v>1874</v>
      </c>
      <c r="I239" s="22"/>
    </row>
    <row r="240" spans="1:9" ht="14.6" x14ac:dyDescent="0.4">
      <c r="A240" s="8" t="s">
        <v>1028</v>
      </c>
      <c r="B240" s="8" t="s">
        <v>1036</v>
      </c>
      <c r="C240" s="8" t="s">
        <v>1029</v>
      </c>
      <c r="D240" s="8" t="s">
        <v>1035</v>
      </c>
      <c r="E240" s="8" t="s">
        <v>55</v>
      </c>
      <c r="F240" s="8" t="s">
        <v>1580</v>
      </c>
      <c r="G240" s="8" t="s">
        <v>1768</v>
      </c>
      <c r="H240" s="8" t="s">
        <v>1903</v>
      </c>
      <c r="I240" s="8" t="s">
        <v>1904</v>
      </c>
    </row>
    <row r="241" spans="1:9" ht="14.6" x14ac:dyDescent="0.4">
      <c r="A241" s="8" t="s">
        <v>1028</v>
      </c>
      <c r="B241" s="8" t="s">
        <v>1093</v>
      </c>
      <c r="C241" s="8" t="s">
        <v>1029</v>
      </c>
      <c r="D241" s="8" t="s">
        <v>1051</v>
      </c>
      <c r="E241" s="8" t="s">
        <v>55</v>
      </c>
      <c r="F241" s="8" t="s">
        <v>1580</v>
      </c>
      <c r="G241" s="8" t="s">
        <v>1768</v>
      </c>
      <c r="H241" s="8" t="s">
        <v>1905</v>
      </c>
      <c r="I241" s="8" t="s">
        <v>1906</v>
      </c>
    </row>
    <row r="242" spans="1:9" ht="14.6" x14ac:dyDescent="0.4">
      <c r="A242" s="8" t="s">
        <v>1036</v>
      </c>
      <c r="B242" s="8" t="s">
        <v>1093</v>
      </c>
      <c r="C242" s="8" t="s">
        <v>1035</v>
      </c>
      <c r="D242" s="8" t="s">
        <v>1051</v>
      </c>
      <c r="E242" s="8" t="s">
        <v>55</v>
      </c>
      <c r="F242" s="8" t="s">
        <v>1580</v>
      </c>
      <c r="G242" s="8" t="s">
        <v>1768</v>
      </c>
      <c r="H242" s="8" t="s">
        <v>1907</v>
      </c>
      <c r="I242" s="8" t="s">
        <v>1908</v>
      </c>
    </row>
    <row r="243" spans="1:9" ht="14.6" x14ac:dyDescent="0.4">
      <c r="A243" s="8" t="s">
        <v>53</v>
      </c>
      <c r="B243" s="8" t="s">
        <v>77</v>
      </c>
      <c r="C243" s="8" t="s">
        <v>54</v>
      </c>
      <c r="D243" s="8" t="s">
        <v>78</v>
      </c>
      <c r="E243" s="8" t="s">
        <v>55</v>
      </c>
      <c r="F243" s="8" t="s">
        <v>1584</v>
      </c>
      <c r="G243" s="8" t="s">
        <v>1768</v>
      </c>
      <c r="H243" s="8" t="s">
        <v>1874</v>
      </c>
      <c r="I243" s="22"/>
    </row>
    <row r="244" spans="1:9" ht="14.6" x14ac:dyDescent="0.4">
      <c r="A244" s="8" t="s">
        <v>53</v>
      </c>
      <c r="B244" s="8" t="s">
        <v>79</v>
      </c>
      <c r="C244" s="8" t="s">
        <v>54</v>
      </c>
      <c r="D244" s="8" t="s">
        <v>80</v>
      </c>
      <c r="E244" s="8" t="s">
        <v>55</v>
      </c>
      <c r="F244" s="8" t="s">
        <v>1584</v>
      </c>
      <c r="G244" s="8" t="s">
        <v>1768</v>
      </c>
      <c r="H244" s="8" t="s">
        <v>1874</v>
      </c>
      <c r="I244" s="22"/>
    </row>
    <row r="245" spans="1:9" ht="14.6" x14ac:dyDescent="0.4">
      <c r="A245" s="8" t="s">
        <v>53</v>
      </c>
      <c r="B245" s="8" t="s">
        <v>115</v>
      </c>
      <c r="C245" s="8" t="s">
        <v>54</v>
      </c>
      <c r="D245" s="8" t="s">
        <v>116</v>
      </c>
      <c r="E245" s="8" t="s">
        <v>55</v>
      </c>
      <c r="F245" s="8" t="s">
        <v>1584</v>
      </c>
      <c r="G245" s="8" t="s">
        <v>1768</v>
      </c>
      <c r="H245" s="8" t="s">
        <v>1874</v>
      </c>
      <c r="I245" s="22"/>
    </row>
    <row r="246" spans="1:9" ht="14.6" x14ac:dyDescent="0.4">
      <c r="A246" s="8" t="s">
        <v>53</v>
      </c>
      <c r="B246" s="8" t="s">
        <v>1390</v>
      </c>
      <c r="C246" s="8" t="s">
        <v>54</v>
      </c>
      <c r="D246" s="8" t="s">
        <v>1353</v>
      </c>
      <c r="E246" s="8" t="s">
        <v>55</v>
      </c>
      <c r="F246" s="8" t="s">
        <v>1584</v>
      </c>
      <c r="G246" s="8" t="s">
        <v>1768</v>
      </c>
      <c r="H246" s="8" t="s">
        <v>1874</v>
      </c>
      <c r="I246" s="22"/>
    </row>
    <row r="247" spans="1:9" ht="14.6" x14ac:dyDescent="0.4">
      <c r="A247" s="8" t="s">
        <v>53</v>
      </c>
      <c r="B247" s="8" t="s">
        <v>1028</v>
      </c>
      <c r="C247" s="8" t="s">
        <v>54</v>
      </c>
      <c r="D247" s="8" t="s">
        <v>1029</v>
      </c>
      <c r="E247" s="8" t="s">
        <v>55</v>
      </c>
      <c r="F247" s="8" t="s">
        <v>1584</v>
      </c>
      <c r="G247" s="8" t="s">
        <v>1768</v>
      </c>
      <c r="H247" s="8" t="s">
        <v>1874</v>
      </c>
      <c r="I247" s="22"/>
    </row>
    <row r="248" spans="1:9" ht="14.6" x14ac:dyDescent="0.4">
      <c r="A248" s="8" t="s">
        <v>53</v>
      </c>
      <c r="B248" s="8" t="s">
        <v>1036</v>
      </c>
      <c r="C248" s="8" t="s">
        <v>54</v>
      </c>
      <c r="D248" s="8" t="s">
        <v>1035</v>
      </c>
      <c r="E248" s="8" t="s">
        <v>55</v>
      </c>
      <c r="F248" s="8" t="s">
        <v>1584</v>
      </c>
      <c r="G248" s="8" t="s">
        <v>1768</v>
      </c>
      <c r="H248" s="8" t="s">
        <v>1874</v>
      </c>
      <c r="I248" s="22"/>
    </row>
    <row r="249" spans="1:9" ht="14.6" x14ac:dyDescent="0.4">
      <c r="A249" s="8" t="s">
        <v>53</v>
      </c>
      <c r="B249" s="8" t="s">
        <v>1093</v>
      </c>
      <c r="C249" s="8" t="s">
        <v>54</v>
      </c>
      <c r="D249" s="8" t="s">
        <v>1051</v>
      </c>
      <c r="E249" s="8" t="s">
        <v>55</v>
      </c>
      <c r="F249" s="8" t="s">
        <v>1584</v>
      </c>
      <c r="G249" s="8" t="s">
        <v>1768</v>
      </c>
      <c r="H249" s="8" t="s">
        <v>1874</v>
      </c>
      <c r="I249" s="22"/>
    </row>
    <row r="250" spans="1:9" ht="14.6" x14ac:dyDescent="0.4">
      <c r="A250" s="8" t="s">
        <v>77</v>
      </c>
      <c r="B250" s="8" t="s">
        <v>79</v>
      </c>
      <c r="C250" s="8" t="s">
        <v>78</v>
      </c>
      <c r="D250" s="8" t="s">
        <v>80</v>
      </c>
      <c r="E250" s="8" t="s">
        <v>55</v>
      </c>
      <c r="F250" s="8" t="s">
        <v>1584</v>
      </c>
      <c r="G250" s="8" t="s">
        <v>1768</v>
      </c>
      <c r="H250" s="8" t="s">
        <v>1874</v>
      </c>
      <c r="I250" s="22"/>
    </row>
    <row r="251" spans="1:9" ht="14.6" x14ac:dyDescent="0.4">
      <c r="A251" s="8" t="s">
        <v>77</v>
      </c>
      <c r="B251" s="8" t="s">
        <v>115</v>
      </c>
      <c r="C251" s="8" t="s">
        <v>78</v>
      </c>
      <c r="D251" s="8" t="s">
        <v>116</v>
      </c>
      <c r="E251" s="8" t="s">
        <v>55</v>
      </c>
      <c r="F251" s="8" t="s">
        <v>1584</v>
      </c>
      <c r="G251" s="8" t="s">
        <v>1768</v>
      </c>
      <c r="H251" s="8" t="s">
        <v>1874</v>
      </c>
      <c r="I251" s="22"/>
    </row>
    <row r="252" spans="1:9" ht="14.6" x14ac:dyDescent="0.4">
      <c r="A252" s="8" t="s">
        <v>77</v>
      </c>
      <c r="B252" s="8" t="s">
        <v>1390</v>
      </c>
      <c r="C252" s="8" t="s">
        <v>78</v>
      </c>
      <c r="D252" s="8" t="s">
        <v>1353</v>
      </c>
      <c r="E252" s="8" t="s">
        <v>55</v>
      </c>
      <c r="F252" s="8" t="s">
        <v>1584</v>
      </c>
      <c r="G252" s="8" t="s">
        <v>1768</v>
      </c>
      <c r="H252" s="8" t="s">
        <v>1874</v>
      </c>
      <c r="I252" s="22"/>
    </row>
    <row r="253" spans="1:9" ht="14.6" x14ac:dyDescent="0.4">
      <c r="A253" s="8" t="s">
        <v>77</v>
      </c>
      <c r="B253" s="8" t="s">
        <v>1028</v>
      </c>
      <c r="C253" s="8" t="s">
        <v>78</v>
      </c>
      <c r="D253" s="8" t="s">
        <v>1029</v>
      </c>
      <c r="E253" s="8" t="s">
        <v>55</v>
      </c>
      <c r="F253" s="8" t="s">
        <v>1584</v>
      </c>
      <c r="G253" s="8" t="s">
        <v>1768</v>
      </c>
      <c r="H253" s="8" t="s">
        <v>1874</v>
      </c>
      <c r="I253" s="22"/>
    </row>
    <row r="254" spans="1:9" ht="14.6" x14ac:dyDescent="0.4">
      <c r="A254" s="8" t="s">
        <v>77</v>
      </c>
      <c r="B254" s="8" t="s">
        <v>1036</v>
      </c>
      <c r="C254" s="8" t="s">
        <v>78</v>
      </c>
      <c r="D254" s="8" t="s">
        <v>1035</v>
      </c>
      <c r="E254" s="8" t="s">
        <v>55</v>
      </c>
      <c r="F254" s="8" t="s">
        <v>1584</v>
      </c>
      <c r="G254" s="8" t="s">
        <v>1768</v>
      </c>
      <c r="H254" s="8" t="s">
        <v>1874</v>
      </c>
      <c r="I254" s="22"/>
    </row>
    <row r="255" spans="1:9" ht="14.6" x14ac:dyDescent="0.4">
      <c r="A255" s="8" t="s">
        <v>77</v>
      </c>
      <c r="B255" s="8" t="s">
        <v>1093</v>
      </c>
      <c r="C255" s="8" t="s">
        <v>78</v>
      </c>
      <c r="D255" s="8" t="s">
        <v>1051</v>
      </c>
      <c r="E255" s="8" t="s">
        <v>55</v>
      </c>
      <c r="F255" s="8" t="s">
        <v>1584</v>
      </c>
      <c r="G255" s="8" t="s">
        <v>1768</v>
      </c>
      <c r="H255" s="8" t="s">
        <v>1874</v>
      </c>
      <c r="I255" s="22"/>
    </row>
    <row r="256" spans="1:9" ht="14.6" x14ac:dyDescent="0.4">
      <c r="A256" s="8" t="s">
        <v>79</v>
      </c>
      <c r="B256" s="8" t="s">
        <v>115</v>
      </c>
      <c r="C256" s="8" t="s">
        <v>80</v>
      </c>
      <c r="D256" s="8" t="s">
        <v>116</v>
      </c>
      <c r="E256" s="8" t="s">
        <v>55</v>
      </c>
      <c r="F256" s="8" t="s">
        <v>1584</v>
      </c>
      <c r="G256" s="8" t="s">
        <v>1768</v>
      </c>
      <c r="H256" s="8" t="s">
        <v>1874</v>
      </c>
      <c r="I256" s="22"/>
    </row>
    <row r="257" spans="1:9" ht="14.6" x14ac:dyDescent="0.4">
      <c r="A257" s="8" t="s">
        <v>79</v>
      </c>
      <c r="B257" s="8" t="s">
        <v>1390</v>
      </c>
      <c r="C257" s="8" t="s">
        <v>80</v>
      </c>
      <c r="D257" s="8" t="s">
        <v>1353</v>
      </c>
      <c r="E257" s="8" t="s">
        <v>55</v>
      </c>
      <c r="F257" s="8" t="s">
        <v>1584</v>
      </c>
      <c r="G257" s="8" t="s">
        <v>1768</v>
      </c>
      <c r="H257" s="8" t="s">
        <v>1874</v>
      </c>
      <c r="I257" s="22"/>
    </row>
    <row r="258" spans="1:9" ht="14.6" x14ac:dyDescent="0.4">
      <c r="A258" s="8" t="s">
        <v>79</v>
      </c>
      <c r="B258" s="8" t="s">
        <v>1028</v>
      </c>
      <c r="C258" s="8" t="s">
        <v>80</v>
      </c>
      <c r="D258" s="8" t="s">
        <v>1029</v>
      </c>
      <c r="E258" s="8" t="s">
        <v>55</v>
      </c>
      <c r="F258" s="8" t="s">
        <v>1584</v>
      </c>
      <c r="G258" s="8" t="s">
        <v>1768</v>
      </c>
      <c r="H258" s="8" t="s">
        <v>1874</v>
      </c>
      <c r="I258" s="22"/>
    </row>
    <row r="259" spans="1:9" ht="14.6" x14ac:dyDescent="0.4">
      <c r="A259" s="8" t="s">
        <v>79</v>
      </c>
      <c r="B259" s="8" t="s">
        <v>1036</v>
      </c>
      <c r="C259" s="8" t="s">
        <v>80</v>
      </c>
      <c r="D259" s="8" t="s">
        <v>1035</v>
      </c>
      <c r="E259" s="8" t="s">
        <v>55</v>
      </c>
      <c r="F259" s="8" t="s">
        <v>1584</v>
      </c>
      <c r="G259" s="8" t="s">
        <v>1768</v>
      </c>
      <c r="H259" s="8" t="s">
        <v>1874</v>
      </c>
      <c r="I259" s="22"/>
    </row>
    <row r="260" spans="1:9" ht="14.6" x14ac:dyDescent="0.4">
      <c r="A260" s="8" t="s">
        <v>79</v>
      </c>
      <c r="B260" s="8" t="s">
        <v>1093</v>
      </c>
      <c r="C260" s="8" t="s">
        <v>80</v>
      </c>
      <c r="D260" s="8" t="s">
        <v>1051</v>
      </c>
      <c r="E260" s="8" t="s">
        <v>55</v>
      </c>
      <c r="F260" s="8" t="s">
        <v>1584</v>
      </c>
      <c r="G260" s="8" t="s">
        <v>1768</v>
      </c>
      <c r="H260" s="8" t="s">
        <v>1874</v>
      </c>
      <c r="I260" s="22"/>
    </row>
    <row r="261" spans="1:9" ht="14.6" x14ac:dyDescent="0.4">
      <c r="A261" s="8" t="s">
        <v>115</v>
      </c>
      <c r="B261" s="8" t="s">
        <v>1390</v>
      </c>
      <c r="C261" s="8" t="s">
        <v>116</v>
      </c>
      <c r="D261" s="8" t="s">
        <v>1353</v>
      </c>
      <c r="E261" s="8" t="s">
        <v>55</v>
      </c>
      <c r="F261" s="8" t="s">
        <v>1584</v>
      </c>
      <c r="G261" s="8" t="s">
        <v>1768</v>
      </c>
      <c r="H261" s="8" t="s">
        <v>1874</v>
      </c>
      <c r="I261" s="22"/>
    </row>
    <row r="262" spans="1:9" ht="14.6" x14ac:dyDescent="0.4">
      <c r="A262" s="8" t="s">
        <v>115</v>
      </c>
      <c r="B262" s="8" t="s">
        <v>1028</v>
      </c>
      <c r="C262" s="8" t="s">
        <v>116</v>
      </c>
      <c r="D262" s="8" t="s">
        <v>1029</v>
      </c>
      <c r="E262" s="8" t="s">
        <v>55</v>
      </c>
      <c r="F262" s="8" t="s">
        <v>1584</v>
      </c>
      <c r="G262" s="8" t="s">
        <v>1768</v>
      </c>
      <c r="H262" s="8" t="s">
        <v>1874</v>
      </c>
      <c r="I262" s="22"/>
    </row>
    <row r="263" spans="1:9" ht="14.6" x14ac:dyDescent="0.4">
      <c r="A263" s="8" t="s">
        <v>115</v>
      </c>
      <c r="B263" s="8" t="s">
        <v>1036</v>
      </c>
      <c r="C263" s="8" t="s">
        <v>116</v>
      </c>
      <c r="D263" s="8" t="s">
        <v>1035</v>
      </c>
      <c r="E263" s="8" t="s">
        <v>55</v>
      </c>
      <c r="F263" s="8" t="s">
        <v>1584</v>
      </c>
      <c r="G263" s="8" t="s">
        <v>1768</v>
      </c>
      <c r="H263" s="8" t="s">
        <v>1874</v>
      </c>
      <c r="I263" s="22"/>
    </row>
    <row r="264" spans="1:9" ht="14.6" x14ac:dyDescent="0.4">
      <c r="A264" s="8" t="s">
        <v>115</v>
      </c>
      <c r="B264" s="8" t="s">
        <v>1093</v>
      </c>
      <c r="C264" s="8" t="s">
        <v>116</v>
      </c>
      <c r="D264" s="8" t="s">
        <v>1051</v>
      </c>
      <c r="E264" s="8" t="s">
        <v>55</v>
      </c>
      <c r="F264" s="8" t="s">
        <v>1584</v>
      </c>
      <c r="G264" s="8" t="s">
        <v>1768</v>
      </c>
      <c r="H264" s="8" t="s">
        <v>1874</v>
      </c>
      <c r="I264" s="22"/>
    </row>
    <row r="265" spans="1:9" ht="14.6" x14ac:dyDescent="0.4">
      <c r="A265" s="8" t="s">
        <v>1390</v>
      </c>
      <c r="B265" s="8" t="s">
        <v>1028</v>
      </c>
      <c r="C265" s="8" t="s">
        <v>1353</v>
      </c>
      <c r="D265" s="8" t="s">
        <v>1029</v>
      </c>
      <c r="E265" s="8" t="s">
        <v>55</v>
      </c>
      <c r="F265" s="8" t="s">
        <v>1584</v>
      </c>
      <c r="G265" s="8" t="s">
        <v>1768</v>
      </c>
      <c r="H265" s="8" t="s">
        <v>1874</v>
      </c>
      <c r="I265" s="22"/>
    </row>
    <row r="266" spans="1:9" ht="14.6" x14ac:dyDescent="0.4">
      <c r="A266" s="8" t="s">
        <v>1390</v>
      </c>
      <c r="B266" s="8" t="s">
        <v>1036</v>
      </c>
      <c r="C266" s="8" t="s">
        <v>1353</v>
      </c>
      <c r="D266" s="8" t="s">
        <v>1035</v>
      </c>
      <c r="E266" s="8" t="s">
        <v>55</v>
      </c>
      <c r="F266" s="8" t="s">
        <v>1584</v>
      </c>
      <c r="G266" s="8" t="s">
        <v>1768</v>
      </c>
      <c r="H266" s="8" t="s">
        <v>1874</v>
      </c>
      <c r="I266" s="22"/>
    </row>
    <row r="267" spans="1:9" ht="14.6" x14ac:dyDescent="0.4">
      <c r="A267" s="8" t="s">
        <v>1390</v>
      </c>
      <c r="B267" s="8" t="s">
        <v>1093</v>
      </c>
      <c r="C267" s="8" t="s">
        <v>1353</v>
      </c>
      <c r="D267" s="8" t="s">
        <v>1051</v>
      </c>
      <c r="E267" s="8" t="s">
        <v>55</v>
      </c>
      <c r="F267" s="8" t="s">
        <v>1584</v>
      </c>
      <c r="G267" s="8" t="s">
        <v>1768</v>
      </c>
      <c r="H267" s="8" t="s">
        <v>1874</v>
      </c>
      <c r="I267" s="22"/>
    </row>
    <row r="268" spans="1:9" ht="14.6" x14ac:dyDescent="0.4">
      <c r="A268" s="8" t="s">
        <v>1050</v>
      </c>
      <c r="B268" s="8" t="s">
        <v>1088</v>
      </c>
      <c r="C268" s="8" t="s">
        <v>1051</v>
      </c>
      <c r="D268" s="8" t="s">
        <v>1029</v>
      </c>
      <c r="E268" s="8" t="s">
        <v>34</v>
      </c>
      <c r="F268" s="8" t="s">
        <v>1580</v>
      </c>
      <c r="G268" s="8" t="s">
        <v>1585</v>
      </c>
      <c r="H268" s="8" t="s">
        <v>1909</v>
      </c>
      <c r="I268" s="8" t="s">
        <v>1910</v>
      </c>
    </row>
    <row r="269" spans="1:9" ht="14.6" x14ac:dyDescent="0.4">
      <c r="A269" s="8" t="s">
        <v>1050</v>
      </c>
      <c r="B269" s="8" t="s">
        <v>1116</v>
      </c>
      <c r="C269" s="8" t="s">
        <v>1051</v>
      </c>
      <c r="D269" s="8" t="s">
        <v>1080</v>
      </c>
      <c r="E269" s="8" t="s">
        <v>34</v>
      </c>
      <c r="F269" s="8" t="s">
        <v>1580</v>
      </c>
      <c r="G269" s="8" t="s">
        <v>1585</v>
      </c>
      <c r="H269" s="8" t="s">
        <v>1911</v>
      </c>
      <c r="I269" s="8" t="s">
        <v>1912</v>
      </c>
    </row>
    <row r="270" spans="1:9" ht="14.6" x14ac:dyDescent="0.4">
      <c r="A270" s="8" t="s">
        <v>1088</v>
      </c>
      <c r="B270" s="8" t="s">
        <v>1116</v>
      </c>
      <c r="C270" s="8" t="s">
        <v>1029</v>
      </c>
      <c r="D270" s="8" t="s">
        <v>1080</v>
      </c>
      <c r="E270" s="8" t="s">
        <v>34</v>
      </c>
      <c r="F270" s="8" t="s">
        <v>1580</v>
      </c>
      <c r="G270" s="8" t="s">
        <v>1585</v>
      </c>
      <c r="H270" s="8" t="s">
        <v>1913</v>
      </c>
      <c r="I270" s="8" t="s">
        <v>1914</v>
      </c>
    </row>
    <row r="271" spans="1:9" ht="14.6" x14ac:dyDescent="0.4">
      <c r="A271" s="8" t="s">
        <v>32</v>
      </c>
      <c r="B271" s="8" t="s">
        <v>41</v>
      </c>
      <c r="C271" s="8" t="s">
        <v>33</v>
      </c>
      <c r="D271" s="8" t="s">
        <v>42</v>
      </c>
      <c r="E271" s="8" t="s">
        <v>34</v>
      </c>
      <c r="F271" s="8" t="s">
        <v>1584</v>
      </c>
      <c r="G271" s="8" t="s">
        <v>1768</v>
      </c>
      <c r="H271" s="8" t="s">
        <v>1874</v>
      </c>
      <c r="I271" s="22"/>
    </row>
    <row r="272" spans="1:9" ht="14.6" x14ac:dyDescent="0.4">
      <c r="A272" s="8" t="s">
        <v>32</v>
      </c>
      <c r="B272" s="8" t="s">
        <v>50</v>
      </c>
      <c r="C272" s="8" t="s">
        <v>33</v>
      </c>
      <c r="D272" s="8" t="s">
        <v>40</v>
      </c>
      <c r="E272" s="8" t="s">
        <v>34</v>
      </c>
      <c r="F272" s="8" t="s">
        <v>1584</v>
      </c>
      <c r="G272" s="8" t="s">
        <v>1768</v>
      </c>
      <c r="H272" s="8" t="s">
        <v>1874</v>
      </c>
      <c r="I272" s="22"/>
    </row>
    <row r="273" spans="1:9" ht="14.6" x14ac:dyDescent="0.4">
      <c r="A273" s="8" t="s">
        <v>32</v>
      </c>
      <c r="B273" s="8" t="s">
        <v>106</v>
      </c>
      <c r="C273" s="8" t="s">
        <v>33</v>
      </c>
      <c r="D273" s="8" t="s">
        <v>82</v>
      </c>
      <c r="E273" s="8" t="s">
        <v>34</v>
      </c>
      <c r="F273" s="8" t="s">
        <v>1584</v>
      </c>
      <c r="G273" s="8" t="s">
        <v>1768</v>
      </c>
      <c r="H273" s="8" t="s">
        <v>1874</v>
      </c>
      <c r="I273" s="22"/>
    </row>
    <row r="274" spans="1:9" ht="14.6" x14ac:dyDescent="0.4">
      <c r="A274" s="8" t="s">
        <v>32</v>
      </c>
      <c r="B274" s="8" t="s">
        <v>1050</v>
      </c>
      <c r="C274" s="8" t="s">
        <v>33</v>
      </c>
      <c r="D274" s="8" t="s">
        <v>1051</v>
      </c>
      <c r="E274" s="8" t="s">
        <v>34</v>
      </c>
      <c r="F274" s="8" t="s">
        <v>1584</v>
      </c>
      <c r="G274" s="8" t="s">
        <v>1768</v>
      </c>
      <c r="H274" s="8" t="s">
        <v>1874</v>
      </c>
      <c r="I274" s="22"/>
    </row>
    <row r="275" spans="1:9" ht="14.6" x14ac:dyDescent="0.4">
      <c r="A275" s="8" t="s">
        <v>32</v>
      </c>
      <c r="B275" s="8" t="s">
        <v>1088</v>
      </c>
      <c r="C275" s="8" t="s">
        <v>33</v>
      </c>
      <c r="D275" s="8" t="s">
        <v>1029</v>
      </c>
      <c r="E275" s="8" t="s">
        <v>34</v>
      </c>
      <c r="F275" s="8" t="s">
        <v>1584</v>
      </c>
      <c r="G275" s="8" t="s">
        <v>1768</v>
      </c>
      <c r="H275" s="8" t="s">
        <v>1874</v>
      </c>
      <c r="I275" s="22"/>
    </row>
    <row r="276" spans="1:9" ht="14.6" x14ac:dyDescent="0.4">
      <c r="A276" s="8" t="s">
        <v>32</v>
      </c>
      <c r="B276" s="8" t="s">
        <v>1116</v>
      </c>
      <c r="C276" s="8" t="s">
        <v>33</v>
      </c>
      <c r="D276" s="8" t="s">
        <v>1080</v>
      </c>
      <c r="E276" s="8" t="s">
        <v>34</v>
      </c>
      <c r="F276" s="8" t="s">
        <v>1584</v>
      </c>
      <c r="G276" s="8" t="s">
        <v>1768</v>
      </c>
      <c r="H276" s="8" t="s">
        <v>1874</v>
      </c>
      <c r="I276" s="22"/>
    </row>
    <row r="277" spans="1:9" ht="14.6" x14ac:dyDescent="0.4">
      <c r="A277" s="8" t="s">
        <v>41</v>
      </c>
      <c r="B277" s="8" t="s">
        <v>50</v>
      </c>
      <c r="C277" s="8" t="s">
        <v>42</v>
      </c>
      <c r="D277" s="8" t="s">
        <v>40</v>
      </c>
      <c r="E277" s="8" t="s">
        <v>34</v>
      </c>
      <c r="F277" s="8" t="s">
        <v>1584</v>
      </c>
      <c r="G277" s="8" t="s">
        <v>1768</v>
      </c>
      <c r="H277" s="8" t="s">
        <v>1874</v>
      </c>
      <c r="I277" s="22"/>
    </row>
    <row r="278" spans="1:9" ht="14.6" x14ac:dyDescent="0.4">
      <c r="A278" s="8" t="s">
        <v>41</v>
      </c>
      <c r="B278" s="8" t="s">
        <v>106</v>
      </c>
      <c r="C278" s="8" t="s">
        <v>42</v>
      </c>
      <c r="D278" s="8" t="s">
        <v>82</v>
      </c>
      <c r="E278" s="8" t="s">
        <v>34</v>
      </c>
      <c r="F278" s="8" t="s">
        <v>1584</v>
      </c>
      <c r="G278" s="8" t="s">
        <v>1768</v>
      </c>
      <c r="H278" s="8" t="s">
        <v>1874</v>
      </c>
      <c r="I278" s="22"/>
    </row>
    <row r="279" spans="1:9" ht="14.6" x14ac:dyDescent="0.4">
      <c r="A279" s="8" t="s">
        <v>41</v>
      </c>
      <c r="B279" s="8" t="s">
        <v>1050</v>
      </c>
      <c r="C279" s="8" t="s">
        <v>42</v>
      </c>
      <c r="D279" s="8" t="s">
        <v>1051</v>
      </c>
      <c r="E279" s="8" t="s">
        <v>34</v>
      </c>
      <c r="F279" s="8" t="s">
        <v>1584</v>
      </c>
      <c r="G279" s="8" t="s">
        <v>1768</v>
      </c>
      <c r="H279" s="8" t="s">
        <v>1874</v>
      </c>
      <c r="I279" s="22"/>
    </row>
    <row r="280" spans="1:9" ht="14.6" x14ac:dyDescent="0.4">
      <c r="A280" s="8" t="s">
        <v>41</v>
      </c>
      <c r="B280" s="8" t="s">
        <v>1088</v>
      </c>
      <c r="C280" s="8" t="s">
        <v>42</v>
      </c>
      <c r="D280" s="8" t="s">
        <v>1029</v>
      </c>
      <c r="E280" s="8" t="s">
        <v>34</v>
      </c>
      <c r="F280" s="8" t="s">
        <v>1584</v>
      </c>
      <c r="G280" s="8" t="s">
        <v>1768</v>
      </c>
      <c r="H280" s="8" t="s">
        <v>1874</v>
      </c>
      <c r="I280" s="22"/>
    </row>
    <row r="281" spans="1:9" ht="14.6" x14ac:dyDescent="0.4">
      <c r="A281" s="8" t="s">
        <v>41</v>
      </c>
      <c r="B281" s="8" t="s">
        <v>1116</v>
      </c>
      <c r="C281" s="8" t="s">
        <v>42</v>
      </c>
      <c r="D281" s="8" t="s">
        <v>1080</v>
      </c>
      <c r="E281" s="8" t="s">
        <v>34</v>
      </c>
      <c r="F281" s="8" t="s">
        <v>1584</v>
      </c>
      <c r="G281" s="8" t="s">
        <v>1768</v>
      </c>
      <c r="H281" s="8" t="s">
        <v>1874</v>
      </c>
      <c r="I281" s="22"/>
    </row>
    <row r="282" spans="1:9" ht="14.6" x14ac:dyDescent="0.4">
      <c r="A282" s="8" t="s">
        <v>50</v>
      </c>
      <c r="B282" s="8" t="s">
        <v>106</v>
      </c>
      <c r="C282" s="8" t="s">
        <v>40</v>
      </c>
      <c r="D282" s="8" t="s">
        <v>82</v>
      </c>
      <c r="E282" s="8" t="s">
        <v>34</v>
      </c>
      <c r="F282" s="8" t="s">
        <v>1584</v>
      </c>
      <c r="G282" s="8" t="s">
        <v>1768</v>
      </c>
      <c r="H282" s="8" t="s">
        <v>1874</v>
      </c>
      <c r="I282" s="22"/>
    </row>
    <row r="283" spans="1:9" ht="14.6" x14ac:dyDescent="0.4">
      <c r="A283" s="8" t="s">
        <v>50</v>
      </c>
      <c r="B283" s="8" t="s">
        <v>1050</v>
      </c>
      <c r="C283" s="8" t="s">
        <v>40</v>
      </c>
      <c r="D283" s="8" t="s">
        <v>1051</v>
      </c>
      <c r="E283" s="8" t="s">
        <v>34</v>
      </c>
      <c r="F283" s="8" t="s">
        <v>1584</v>
      </c>
      <c r="G283" s="8" t="s">
        <v>1768</v>
      </c>
      <c r="H283" s="8" t="s">
        <v>1874</v>
      </c>
      <c r="I283" s="22"/>
    </row>
    <row r="284" spans="1:9" ht="14.6" x14ac:dyDescent="0.4">
      <c r="A284" s="8" t="s">
        <v>50</v>
      </c>
      <c r="B284" s="8" t="s">
        <v>1088</v>
      </c>
      <c r="C284" s="8" t="s">
        <v>40</v>
      </c>
      <c r="D284" s="8" t="s">
        <v>1029</v>
      </c>
      <c r="E284" s="8" t="s">
        <v>34</v>
      </c>
      <c r="F284" s="8" t="s">
        <v>1584</v>
      </c>
      <c r="G284" s="8" t="s">
        <v>1768</v>
      </c>
      <c r="H284" s="8" t="s">
        <v>1874</v>
      </c>
      <c r="I284" s="22"/>
    </row>
    <row r="285" spans="1:9" ht="14.6" x14ac:dyDescent="0.4">
      <c r="A285" s="8" t="s">
        <v>50</v>
      </c>
      <c r="B285" s="8" t="s">
        <v>1116</v>
      </c>
      <c r="C285" s="8" t="s">
        <v>40</v>
      </c>
      <c r="D285" s="8" t="s">
        <v>1080</v>
      </c>
      <c r="E285" s="8" t="s">
        <v>34</v>
      </c>
      <c r="F285" s="8" t="s">
        <v>1584</v>
      </c>
      <c r="G285" s="8" t="s">
        <v>1768</v>
      </c>
      <c r="H285" s="8" t="s">
        <v>1874</v>
      </c>
      <c r="I285" s="22"/>
    </row>
    <row r="286" spans="1:9" ht="14.6" x14ac:dyDescent="0.4">
      <c r="A286" s="8" t="s">
        <v>106</v>
      </c>
      <c r="B286" s="8" t="s">
        <v>1050</v>
      </c>
      <c r="C286" s="8" t="s">
        <v>82</v>
      </c>
      <c r="D286" s="8" t="s">
        <v>1051</v>
      </c>
      <c r="E286" s="8" t="s">
        <v>34</v>
      </c>
      <c r="F286" s="8" t="s">
        <v>1584</v>
      </c>
      <c r="G286" s="8" t="s">
        <v>1768</v>
      </c>
      <c r="H286" s="8" t="s">
        <v>1874</v>
      </c>
      <c r="I286" s="22"/>
    </row>
    <row r="287" spans="1:9" ht="14.6" x14ac:dyDescent="0.4">
      <c r="A287" s="8" t="s">
        <v>106</v>
      </c>
      <c r="B287" s="8" t="s">
        <v>1088</v>
      </c>
      <c r="C287" s="8" t="s">
        <v>82</v>
      </c>
      <c r="D287" s="8" t="s">
        <v>1029</v>
      </c>
      <c r="E287" s="8" t="s">
        <v>34</v>
      </c>
      <c r="F287" s="8" t="s">
        <v>1584</v>
      </c>
      <c r="G287" s="8" t="s">
        <v>1768</v>
      </c>
      <c r="H287" s="8" t="s">
        <v>1874</v>
      </c>
      <c r="I287" s="22"/>
    </row>
    <row r="288" spans="1:9" ht="14.6" x14ac:dyDescent="0.4">
      <c r="A288" s="8" t="s">
        <v>106</v>
      </c>
      <c r="B288" s="8" t="s">
        <v>1116</v>
      </c>
      <c r="C288" s="8" t="s">
        <v>82</v>
      </c>
      <c r="D288" s="8" t="s">
        <v>1080</v>
      </c>
      <c r="E288" s="8" t="s">
        <v>34</v>
      </c>
      <c r="F288" s="8" t="s">
        <v>1584</v>
      </c>
      <c r="G288" s="8" t="s">
        <v>1768</v>
      </c>
      <c r="H288" s="8" t="s">
        <v>1874</v>
      </c>
      <c r="I288" s="22"/>
    </row>
    <row r="289" spans="1:9" ht="14.6" x14ac:dyDescent="0.4">
      <c r="A289" s="8" t="s">
        <v>1030</v>
      </c>
      <c r="B289" s="8" t="s">
        <v>1056</v>
      </c>
      <c r="C289" s="8" t="s">
        <v>1031</v>
      </c>
      <c r="D289" s="8" t="s">
        <v>1054</v>
      </c>
      <c r="E289" s="8" t="s">
        <v>9</v>
      </c>
      <c r="F289" s="8" t="s">
        <v>1580</v>
      </c>
      <c r="G289" s="8" t="s">
        <v>1585</v>
      </c>
      <c r="H289" s="8" t="s">
        <v>1915</v>
      </c>
      <c r="I289" s="8" t="s">
        <v>1916</v>
      </c>
    </row>
    <row r="290" spans="1:9" ht="14.6" x14ac:dyDescent="0.4">
      <c r="A290" s="8" t="s">
        <v>7</v>
      </c>
      <c r="B290" s="8" t="s">
        <v>61</v>
      </c>
      <c r="C290" s="8" t="s">
        <v>8</v>
      </c>
      <c r="D290" s="8" t="s">
        <v>62</v>
      </c>
      <c r="E290" s="8" t="s">
        <v>9</v>
      </c>
      <c r="F290" s="8" t="s">
        <v>1584</v>
      </c>
      <c r="G290" s="8" t="s">
        <v>1768</v>
      </c>
      <c r="H290" s="8" t="s">
        <v>1874</v>
      </c>
      <c r="I290" s="22"/>
    </row>
    <row r="291" spans="1:9" ht="14.6" x14ac:dyDescent="0.4">
      <c r="A291" s="8" t="s">
        <v>7</v>
      </c>
      <c r="B291" s="8" t="s">
        <v>83</v>
      </c>
      <c r="C291" s="8" t="s">
        <v>8</v>
      </c>
      <c r="D291" s="8" t="s">
        <v>84</v>
      </c>
      <c r="E291" s="8" t="s">
        <v>9</v>
      </c>
      <c r="F291" s="8" t="s">
        <v>1584</v>
      </c>
      <c r="G291" s="8" t="s">
        <v>1768</v>
      </c>
      <c r="H291" s="8" t="s">
        <v>1874</v>
      </c>
      <c r="I291" s="22"/>
    </row>
    <row r="292" spans="1:9" ht="14.6" x14ac:dyDescent="0.4">
      <c r="A292" s="8" t="s">
        <v>7</v>
      </c>
      <c r="B292" s="8" t="s">
        <v>127</v>
      </c>
      <c r="C292" s="8" t="s">
        <v>8</v>
      </c>
      <c r="D292" s="8" t="s">
        <v>128</v>
      </c>
      <c r="E292" s="8" t="s">
        <v>9</v>
      </c>
      <c r="F292" s="8" t="s">
        <v>1584</v>
      </c>
      <c r="G292" s="8" t="s">
        <v>1768</v>
      </c>
      <c r="H292" s="8" t="s">
        <v>1874</v>
      </c>
      <c r="I292" s="22"/>
    </row>
    <row r="293" spans="1:9" ht="14.6" x14ac:dyDescent="0.4">
      <c r="A293" s="8" t="s">
        <v>7</v>
      </c>
      <c r="B293" s="8" t="s">
        <v>1030</v>
      </c>
      <c r="C293" s="8" t="s">
        <v>8</v>
      </c>
      <c r="D293" s="8" t="s">
        <v>1031</v>
      </c>
      <c r="E293" s="8" t="s">
        <v>9</v>
      </c>
      <c r="F293" s="8" t="s">
        <v>1584</v>
      </c>
      <c r="G293" s="8" t="s">
        <v>1768</v>
      </c>
      <c r="H293" s="8" t="s">
        <v>1874</v>
      </c>
      <c r="I293" s="22"/>
    </row>
    <row r="294" spans="1:9" ht="14.6" x14ac:dyDescent="0.4">
      <c r="A294" s="8" t="s">
        <v>7</v>
      </c>
      <c r="B294" s="8" t="s">
        <v>1037</v>
      </c>
      <c r="C294" s="8" t="s">
        <v>8</v>
      </c>
      <c r="D294" s="8" t="s">
        <v>1038</v>
      </c>
      <c r="E294" s="8" t="s">
        <v>9</v>
      </c>
      <c r="F294" s="8" t="s">
        <v>1584</v>
      </c>
      <c r="G294" s="8" t="s">
        <v>1768</v>
      </c>
      <c r="H294" s="8" t="s">
        <v>1874</v>
      </c>
      <c r="I294" s="22"/>
    </row>
    <row r="295" spans="1:9" ht="14.6" x14ac:dyDescent="0.4">
      <c r="A295" s="8" t="s">
        <v>7</v>
      </c>
      <c r="B295" s="8" t="s">
        <v>1042</v>
      </c>
      <c r="C295" s="8" t="s">
        <v>8</v>
      </c>
      <c r="D295" s="8" t="s">
        <v>1038</v>
      </c>
      <c r="E295" s="8" t="s">
        <v>9</v>
      </c>
      <c r="F295" s="8" t="s">
        <v>1584</v>
      </c>
      <c r="G295" s="8" t="s">
        <v>1768</v>
      </c>
      <c r="H295" s="8" t="s">
        <v>1874</v>
      </c>
      <c r="I295" s="22"/>
    </row>
    <row r="296" spans="1:9" ht="14.6" x14ac:dyDescent="0.4">
      <c r="A296" s="8" t="s">
        <v>7</v>
      </c>
      <c r="B296" s="8" t="s">
        <v>1056</v>
      </c>
      <c r="C296" s="8" t="s">
        <v>8</v>
      </c>
      <c r="D296" s="8" t="s">
        <v>1054</v>
      </c>
      <c r="E296" s="8" t="s">
        <v>9</v>
      </c>
      <c r="F296" s="8" t="s">
        <v>1584</v>
      </c>
      <c r="G296" s="8" t="s">
        <v>1768</v>
      </c>
      <c r="H296" s="8" t="s">
        <v>1874</v>
      </c>
      <c r="I296" s="22"/>
    </row>
    <row r="297" spans="1:9" ht="14.6" x14ac:dyDescent="0.4">
      <c r="A297" s="8" t="s">
        <v>61</v>
      </c>
      <c r="B297" s="8" t="s">
        <v>83</v>
      </c>
      <c r="C297" s="8" t="s">
        <v>62</v>
      </c>
      <c r="D297" s="8" t="s">
        <v>84</v>
      </c>
      <c r="E297" s="8" t="s">
        <v>9</v>
      </c>
      <c r="F297" s="8" t="s">
        <v>1584</v>
      </c>
      <c r="G297" s="8" t="s">
        <v>1768</v>
      </c>
      <c r="H297" s="8" t="s">
        <v>1874</v>
      </c>
      <c r="I297" s="22"/>
    </row>
    <row r="298" spans="1:9" ht="14.6" x14ac:dyDescent="0.4">
      <c r="A298" s="8" t="s">
        <v>61</v>
      </c>
      <c r="B298" s="8" t="s">
        <v>127</v>
      </c>
      <c r="C298" s="8" t="s">
        <v>62</v>
      </c>
      <c r="D298" s="8" t="s">
        <v>128</v>
      </c>
      <c r="E298" s="8" t="s">
        <v>9</v>
      </c>
      <c r="F298" s="8" t="s">
        <v>1584</v>
      </c>
      <c r="G298" s="8" t="s">
        <v>1768</v>
      </c>
      <c r="H298" s="8" t="s">
        <v>1874</v>
      </c>
      <c r="I298" s="22"/>
    </row>
    <row r="299" spans="1:9" ht="14.6" x14ac:dyDescent="0.4">
      <c r="A299" s="8" t="s">
        <v>61</v>
      </c>
      <c r="B299" s="8" t="s">
        <v>1030</v>
      </c>
      <c r="C299" s="8" t="s">
        <v>62</v>
      </c>
      <c r="D299" s="8" t="s">
        <v>1031</v>
      </c>
      <c r="E299" s="8" t="s">
        <v>9</v>
      </c>
      <c r="F299" s="8" t="s">
        <v>1584</v>
      </c>
      <c r="G299" s="8" t="s">
        <v>1768</v>
      </c>
      <c r="H299" s="8" t="s">
        <v>1874</v>
      </c>
      <c r="I299" s="22"/>
    </row>
    <row r="300" spans="1:9" ht="14.6" x14ac:dyDescent="0.4">
      <c r="A300" s="8" t="s">
        <v>61</v>
      </c>
      <c r="B300" s="8" t="s">
        <v>1037</v>
      </c>
      <c r="C300" s="8" t="s">
        <v>62</v>
      </c>
      <c r="D300" s="8" t="s">
        <v>1038</v>
      </c>
      <c r="E300" s="8" t="s">
        <v>9</v>
      </c>
      <c r="F300" s="8" t="s">
        <v>1584</v>
      </c>
      <c r="G300" s="8" t="s">
        <v>1768</v>
      </c>
      <c r="H300" s="8" t="s">
        <v>1874</v>
      </c>
      <c r="I300" s="22"/>
    </row>
    <row r="301" spans="1:9" ht="14.6" x14ac:dyDescent="0.4">
      <c r="A301" s="8" t="s">
        <v>61</v>
      </c>
      <c r="B301" s="8" t="s">
        <v>1042</v>
      </c>
      <c r="C301" s="8" t="s">
        <v>62</v>
      </c>
      <c r="D301" s="8" t="s">
        <v>1038</v>
      </c>
      <c r="E301" s="8" t="s">
        <v>9</v>
      </c>
      <c r="F301" s="8" t="s">
        <v>1584</v>
      </c>
      <c r="G301" s="8" t="s">
        <v>1768</v>
      </c>
      <c r="H301" s="8" t="s">
        <v>1874</v>
      </c>
      <c r="I301" s="22"/>
    </row>
    <row r="302" spans="1:9" ht="14.6" x14ac:dyDescent="0.4">
      <c r="A302" s="8" t="s">
        <v>61</v>
      </c>
      <c r="B302" s="8" t="s">
        <v>1056</v>
      </c>
      <c r="C302" s="8" t="s">
        <v>62</v>
      </c>
      <c r="D302" s="8" t="s">
        <v>1054</v>
      </c>
      <c r="E302" s="8" t="s">
        <v>9</v>
      </c>
      <c r="F302" s="8" t="s">
        <v>1584</v>
      </c>
      <c r="G302" s="8" t="s">
        <v>1768</v>
      </c>
      <c r="H302" s="8" t="s">
        <v>1874</v>
      </c>
      <c r="I302" s="22"/>
    </row>
    <row r="303" spans="1:9" ht="14.6" x14ac:dyDescent="0.4">
      <c r="A303" s="8" t="s">
        <v>83</v>
      </c>
      <c r="B303" s="8" t="s">
        <v>127</v>
      </c>
      <c r="C303" s="8" t="s">
        <v>84</v>
      </c>
      <c r="D303" s="8" t="s">
        <v>128</v>
      </c>
      <c r="E303" s="8" t="s">
        <v>9</v>
      </c>
      <c r="F303" s="8" t="s">
        <v>1584</v>
      </c>
      <c r="G303" s="8" t="s">
        <v>1768</v>
      </c>
      <c r="H303" s="8" t="s">
        <v>1874</v>
      </c>
      <c r="I303" s="22"/>
    </row>
    <row r="304" spans="1:9" ht="14.6" x14ac:dyDescent="0.4">
      <c r="A304" s="8" t="s">
        <v>83</v>
      </c>
      <c r="B304" s="8" t="s">
        <v>1030</v>
      </c>
      <c r="C304" s="8" t="s">
        <v>84</v>
      </c>
      <c r="D304" s="8" t="s">
        <v>1031</v>
      </c>
      <c r="E304" s="8" t="s">
        <v>9</v>
      </c>
      <c r="F304" s="8" t="s">
        <v>1584</v>
      </c>
      <c r="G304" s="8" t="s">
        <v>1768</v>
      </c>
      <c r="H304" s="8" t="s">
        <v>1874</v>
      </c>
      <c r="I304" s="22"/>
    </row>
    <row r="305" spans="1:9" ht="14.6" x14ac:dyDescent="0.4">
      <c r="A305" s="8" t="s">
        <v>83</v>
      </c>
      <c r="B305" s="8" t="s">
        <v>1037</v>
      </c>
      <c r="C305" s="8" t="s">
        <v>84</v>
      </c>
      <c r="D305" s="8" t="s">
        <v>1038</v>
      </c>
      <c r="E305" s="8" t="s">
        <v>9</v>
      </c>
      <c r="F305" s="8" t="s">
        <v>1584</v>
      </c>
      <c r="G305" s="8" t="s">
        <v>1768</v>
      </c>
      <c r="H305" s="8" t="s">
        <v>1874</v>
      </c>
      <c r="I305" s="22"/>
    </row>
    <row r="306" spans="1:9" ht="14.6" x14ac:dyDescent="0.4">
      <c r="A306" s="8" t="s">
        <v>83</v>
      </c>
      <c r="B306" s="8" t="s">
        <v>1042</v>
      </c>
      <c r="C306" s="8" t="s">
        <v>84</v>
      </c>
      <c r="D306" s="8" t="s">
        <v>1038</v>
      </c>
      <c r="E306" s="8" t="s">
        <v>9</v>
      </c>
      <c r="F306" s="8" t="s">
        <v>1584</v>
      </c>
      <c r="G306" s="8" t="s">
        <v>1768</v>
      </c>
      <c r="H306" s="8" t="s">
        <v>1874</v>
      </c>
      <c r="I306" s="22"/>
    </row>
    <row r="307" spans="1:9" ht="14.6" x14ac:dyDescent="0.4">
      <c r="A307" s="8" t="s">
        <v>83</v>
      </c>
      <c r="B307" s="8" t="s">
        <v>1056</v>
      </c>
      <c r="C307" s="8" t="s">
        <v>84</v>
      </c>
      <c r="D307" s="8" t="s">
        <v>1054</v>
      </c>
      <c r="E307" s="8" t="s">
        <v>9</v>
      </c>
      <c r="F307" s="8" t="s">
        <v>1584</v>
      </c>
      <c r="G307" s="8" t="s">
        <v>1768</v>
      </c>
      <c r="H307" s="8" t="s">
        <v>1874</v>
      </c>
      <c r="I307" s="22"/>
    </row>
    <row r="308" spans="1:9" ht="14.6" x14ac:dyDescent="0.4">
      <c r="A308" s="8" t="s">
        <v>127</v>
      </c>
      <c r="B308" s="8" t="s">
        <v>1030</v>
      </c>
      <c r="C308" s="8" t="s">
        <v>128</v>
      </c>
      <c r="D308" s="8" t="s">
        <v>1031</v>
      </c>
      <c r="E308" s="8" t="s">
        <v>9</v>
      </c>
      <c r="F308" s="8" t="s">
        <v>1584</v>
      </c>
      <c r="G308" s="8" t="s">
        <v>1768</v>
      </c>
      <c r="H308" s="8" t="s">
        <v>1874</v>
      </c>
      <c r="I308" s="22"/>
    </row>
    <row r="309" spans="1:9" ht="14.6" x14ac:dyDescent="0.4">
      <c r="A309" s="8" t="s">
        <v>127</v>
      </c>
      <c r="B309" s="8" t="s">
        <v>1037</v>
      </c>
      <c r="C309" s="8" t="s">
        <v>128</v>
      </c>
      <c r="D309" s="8" t="s">
        <v>1038</v>
      </c>
      <c r="E309" s="8" t="s">
        <v>9</v>
      </c>
      <c r="F309" s="8" t="s">
        <v>1584</v>
      </c>
      <c r="G309" s="8" t="s">
        <v>1768</v>
      </c>
      <c r="H309" s="8" t="s">
        <v>1874</v>
      </c>
      <c r="I309" s="22"/>
    </row>
    <row r="310" spans="1:9" ht="14.6" x14ac:dyDescent="0.4">
      <c r="A310" s="8" t="s">
        <v>127</v>
      </c>
      <c r="B310" s="8" t="s">
        <v>1042</v>
      </c>
      <c r="C310" s="8" t="s">
        <v>128</v>
      </c>
      <c r="D310" s="8" t="s">
        <v>1038</v>
      </c>
      <c r="E310" s="8" t="s">
        <v>9</v>
      </c>
      <c r="F310" s="8" t="s">
        <v>1584</v>
      </c>
      <c r="G310" s="8" t="s">
        <v>1768</v>
      </c>
      <c r="H310" s="8" t="s">
        <v>1874</v>
      </c>
      <c r="I310" s="22"/>
    </row>
    <row r="311" spans="1:9" ht="14.6" x14ac:dyDescent="0.4">
      <c r="A311" s="8" t="s">
        <v>127</v>
      </c>
      <c r="B311" s="8" t="s">
        <v>1056</v>
      </c>
      <c r="C311" s="8" t="s">
        <v>128</v>
      </c>
      <c r="D311" s="8" t="s">
        <v>1054</v>
      </c>
      <c r="E311" s="8" t="s">
        <v>9</v>
      </c>
      <c r="F311" s="8" t="s">
        <v>1584</v>
      </c>
      <c r="G311" s="8" t="s">
        <v>1768</v>
      </c>
      <c r="H311" s="8" t="s">
        <v>1874</v>
      </c>
      <c r="I311" s="22"/>
    </row>
    <row r="312" spans="1:9" ht="14.6" x14ac:dyDescent="0.4">
      <c r="A312" s="8" t="s">
        <v>1030</v>
      </c>
      <c r="B312" s="8" t="s">
        <v>1037</v>
      </c>
      <c r="C312" s="8" t="s">
        <v>1031</v>
      </c>
      <c r="D312" s="8" t="s">
        <v>1038</v>
      </c>
      <c r="E312" s="8" t="s">
        <v>9</v>
      </c>
      <c r="F312" s="8" t="s">
        <v>1584</v>
      </c>
      <c r="G312" s="8" t="s">
        <v>1768</v>
      </c>
      <c r="H312" s="8" t="s">
        <v>1874</v>
      </c>
      <c r="I312" s="22"/>
    </row>
    <row r="313" spans="1:9" ht="14.6" x14ac:dyDescent="0.4">
      <c r="A313" s="8" t="s">
        <v>1030</v>
      </c>
      <c r="B313" s="8" t="s">
        <v>1042</v>
      </c>
      <c r="C313" s="8" t="s">
        <v>1031</v>
      </c>
      <c r="D313" s="8" t="s">
        <v>1038</v>
      </c>
      <c r="E313" s="8" t="s">
        <v>9</v>
      </c>
      <c r="F313" s="8" t="s">
        <v>1584</v>
      </c>
      <c r="G313" s="8" t="s">
        <v>1768</v>
      </c>
      <c r="H313" s="8" t="s">
        <v>1874</v>
      </c>
      <c r="I313" s="22"/>
    </row>
    <row r="314" spans="1:9" ht="14.6" x14ac:dyDescent="0.4">
      <c r="A314" s="8" t="s">
        <v>1037</v>
      </c>
      <c r="B314" s="8" t="s">
        <v>1042</v>
      </c>
      <c r="C314" s="8" t="s">
        <v>1038</v>
      </c>
      <c r="D314" s="8" t="s">
        <v>1038</v>
      </c>
      <c r="E314" s="8" t="s">
        <v>9</v>
      </c>
      <c r="F314" s="8" t="s">
        <v>1584</v>
      </c>
      <c r="G314" s="8" t="s">
        <v>1768</v>
      </c>
      <c r="H314" s="8" t="s">
        <v>1874</v>
      </c>
      <c r="I314" s="22"/>
    </row>
    <row r="315" spans="1:9" ht="14.6" x14ac:dyDescent="0.4">
      <c r="A315" s="8" t="s">
        <v>1037</v>
      </c>
      <c r="B315" s="8" t="s">
        <v>1056</v>
      </c>
      <c r="C315" s="8" t="s">
        <v>1038</v>
      </c>
      <c r="D315" s="8" t="s">
        <v>1054</v>
      </c>
      <c r="E315" s="8" t="s">
        <v>9</v>
      </c>
      <c r="F315" s="8" t="s">
        <v>1584</v>
      </c>
      <c r="G315" s="8" t="s">
        <v>1768</v>
      </c>
      <c r="H315" s="8" t="s">
        <v>1874</v>
      </c>
      <c r="I315" s="22"/>
    </row>
    <row r="316" spans="1:9" ht="14.6" x14ac:dyDescent="0.4">
      <c r="A316" s="8" t="s">
        <v>1042</v>
      </c>
      <c r="B316" s="8" t="s">
        <v>1056</v>
      </c>
      <c r="C316" s="8" t="s">
        <v>1038</v>
      </c>
      <c r="D316" s="8" t="s">
        <v>1054</v>
      </c>
      <c r="E316" s="8" t="s">
        <v>9</v>
      </c>
      <c r="F316" s="8" t="s">
        <v>1584</v>
      </c>
      <c r="G316" s="8" t="s">
        <v>1768</v>
      </c>
      <c r="H316" s="8" t="s">
        <v>1874</v>
      </c>
      <c r="I316" s="22"/>
    </row>
    <row r="317" spans="1:9" ht="14.6" x14ac:dyDescent="0.4">
      <c r="A317" s="8" t="s">
        <v>1103</v>
      </c>
      <c r="B317" s="8" t="s">
        <v>1111</v>
      </c>
      <c r="C317" s="8" t="s">
        <v>1080</v>
      </c>
      <c r="D317" s="8" t="s">
        <v>1029</v>
      </c>
      <c r="E317" s="8" t="s">
        <v>58</v>
      </c>
      <c r="F317" s="8" t="s">
        <v>1580</v>
      </c>
      <c r="G317" s="8" t="s">
        <v>1585</v>
      </c>
      <c r="H317" s="8" t="s">
        <v>1917</v>
      </c>
      <c r="I317" s="8" t="s">
        <v>1918</v>
      </c>
    </row>
    <row r="318" spans="1:9" ht="14.6" x14ac:dyDescent="0.4">
      <c r="A318" s="8" t="s">
        <v>1213</v>
      </c>
      <c r="B318" s="8" t="s">
        <v>1247</v>
      </c>
      <c r="C318" s="8" t="s">
        <v>1156</v>
      </c>
      <c r="D318" s="8" t="s">
        <v>1145</v>
      </c>
      <c r="E318" s="8" t="s">
        <v>58</v>
      </c>
      <c r="F318" s="8" t="s">
        <v>1580</v>
      </c>
      <c r="G318" s="8" t="s">
        <v>1768</v>
      </c>
      <c r="H318" s="8" t="s">
        <v>1919</v>
      </c>
      <c r="I318" s="8" t="s">
        <v>1920</v>
      </c>
    </row>
    <row r="319" spans="1:9" ht="14.6" x14ac:dyDescent="0.4">
      <c r="A319" s="8" t="s">
        <v>56</v>
      </c>
      <c r="B319" s="8" t="s">
        <v>111</v>
      </c>
      <c r="C319" s="8" t="s">
        <v>57</v>
      </c>
      <c r="D319" s="8" t="s">
        <v>112</v>
      </c>
      <c r="E319" s="8" t="s">
        <v>58</v>
      </c>
      <c r="F319" s="8" t="s">
        <v>1584</v>
      </c>
      <c r="G319" s="8" t="s">
        <v>1768</v>
      </c>
      <c r="H319" s="8" t="s">
        <v>1874</v>
      </c>
      <c r="I319" s="22"/>
    </row>
    <row r="320" spans="1:9" ht="14.6" x14ac:dyDescent="0.4">
      <c r="A320" s="8" t="s">
        <v>56</v>
      </c>
      <c r="B320" s="8" t="s">
        <v>159</v>
      </c>
      <c r="C320" s="8" t="s">
        <v>57</v>
      </c>
      <c r="D320" s="8" t="s">
        <v>160</v>
      </c>
      <c r="E320" s="8" t="s">
        <v>58</v>
      </c>
      <c r="F320" s="8" t="s">
        <v>1584</v>
      </c>
      <c r="G320" s="8" t="s">
        <v>1768</v>
      </c>
      <c r="H320" s="8" t="s">
        <v>1874</v>
      </c>
      <c r="I320" s="22"/>
    </row>
    <row r="321" spans="1:9" ht="14.6" x14ac:dyDescent="0.4">
      <c r="A321" s="8" t="s">
        <v>56</v>
      </c>
      <c r="B321" s="8" t="s">
        <v>199</v>
      </c>
      <c r="C321" s="8" t="s">
        <v>57</v>
      </c>
      <c r="D321" s="8" t="s">
        <v>200</v>
      </c>
      <c r="E321" s="8" t="s">
        <v>58</v>
      </c>
      <c r="F321" s="8" t="s">
        <v>1584</v>
      </c>
      <c r="G321" s="8" t="s">
        <v>1768</v>
      </c>
      <c r="H321" s="8" t="s">
        <v>1874</v>
      </c>
      <c r="I321" s="22"/>
    </row>
    <row r="322" spans="1:9" ht="14.6" x14ac:dyDescent="0.4">
      <c r="A322" s="8" t="s">
        <v>56</v>
      </c>
      <c r="B322" s="8" t="s">
        <v>1103</v>
      </c>
      <c r="C322" s="8" t="s">
        <v>57</v>
      </c>
      <c r="D322" s="8" t="s">
        <v>1080</v>
      </c>
      <c r="E322" s="8" t="s">
        <v>58</v>
      </c>
      <c r="F322" s="8" t="s">
        <v>1584</v>
      </c>
      <c r="G322" s="8" t="s">
        <v>1768</v>
      </c>
      <c r="H322" s="8" t="s">
        <v>1874</v>
      </c>
      <c r="I322" s="22"/>
    </row>
    <row r="323" spans="1:9" ht="14.6" x14ac:dyDescent="0.4">
      <c r="A323" s="8" t="s">
        <v>56</v>
      </c>
      <c r="B323" s="8" t="s">
        <v>1111</v>
      </c>
      <c r="C323" s="8" t="s">
        <v>57</v>
      </c>
      <c r="D323" s="8" t="s">
        <v>1029</v>
      </c>
      <c r="E323" s="8" t="s">
        <v>58</v>
      </c>
      <c r="F323" s="8" t="s">
        <v>1584</v>
      </c>
      <c r="G323" s="8" t="s">
        <v>1768</v>
      </c>
      <c r="H323" s="8" t="s">
        <v>1874</v>
      </c>
      <c r="I323" s="22"/>
    </row>
    <row r="324" spans="1:9" ht="14.6" x14ac:dyDescent="0.4">
      <c r="A324" s="8" t="s">
        <v>56</v>
      </c>
      <c r="B324" s="8" t="s">
        <v>1213</v>
      </c>
      <c r="C324" s="8" t="s">
        <v>57</v>
      </c>
      <c r="D324" s="8" t="s">
        <v>1156</v>
      </c>
      <c r="E324" s="8" t="s">
        <v>58</v>
      </c>
      <c r="F324" s="8" t="s">
        <v>1584</v>
      </c>
      <c r="G324" s="8" t="s">
        <v>1768</v>
      </c>
      <c r="H324" s="8" t="s">
        <v>1874</v>
      </c>
      <c r="I324" s="22"/>
    </row>
    <row r="325" spans="1:9" ht="14.6" x14ac:dyDescent="0.4">
      <c r="A325" s="8" t="s">
        <v>56</v>
      </c>
      <c r="B325" s="8" t="s">
        <v>1247</v>
      </c>
      <c r="C325" s="8" t="s">
        <v>57</v>
      </c>
      <c r="D325" s="8" t="s">
        <v>1145</v>
      </c>
      <c r="E325" s="8" t="s">
        <v>58</v>
      </c>
      <c r="F325" s="8" t="s">
        <v>1584</v>
      </c>
      <c r="G325" s="8" t="s">
        <v>1768</v>
      </c>
      <c r="H325" s="8" t="s">
        <v>1874</v>
      </c>
      <c r="I325" s="22"/>
    </row>
    <row r="326" spans="1:9" ht="14.6" x14ac:dyDescent="0.4">
      <c r="A326" s="8" t="s">
        <v>111</v>
      </c>
      <c r="B326" s="8" t="s">
        <v>159</v>
      </c>
      <c r="C326" s="8" t="s">
        <v>112</v>
      </c>
      <c r="D326" s="8" t="s">
        <v>160</v>
      </c>
      <c r="E326" s="8" t="s">
        <v>58</v>
      </c>
      <c r="F326" s="8" t="s">
        <v>1584</v>
      </c>
      <c r="G326" s="8" t="s">
        <v>1768</v>
      </c>
      <c r="H326" s="8" t="s">
        <v>1874</v>
      </c>
      <c r="I326" s="22"/>
    </row>
    <row r="327" spans="1:9" ht="14.6" x14ac:dyDescent="0.4">
      <c r="A327" s="8" t="s">
        <v>111</v>
      </c>
      <c r="B327" s="8" t="s">
        <v>199</v>
      </c>
      <c r="C327" s="8" t="s">
        <v>112</v>
      </c>
      <c r="D327" s="8" t="s">
        <v>200</v>
      </c>
      <c r="E327" s="8" t="s">
        <v>58</v>
      </c>
      <c r="F327" s="8" t="s">
        <v>1584</v>
      </c>
      <c r="G327" s="8" t="s">
        <v>1768</v>
      </c>
      <c r="H327" s="8" t="s">
        <v>1874</v>
      </c>
      <c r="I327" s="22"/>
    </row>
    <row r="328" spans="1:9" ht="14.6" x14ac:dyDescent="0.4">
      <c r="A328" s="8" t="s">
        <v>111</v>
      </c>
      <c r="B328" s="8" t="s">
        <v>1103</v>
      </c>
      <c r="C328" s="8" t="s">
        <v>112</v>
      </c>
      <c r="D328" s="8" t="s">
        <v>1080</v>
      </c>
      <c r="E328" s="8" t="s">
        <v>58</v>
      </c>
      <c r="F328" s="8" t="s">
        <v>1584</v>
      </c>
      <c r="G328" s="8" t="s">
        <v>1768</v>
      </c>
      <c r="H328" s="8" t="s">
        <v>1874</v>
      </c>
      <c r="I328" s="22"/>
    </row>
    <row r="329" spans="1:9" ht="14.6" x14ac:dyDescent="0.4">
      <c r="A329" s="8" t="s">
        <v>111</v>
      </c>
      <c r="B329" s="8" t="s">
        <v>1111</v>
      </c>
      <c r="C329" s="8" t="s">
        <v>112</v>
      </c>
      <c r="D329" s="8" t="s">
        <v>1029</v>
      </c>
      <c r="E329" s="8" t="s">
        <v>58</v>
      </c>
      <c r="F329" s="8" t="s">
        <v>1584</v>
      </c>
      <c r="G329" s="8" t="s">
        <v>1768</v>
      </c>
      <c r="H329" s="8" t="s">
        <v>1874</v>
      </c>
      <c r="I329" s="22"/>
    </row>
    <row r="330" spans="1:9" ht="14.6" x14ac:dyDescent="0.4">
      <c r="A330" s="8" t="s">
        <v>111</v>
      </c>
      <c r="B330" s="8" t="s">
        <v>1213</v>
      </c>
      <c r="C330" s="8" t="s">
        <v>112</v>
      </c>
      <c r="D330" s="8" t="s">
        <v>1156</v>
      </c>
      <c r="E330" s="8" t="s">
        <v>58</v>
      </c>
      <c r="F330" s="8" t="s">
        <v>1584</v>
      </c>
      <c r="G330" s="8" t="s">
        <v>1768</v>
      </c>
      <c r="H330" s="8" t="s">
        <v>1874</v>
      </c>
      <c r="I330" s="22"/>
    </row>
    <row r="331" spans="1:9" ht="14.6" x14ac:dyDescent="0.4">
      <c r="A331" s="8" t="s">
        <v>111</v>
      </c>
      <c r="B331" s="8" t="s">
        <v>1247</v>
      </c>
      <c r="C331" s="8" t="s">
        <v>112</v>
      </c>
      <c r="D331" s="8" t="s">
        <v>1145</v>
      </c>
      <c r="E331" s="8" t="s">
        <v>58</v>
      </c>
      <c r="F331" s="8" t="s">
        <v>1584</v>
      </c>
      <c r="G331" s="8" t="s">
        <v>1768</v>
      </c>
      <c r="H331" s="8" t="s">
        <v>1874</v>
      </c>
      <c r="I331" s="22"/>
    </row>
    <row r="332" spans="1:9" ht="14.6" x14ac:dyDescent="0.4">
      <c r="A332" s="8" t="s">
        <v>159</v>
      </c>
      <c r="B332" s="8" t="s">
        <v>199</v>
      </c>
      <c r="C332" s="8" t="s">
        <v>160</v>
      </c>
      <c r="D332" s="8" t="s">
        <v>200</v>
      </c>
      <c r="E332" s="8" t="s">
        <v>58</v>
      </c>
      <c r="F332" s="8" t="s">
        <v>1584</v>
      </c>
      <c r="G332" s="8" t="s">
        <v>1768</v>
      </c>
      <c r="H332" s="8" t="s">
        <v>1874</v>
      </c>
      <c r="I332" s="22"/>
    </row>
    <row r="333" spans="1:9" ht="14.6" x14ac:dyDescent="0.4">
      <c r="A333" s="8" t="s">
        <v>159</v>
      </c>
      <c r="B333" s="8" t="s">
        <v>1103</v>
      </c>
      <c r="C333" s="8" t="s">
        <v>160</v>
      </c>
      <c r="D333" s="8" t="s">
        <v>1080</v>
      </c>
      <c r="E333" s="8" t="s">
        <v>58</v>
      </c>
      <c r="F333" s="8" t="s">
        <v>1584</v>
      </c>
      <c r="G333" s="8" t="s">
        <v>1768</v>
      </c>
      <c r="H333" s="8" t="s">
        <v>1874</v>
      </c>
      <c r="I333" s="22"/>
    </row>
    <row r="334" spans="1:9" ht="14.6" x14ac:dyDescent="0.4">
      <c r="A334" s="8" t="s">
        <v>159</v>
      </c>
      <c r="B334" s="8" t="s">
        <v>1111</v>
      </c>
      <c r="C334" s="8" t="s">
        <v>160</v>
      </c>
      <c r="D334" s="8" t="s">
        <v>1029</v>
      </c>
      <c r="E334" s="8" t="s">
        <v>58</v>
      </c>
      <c r="F334" s="8" t="s">
        <v>1584</v>
      </c>
      <c r="G334" s="8" t="s">
        <v>1768</v>
      </c>
      <c r="H334" s="8" t="s">
        <v>1874</v>
      </c>
      <c r="I334" s="22"/>
    </row>
    <row r="335" spans="1:9" ht="14.6" x14ac:dyDescent="0.4">
      <c r="A335" s="8" t="s">
        <v>159</v>
      </c>
      <c r="B335" s="8" t="s">
        <v>1213</v>
      </c>
      <c r="C335" s="8" t="s">
        <v>160</v>
      </c>
      <c r="D335" s="8" t="s">
        <v>1156</v>
      </c>
      <c r="E335" s="8" t="s">
        <v>58</v>
      </c>
      <c r="F335" s="8" t="s">
        <v>1584</v>
      </c>
      <c r="G335" s="8" t="s">
        <v>1768</v>
      </c>
      <c r="H335" s="8" t="s">
        <v>1874</v>
      </c>
      <c r="I335" s="22"/>
    </row>
    <row r="336" spans="1:9" ht="14.6" x14ac:dyDescent="0.4">
      <c r="A336" s="8" t="s">
        <v>159</v>
      </c>
      <c r="B336" s="8" t="s">
        <v>1247</v>
      </c>
      <c r="C336" s="8" t="s">
        <v>160</v>
      </c>
      <c r="D336" s="8" t="s">
        <v>1145</v>
      </c>
      <c r="E336" s="8" t="s">
        <v>58</v>
      </c>
      <c r="F336" s="8" t="s">
        <v>1584</v>
      </c>
      <c r="G336" s="8" t="s">
        <v>1768</v>
      </c>
      <c r="H336" s="8" t="s">
        <v>1874</v>
      </c>
      <c r="I336" s="22"/>
    </row>
    <row r="337" spans="1:9" ht="14.6" x14ac:dyDescent="0.4">
      <c r="A337" s="8" t="s">
        <v>199</v>
      </c>
      <c r="B337" s="8" t="s">
        <v>1103</v>
      </c>
      <c r="C337" s="8" t="s">
        <v>200</v>
      </c>
      <c r="D337" s="8" t="s">
        <v>1080</v>
      </c>
      <c r="E337" s="8" t="s">
        <v>58</v>
      </c>
      <c r="F337" s="8" t="s">
        <v>1584</v>
      </c>
      <c r="G337" s="8" t="s">
        <v>1768</v>
      </c>
      <c r="H337" s="8" t="s">
        <v>1874</v>
      </c>
      <c r="I337" s="22"/>
    </row>
    <row r="338" spans="1:9" ht="14.6" x14ac:dyDescent="0.4">
      <c r="A338" s="8" t="s">
        <v>199</v>
      </c>
      <c r="B338" s="8" t="s">
        <v>1111</v>
      </c>
      <c r="C338" s="8" t="s">
        <v>200</v>
      </c>
      <c r="D338" s="8" t="s">
        <v>1029</v>
      </c>
      <c r="E338" s="8" t="s">
        <v>58</v>
      </c>
      <c r="F338" s="8" t="s">
        <v>1584</v>
      </c>
      <c r="G338" s="8" t="s">
        <v>1768</v>
      </c>
      <c r="H338" s="8" t="s">
        <v>1874</v>
      </c>
      <c r="I338" s="22"/>
    </row>
    <row r="339" spans="1:9" ht="14.6" x14ac:dyDescent="0.4">
      <c r="A339" s="8" t="s">
        <v>199</v>
      </c>
      <c r="B339" s="8" t="s">
        <v>1213</v>
      </c>
      <c r="C339" s="8" t="s">
        <v>200</v>
      </c>
      <c r="D339" s="8" t="s">
        <v>1156</v>
      </c>
      <c r="E339" s="8" t="s">
        <v>58</v>
      </c>
      <c r="F339" s="8" t="s">
        <v>1584</v>
      </c>
      <c r="G339" s="8" t="s">
        <v>1768</v>
      </c>
      <c r="H339" s="8" t="s">
        <v>1874</v>
      </c>
      <c r="I339" s="22"/>
    </row>
    <row r="340" spans="1:9" ht="14.6" x14ac:dyDescent="0.4">
      <c r="A340" s="8" t="s">
        <v>199</v>
      </c>
      <c r="B340" s="8" t="s">
        <v>1247</v>
      </c>
      <c r="C340" s="8" t="s">
        <v>200</v>
      </c>
      <c r="D340" s="8" t="s">
        <v>1145</v>
      </c>
      <c r="E340" s="8" t="s">
        <v>58</v>
      </c>
      <c r="F340" s="8" t="s">
        <v>1584</v>
      </c>
      <c r="G340" s="8" t="s">
        <v>1768</v>
      </c>
      <c r="H340" s="8" t="s">
        <v>1874</v>
      </c>
      <c r="I340" s="22"/>
    </row>
    <row r="341" spans="1:9" ht="14.6" x14ac:dyDescent="0.4">
      <c r="A341" s="8" t="s">
        <v>1103</v>
      </c>
      <c r="B341" s="8" t="s">
        <v>1213</v>
      </c>
      <c r="C341" s="8" t="s">
        <v>1080</v>
      </c>
      <c r="D341" s="8" t="s">
        <v>1156</v>
      </c>
      <c r="E341" s="8" t="s">
        <v>58</v>
      </c>
      <c r="F341" s="8" t="s">
        <v>1584</v>
      </c>
      <c r="G341" s="8" t="s">
        <v>1768</v>
      </c>
      <c r="H341" s="8" t="s">
        <v>1874</v>
      </c>
      <c r="I341" s="22"/>
    </row>
    <row r="342" spans="1:9" ht="14.6" x14ac:dyDescent="0.4">
      <c r="A342" s="8" t="s">
        <v>1103</v>
      </c>
      <c r="B342" s="8" t="s">
        <v>1247</v>
      </c>
      <c r="C342" s="8" t="s">
        <v>1080</v>
      </c>
      <c r="D342" s="8" t="s">
        <v>1145</v>
      </c>
      <c r="E342" s="8" t="s">
        <v>58</v>
      </c>
      <c r="F342" s="8" t="s">
        <v>1584</v>
      </c>
      <c r="G342" s="8" t="s">
        <v>1768</v>
      </c>
      <c r="H342" s="8" t="s">
        <v>1874</v>
      </c>
      <c r="I342" s="22"/>
    </row>
    <row r="343" spans="1:9" ht="14.6" x14ac:dyDescent="0.4">
      <c r="A343" s="8" t="s">
        <v>1111</v>
      </c>
      <c r="B343" s="8" t="s">
        <v>1213</v>
      </c>
      <c r="C343" s="8" t="s">
        <v>1029</v>
      </c>
      <c r="D343" s="8" t="s">
        <v>1156</v>
      </c>
      <c r="E343" s="8" t="s">
        <v>58</v>
      </c>
      <c r="F343" s="8" t="s">
        <v>1584</v>
      </c>
      <c r="G343" s="8" t="s">
        <v>1768</v>
      </c>
      <c r="H343" s="8" t="s">
        <v>1874</v>
      </c>
      <c r="I343" s="22"/>
    </row>
    <row r="344" spans="1:9" ht="14.6" x14ac:dyDescent="0.4">
      <c r="A344" s="8" t="s">
        <v>1111</v>
      </c>
      <c r="B344" s="8" t="s">
        <v>1247</v>
      </c>
      <c r="C344" s="8" t="s">
        <v>1029</v>
      </c>
      <c r="D344" s="8" t="s">
        <v>1145</v>
      </c>
      <c r="E344" s="8" t="s">
        <v>58</v>
      </c>
      <c r="F344" s="8" t="s">
        <v>1584</v>
      </c>
      <c r="G344" s="8" t="s">
        <v>1768</v>
      </c>
      <c r="H344" s="8" t="s">
        <v>1874</v>
      </c>
      <c r="I344" s="22"/>
    </row>
    <row r="345" spans="1:9" ht="14.6" x14ac:dyDescent="0.4">
      <c r="A345" s="8" t="s">
        <v>1352</v>
      </c>
      <c r="B345" s="8" t="s">
        <v>1424</v>
      </c>
      <c r="C345" s="8" t="s">
        <v>1353</v>
      </c>
      <c r="D345" s="8" t="s">
        <v>1359</v>
      </c>
      <c r="E345" s="8" t="s">
        <v>12</v>
      </c>
      <c r="F345" s="8" t="s">
        <v>1580</v>
      </c>
      <c r="G345" s="8" t="s">
        <v>1585</v>
      </c>
      <c r="H345" s="8" t="s">
        <v>1921</v>
      </c>
      <c r="I345" s="8" t="s">
        <v>1922</v>
      </c>
    </row>
    <row r="346" spans="1:9" ht="14.6" x14ac:dyDescent="0.4">
      <c r="A346" s="8" t="s">
        <v>1034</v>
      </c>
      <c r="B346" s="8" t="s">
        <v>1079</v>
      </c>
      <c r="C346" s="8" t="s">
        <v>1035</v>
      </c>
      <c r="D346" s="8" t="s">
        <v>1080</v>
      </c>
      <c r="E346" s="8" t="s">
        <v>12</v>
      </c>
      <c r="F346" s="8" t="s">
        <v>1580</v>
      </c>
      <c r="G346" s="8" t="s">
        <v>1585</v>
      </c>
      <c r="H346" s="8" t="s">
        <v>1923</v>
      </c>
      <c r="I346" s="8" t="s">
        <v>1924</v>
      </c>
    </row>
    <row r="347" spans="1:9" ht="14.6" x14ac:dyDescent="0.4">
      <c r="A347" s="8" t="s">
        <v>10</v>
      </c>
      <c r="B347" s="8" t="s">
        <v>30</v>
      </c>
      <c r="C347" s="8" t="s">
        <v>11</v>
      </c>
      <c r="D347" s="8" t="s">
        <v>31</v>
      </c>
      <c r="E347" s="8" t="s">
        <v>12</v>
      </c>
      <c r="F347" s="8" t="s">
        <v>1584</v>
      </c>
      <c r="G347" s="8" t="s">
        <v>1768</v>
      </c>
      <c r="H347" s="8" t="s">
        <v>1874</v>
      </c>
      <c r="I347" s="22"/>
    </row>
    <row r="348" spans="1:9" ht="14.6" x14ac:dyDescent="0.4">
      <c r="A348" s="8" t="s">
        <v>10</v>
      </c>
      <c r="B348" s="8" t="s">
        <v>37</v>
      </c>
      <c r="C348" s="8" t="s">
        <v>11</v>
      </c>
      <c r="D348" s="8" t="s">
        <v>38</v>
      </c>
      <c r="E348" s="8" t="s">
        <v>12</v>
      </c>
      <c r="F348" s="8" t="s">
        <v>1584</v>
      </c>
      <c r="G348" s="8" t="s">
        <v>1768</v>
      </c>
      <c r="H348" s="8" t="s">
        <v>1874</v>
      </c>
      <c r="I348" s="22"/>
    </row>
    <row r="349" spans="1:9" ht="14.6" x14ac:dyDescent="0.4">
      <c r="A349" s="8" t="s">
        <v>10</v>
      </c>
      <c r="B349" s="8" t="s">
        <v>59</v>
      </c>
      <c r="C349" s="8" t="s">
        <v>11</v>
      </c>
      <c r="D349" s="8" t="s">
        <v>60</v>
      </c>
      <c r="E349" s="8" t="s">
        <v>12</v>
      </c>
      <c r="F349" s="8" t="s">
        <v>1584</v>
      </c>
      <c r="G349" s="8" t="s">
        <v>1768</v>
      </c>
      <c r="H349" s="8" t="s">
        <v>1874</v>
      </c>
      <c r="I349" s="22"/>
    </row>
    <row r="350" spans="1:9" ht="14.6" x14ac:dyDescent="0.4">
      <c r="A350" s="8" t="s">
        <v>10</v>
      </c>
      <c r="B350" s="8" t="s">
        <v>1352</v>
      </c>
      <c r="C350" s="8" t="s">
        <v>11</v>
      </c>
      <c r="D350" s="8" t="s">
        <v>1353</v>
      </c>
      <c r="E350" s="8" t="s">
        <v>12</v>
      </c>
      <c r="F350" s="8" t="s">
        <v>1584</v>
      </c>
      <c r="G350" s="8" t="s">
        <v>1768</v>
      </c>
      <c r="H350" s="8" t="s">
        <v>1874</v>
      </c>
      <c r="I350" s="22"/>
    </row>
    <row r="351" spans="1:9" ht="14.6" x14ac:dyDescent="0.4">
      <c r="A351" s="8" t="s">
        <v>10</v>
      </c>
      <c r="B351" s="8" t="s">
        <v>1424</v>
      </c>
      <c r="C351" s="8" t="s">
        <v>11</v>
      </c>
      <c r="D351" s="8" t="s">
        <v>1359</v>
      </c>
      <c r="E351" s="8" t="s">
        <v>12</v>
      </c>
      <c r="F351" s="8" t="s">
        <v>1584</v>
      </c>
      <c r="G351" s="8" t="s">
        <v>1768</v>
      </c>
      <c r="H351" s="8" t="s">
        <v>1874</v>
      </c>
      <c r="I351" s="22"/>
    </row>
    <row r="352" spans="1:9" ht="14.6" x14ac:dyDescent="0.4">
      <c r="A352" s="8" t="s">
        <v>10</v>
      </c>
      <c r="B352" s="8" t="s">
        <v>1034</v>
      </c>
      <c r="C352" s="8" t="s">
        <v>11</v>
      </c>
      <c r="D352" s="8" t="s">
        <v>1035</v>
      </c>
      <c r="E352" s="8" t="s">
        <v>12</v>
      </c>
      <c r="F352" s="8" t="s">
        <v>1584</v>
      </c>
      <c r="G352" s="8" t="s">
        <v>1768</v>
      </c>
      <c r="H352" s="8" t="s">
        <v>1874</v>
      </c>
      <c r="I352" s="22"/>
    </row>
    <row r="353" spans="1:9" ht="14.6" x14ac:dyDescent="0.4">
      <c r="A353" s="8" t="s">
        <v>10</v>
      </c>
      <c r="B353" s="8" t="s">
        <v>1079</v>
      </c>
      <c r="C353" s="8" t="s">
        <v>11</v>
      </c>
      <c r="D353" s="8" t="s">
        <v>1080</v>
      </c>
      <c r="E353" s="8" t="s">
        <v>12</v>
      </c>
      <c r="F353" s="8" t="s">
        <v>1584</v>
      </c>
      <c r="G353" s="8" t="s">
        <v>1768</v>
      </c>
      <c r="H353" s="8" t="s">
        <v>1874</v>
      </c>
      <c r="I353" s="22"/>
    </row>
    <row r="354" spans="1:9" ht="14.6" x14ac:dyDescent="0.4">
      <c r="A354" s="8" t="s">
        <v>30</v>
      </c>
      <c r="B354" s="8" t="s">
        <v>37</v>
      </c>
      <c r="C354" s="8" t="s">
        <v>31</v>
      </c>
      <c r="D354" s="8" t="s">
        <v>38</v>
      </c>
      <c r="E354" s="8" t="s">
        <v>12</v>
      </c>
      <c r="F354" s="8" t="s">
        <v>1584</v>
      </c>
      <c r="G354" s="8" t="s">
        <v>1768</v>
      </c>
      <c r="H354" s="8" t="s">
        <v>1874</v>
      </c>
      <c r="I354" s="22"/>
    </row>
    <row r="355" spans="1:9" ht="14.6" x14ac:dyDescent="0.4">
      <c r="A355" s="8" t="s">
        <v>30</v>
      </c>
      <c r="B355" s="8" t="s">
        <v>59</v>
      </c>
      <c r="C355" s="8" t="s">
        <v>31</v>
      </c>
      <c r="D355" s="8" t="s">
        <v>60</v>
      </c>
      <c r="E355" s="8" t="s">
        <v>12</v>
      </c>
      <c r="F355" s="8" t="s">
        <v>1584</v>
      </c>
      <c r="G355" s="8" t="s">
        <v>1768</v>
      </c>
      <c r="H355" s="8" t="s">
        <v>1874</v>
      </c>
      <c r="I355" s="22"/>
    </row>
    <row r="356" spans="1:9" ht="14.6" x14ac:dyDescent="0.4">
      <c r="A356" s="8" t="s">
        <v>30</v>
      </c>
      <c r="B356" s="8" t="s">
        <v>1352</v>
      </c>
      <c r="C356" s="8" t="s">
        <v>31</v>
      </c>
      <c r="D356" s="8" t="s">
        <v>1353</v>
      </c>
      <c r="E356" s="8" t="s">
        <v>12</v>
      </c>
      <c r="F356" s="8" t="s">
        <v>1584</v>
      </c>
      <c r="G356" s="8" t="s">
        <v>1768</v>
      </c>
      <c r="H356" s="8" t="s">
        <v>1874</v>
      </c>
      <c r="I356" s="22"/>
    </row>
    <row r="357" spans="1:9" ht="14.6" x14ac:dyDescent="0.4">
      <c r="A357" s="8" t="s">
        <v>30</v>
      </c>
      <c r="B357" s="8" t="s">
        <v>1424</v>
      </c>
      <c r="C357" s="8" t="s">
        <v>31</v>
      </c>
      <c r="D357" s="8" t="s">
        <v>1359</v>
      </c>
      <c r="E357" s="8" t="s">
        <v>12</v>
      </c>
      <c r="F357" s="8" t="s">
        <v>1584</v>
      </c>
      <c r="G357" s="8" t="s">
        <v>1768</v>
      </c>
      <c r="H357" s="8" t="s">
        <v>1874</v>
      </c>
      <c r="I357" s="22"/>
    </row>
    <row r="358" spans="1:9" ht="14.6" x14ac:dyDescent="0.4">
      <c r="A358" s="8" t="s">
        <v>30</v>
      </c>
      <c r="B358" s="8" t="s">
        <v>1034</v>
      </c>
      <c r="C358" s="8" t="s">
        <v>31</v>
      </c>
      <c r="D358" s="8" t="s">
        <v>1035</v>
      </c>
      <c r="E358" s="8" t="s">
        <v>12</v>
      </c>
      <c r="F358" s="8" t="s">
        <v>1584</v>
      </c>
      <c r="G358" s="8" t="s">
        <v>1768</v>
      </c>
      <c r="H358" s="8" t="s">
        <v>1874</v>
      </c>
      <c r="I358" s="22"/>
    </row>
    <row r="359" spans="1:9" ht="14.6" x14ac:dyDescent="0.4">
      <c r="A359" s="8" t="s">
        <v>30</v>
      </c>
      <c r="B359" s="8" t="s">
        <v>1079</v>
      </c>
      <c r="C359" s="8" t="s">
        <v>31</v>
      </c>
      <c r="D359" s="8" t="s">
        <v>1080</v>
      </c>
      <c r="E359" s="8" t="s">
        <v>12</v>
      </c>
      <c r="F359" s="8" t="s">
        <v>1584</v>
      </c>
      <c r="G359" s="8" t="s">
        <v>1768</v>
      </c>
      <c r="H359" s="8" t="s">
        <v>1874</v>
      </c>
      <c r="I359" s="22"/>
    </row>
    <row r="360" spans="1:9" ht="14.6" x14ac:dyDescent="0.4">
      <c r="A360" s="8" t="s">
        <v>37</v>
      </c>
      <c r="B360" s="8" t="s">
        <v>59</v>
      </c>
      <c r="C360" s="8" t="s">
        <v>38</v>
      </c>
      <c r="D360" s="8" t="s">
        <v>60</v>
      </c>
      <c r="E360" s="8" t="s">
        <v>12</v>
      </c>
      <c r="F360" s="8" t="s">
        <v>1584</v>
      </c>
      <c r="G360" s="8" t="s">
        <v>1768</v>
      </c>
      <c r="H360" s="8" t="s">
        <v>1874</v>
      </c>
      <c r="I360" s="22"/>
    </row>
    <row r="361" spans="1:9" ht="14.6" x14ac:dyDescent="0.4">
      <c r="A361" s="8" t="s">
        <v>37</v>
      </c>
      <c r="B361" s="8" t="s">
        <v>1352</v>
      </c>
      <c r="C361" s="8" t="s">
        <v>38</v>
      </c>
      <c r="D361" s="8" t="s">
        <v>1353</v>
      </c>
      <c r="E361" s="8" t="s">
        <v>12</v>
      </c>
      <c r="F361" s="8" t="s">
        <v>1584</v>
      </c>
      <c r="G361" s="8" t="s">
        <v>1768</v>
      </c>
      <c r="H361" s="8" t="s">
        <v>1874</v>
      </c>
      <c r="I361" s="22"/>
    </row>
    <row r="362" spans="1:9" ht="14.6" x14ac:dyDescent="0.4">
      <c r="A362" s="8" t="s">
        <v>37</v>
      </c>
      <c r="B362" s="8" t="s">
        <v>1424</v>
      </c>
      <c r="C362" s="8" t="s">
        <v>38</v>
      </c>
      <c r="D362" s="8" t="s">
        <v>1359</v>
      </c>
      <c r="E362" s="8" t="s">
        <v>12</v>
      </c>
      <c r="F362" s="8" t="s">
        <v>1584</v>
      </c>
      <c r="G362" s="8" t="s">
        <v>1768</v>
      </c>
      <c r="H362" s="8" t="s">
        <v>1874</v>
      </c>
      <c r="I362" s="22"/>
    </row>
    <row r="363" spans="1:9" ht="14.6" x14ac:dyDescent="0.4">
      <c r="A363" s="8" t="s">
        <v>37</v>
      </c>
      <c r="B363" s="8" t="s">
        <v>1034</v>
      </c>
      <c r="C363" s="8" t="s">
        <v>38</v>
      </c>
      <c r="D363" s="8" t="s">
        <v>1035</v>
      </c>
      <c r="E363" s="8" t="s">
        <v>12</v>
      </c>
      <c r="F363" s="8" t="s">
        <v>1584</v>
      </c>
      <c r="G363" s="8" t="s">
        <v>1768</v>
      </c>
      <c r="H363" s="8" t="s">
        <v>1874</v>
      </c>
      <c r="I363" s="22"/>
    </row>
    <row r="364" spans="1:9" ht="14.6" x14ac:dyDescent="0.4">
      <c r="A364" s="8" t="s">
        <v>37</v>
      </c>
      <c r="B364" s="8" t="s">
        <v>1079</v>
      </c>
      <c r="C364" s="8" t="s">
        <v>38</v>
      </c>
      <c r="D364" s="8" t="s">
        <v>1080</v>
      </c>
      <c r="E364" s="8" t="s">
        <v>12</v>
      </c>
      <c r="F364" s="8" t="s">
        <v>1584</v>
      </c>
      <c r="G364" s="8" t="s">
        <v>1768</v>
      </c>
      <c r="H364" s="8" t="s">
        <v>1874</v>
      </c>
      <c r="I364" s="22"/>
    </row>
    <row r="365" spans="1:9" ht="14.6" x14ac:dyDescent="0.4">
      <c r="A365" s="8" t="s">
        <v>59</v>
      </c>
      <c r="B365" s="8" t="s">
        <v>1352</v>
      </c>
      <c r="C365" s="8" t="s">
        <v>60</v>
      </c>
      <c r="D365" s="8" t="s">
        <v>1353</v>
      </c>
      <c r="E365" s="8" t="s">
        <v>12</v>
      </c>
      <c r="F365" s="8" t="s">
        <v>1584</v>
      </c>
      <c r="G365" s="8" t="s">
        <v>1768</v>
      </c>
      <c r="H365" s="8" t="s">
        <v>1874</v>
      </c>
      <c r="I365" s="22"/>
    </row>
    <row r="366" spans="1:9" ht="14.6" x14ac:dyDescent="0.4">
      <c r="A366" s="8" t="s">
        <v>59</v>
      </c>
      <c r="B366" s="8" t="s">
        <v>1424</v>
      </c>
      <c r="C366" s="8" t="s">
        <v>60</v>
      </c>
      <c r="D366" s="8" t="s">
        <v>1359</v>
      </c>
      <c r="E366" s="8" t="s">
        <v>12</v>
      </c>
      <c r="F366" s="8" t="s">
        <v>1584</v>
      </c>
      <c r="G366" s="8" t="s">
        <v>1768</v>
      </c>
      <c r="H366" s="8" t="s">
        <v>1874</v>
      </c>
      <c r="I366" s="22"/>
    </row>
    <row r="367" spans="1:9" ht="14.6" x14ac:dyDescent="0.4">
      <c r="A367" s="8" t="s">
        <v>59</v>
      </c>
      <c r="B367" s="8" t="s">
        <v>1034</v>
      </c>
      <c r="C367" s="8" t="s">
        <v>60</v>
      </c>
      <c r="D367" s="8" t="s">
        <v>1035</v>
      </c>
      <c r="E367" s="8" t="s">
        <v>12</v>
      </c>
      <c r="F367" s="8" t="s">
        <v>1584</v>
      </c>
      <c r="G367" s="8" t="s">
        <v>1768</v>
      </c>
      <c r="H367" s="8" t="s">
        <v>1874</v>
      </c>
      <c r="I367" s="22"/>
    </row>
    <row r="368" spans="1:9" ht="14.6" x14ac:dyDescent="0.4">
      <c r="A368" s="8" t="s">
        <v>59</v>
      </c>
      <c r="B368" s="8" t="s">
        <v>1079</v>
      </c>
      <c r="C368" s="8" t="s">
        <v>60</v>
      </c>
      <c r="D368" s="8" t="s">
        <v>1080</v>
      </c>
      <c r="E368" s="8" t="s">
        <v>12</v>
      </c>
      <c r="F368" s="8" t="s">
        <v>1584</v>
      </c>
      <c r="G368" s="8" t="s">
        <v>1768</v>
      </c>
      <c r="H368" s="8" t="s">
        <v>1874</v>
      </c>
      <c r="I368" s="22"/>
    </row>
    <row r="369" spans="1:9" ht="14.6" x14ac:dyDescent="0.4">
      <c r="A369" s="8" t="s">
        <v>1352</v>
      </c>
      <c r="B369" s="8" t="s">
        <v>1034</v>
      </c>
      <c r="C369" s="8" t="s">
        <v>1353</v>
      </c>
      <c r="D369" s="8" t="s">
        <v>1035</v>
      </c>
      <c r="E369" s="8" t="s">
        <v>12</v>
      </c>
      <c r="F369" s="8" t="s">
        <v>1584</v>
      </c>
      <c r="G369" s="8" t="s">
        <v>1768</v>
      </c>
      <c r="H369" s="8" t="s">
        <v>1874</v>
      </c>
      <c r="I369" s="22"/>
    </row>
    <row r="370" spans="1:9" ht="14.6" x14ac:dyDescent="0.4">
      <c r="A370" s="8" t="s">
        <v>1352</v>
      </c>
      <c r="B370" s="8" t="s">
        <v>1079</v>
      </c>
      <c r="C370" s="8" t="s">
        <v>1353</v>
      </c>
      <c r="D370" s="8" t="s">
        <v>1080</v>
      </c>
      <c r="E370" s="8" t="s">
        <v>12</v>
      </c>
      <c r="F370" s="8" t="s">
        <v>1584</v>
      </c>
      <c r="G370" s="8" t="s">
        <v>1768</v>
      </c>
      <c r="H370" s="8" t="s">
        <v>1874</v>
      </c>
      <c r="I370" s="22"/>
    </row>
    <row r="371" spans="1:9" ht="14.6" x14ac:dyDescent="0.4">
      <c r="A371" s="8" t="s">
        <v>1424</v>
      </c>
      <c r="B371" s="8" t="s">
        <v>1034</v>
      </c>
      <c r="C371" s="8" t="s">
        <v>1359</v>
      </c>
      <c r="D371" s="8" t="s">
        <v>1035</v>
      </c>
      <c r="E371" s="8" t="s">
        <v>12</v>
      </c>
      <c r="F371" s="8" t="s">
        <v>1584</v>
      </c>
      <c r="G371" s="8" t="s">
        <v>1768</v>
      </c>
      <c r="H371" s="8" t="s">
        <v>1874</v>
      </c>
      <c r="I371" s="22"/>
    </row>
    <row r="372" spans="1:9" ht="14.6" x14ac:dyDescent="0.4">
      <c r="A372" s="8" t="s">
        <v>1424</v>
      </c>
      <c r="B372" s="8" t="s">
        <v>1079</v>
      </c>
      <c r="C372" s="8" t="s">
        <v>1359</v>
      </c>
      <c r="D372" s="8" t="s">
        <v>1080</v>
      </c>
      <c r="E372" s="8" t="s">
        <v>12</v>
      </c>
      <c r="F372" s="8" t="s">
        <v>1584</v>
      </c>
      <c r="G372" s="8" t="s">
        <v>1768</v>
      </c>
      <c r="H372" s="8" t="s">
        <v>1874</v>
      </c>
      <c r="I372" s="22"/>
    </row>
    <row r="373" spans="1:9" ht="12.45" x14ac:dyDescent="0.3">
      <c r="A373" s="7"/>
    </row>
    <row r="374" spans="1:9" ht="12.45" x14ac:dyDescent="0.3">
      <c r="A374" s="7"/>
    </row>
    <row r="375" spans="1:9" ht="12.45" x14ac:dyDescent="0.3">
      <c r="A375" s="7"/>
    </row>
    <row r="376" spans="1:9" ht="12.45" x14ac:dyDescent="0.3">
      <c r="A376" s="7"/>
    </row>
    <row r="377" spans="1:9" ht="12.45" x14ac:dyDescent="0.3">
      <c r="A377" s="7"/>
    </row>
    <row r="378" spans="1:9" ht="12.45" x14ac:dyDescent="0.3">
      <c r="A378" s="7"/>
    </row>
    <row r="379" spans="1:9" ht="12.45" x14ac:dyDescent="0.3">
      <c r="A379" s="7"/>
    </row>
    <row r="380" spans="1:9" ht="12.45" x14ac:dyDescent="0.3">
      <c r="A380" s="7"/>
    </row>
    <row r="381" spans="1:9" ht="12.45" x14ac:dyDescent="0.3">
      <c r="A381" s="7"/>
    </row>
    <row r="382" spans="1:9" ht="12.45" x14ac:dyDescent="0.3">
      <c r="A382" s="7"/>
    </row>
    <row r="383" spans="1:9" ht="12.45" x14ac:dyDescent="0.3">
      <c r="A383" s="7"/>
    </row>
    <row r="384" spans="1:9" ht="12.45" x14ac:dyDescent="0.3">
      <c r="A384" s="7"/>
    </row>
    <row r="385" spans="1:1" ht="12.45" x14ac:dyDescent="0.3">
      <c r="A385" s="7"/>
    </row>
    <row r="386" spans="1:1" ht="12.45" x14ac:dyDescent="0.3">
      <c r="A386" s="7"/>
    </row>
    <row r="387" spans="1:1" ht="12.45" x14ac:dyDescent="0.3">
      <c r="A387" s="7"/>
    </row>
    <row r="388" spans="1:1" ht="12.45" x14ac:dyDescent="0.3">
      <c r="A388" s="7"/>
    </row>
    <row r="389" spans="1:1" ht="12.45" x14ac:dyDescent="0.3">
      <c r="A389" s="7"/>
    </row>
    <row r="390" spans="1:1" ht="12.45" x14ac:dyDescent="0.3">
      <c r="A390" s="7"/>
    </row>
    <row r="391" spans="1:1" ht="12.45" x14ac:dyDescent="0.3">
      <c r="A391" s="7"/>
    </row>
    <row r="392" spans="1:1" ht="12.45" x14ac:dyDescent="0.3">
      <c r="A392" s="7"/>
    </row>
    <row r="393" spans="1:1" ht="12.45" x14ac:dyDescent="0.3">
      <c r="A393" s="7"/>
    </row>
    <row r="394" spans="1:1" ht="12.45" x14ac:dyDescent="0.3">
      <c r="A394" s="7"/>
    </row>
    <row r="395" spans="1:1" ht="12.45" x14ac:dyDescent="0.3">
      <c r="A395" s="7"/>
    </row>
    <row r="396" spans="1:1" ht="12.45" x14ac:dyDescent="0.3">
      <c r="A396" s="7"/>
    </row>
    <row r="397" spans="1:1" ht="12.45" x14ac:dyDescent="0.3">
      <c r="A397" s="7"/>
    </row>
    <row r="398" spans="1:1" ht="12.45" x14ac:dyDescent="0.3">
      <c r="A398" s="7"/>
    </row>
    <row r="399" spans="1:1" ht="12.45" x14ac:dyDescent="0.3">
      <c r="A399" s="7"/>
    </row>
    <row r="400" spans="1:1" ht="12.45" x14ac:dyDescent="0.3">
      <c r="A400" s="7"/>
    </row>
    <row r="401" spans="1:1" ht="12.45" x14ac:dyDescent="0.3">
      <c r="A401" s="7"/>
    </row>
    <row r="402" spans="1:1" ht="12.45" x14ac:dyDescent="0.3">
      <c r="A402" s="7"/>
    </row>
    <row r="403" spans="1:1" ht="12.45" x14ac:dyDescent="0.3">
      <c r="A403" s="7"/>
    </row>
    <row r="404" spans="1:1" ht="12.45" x14ac:dyDescent="0.3">
      <c r="A404" s="7"/>
    </row>
    <row r="405" spans="1:1" ht="12.45" x14ac:dyDescent="0.3">
      <c r="A405" s="7"/>
    </row>
    <row r="406" spans="1:1" ht="12.45" x14ac:dyDescent="0.3">
      <c r="A406" s="7"/>
    </row>
    <row r="407" spans="1:1" ht="12.45" x14ac:dyDescent="0.3">
      <c r="A407" s="7"/>
    </row>
    <row r="408" spans="1:1" ht="12.45" x14ac:dyDescent="0.3">
      <c r="A408" s="7"/>
    </row>
    <row r="409" spans="1:1" ht="12.45" x14ac:dyDescent="0.3">
      <c r="A409" s="7"/>
    </row>
    <row r="410" spans="1:1" ht="12.45" x14ac:dyDescent="0.3">
      <c r="A410" s="7"/>
    </row>
    <row r="411" spans="1:1" ht="12.45" x14ac:dyDescent="0.3">
      <c r="A411" s="7"/>
    </row>
    <row r="412" spans="1:1" ht="12.45" x14ac:dyDescent="0.3">
      <c r="A412" s="7"/>
    </row>
    <row r="413" spans="1:1" ht="12.45" x14ac:dyDescent="0.3">
      <c r="A413" s="7"/>
    </row>
    <row r="414" spans="1:1" ht="12.45" x14ac:dyDescent="0.3">
      <c r="A414" s="7"/>
    </row>
    <row r="415" spans="1:1" ht="12.45" x14ac:dyDescent="0.3">
      <c r="A415" s="7"/>
    </row>
    <row r="416" spans="1:1" ht="12.45" x14ac:dyDescent="0.3">
      <c r="A416" s="7"/>
    </row>
    <row r="417" spans="1:1" ht="12.45" x14ac:dyDescent="0.3">
      <c r="A417" s="7"/>
    </row>
    <row r="418" spans="1:1" ht="12.45" x14ac:dyDescent="0.3">
      <c r="A418" s="7"/>
    </row>
    <row r="419" spans="1:1" ht="12.45" x14ac:dyDescent="0.3">
      <c r="A419" s="7"/>
    </row>
    <row r="420" spans="1:1" ht="12.45" x14ac:dyDescent="0.3">
      <c r="A420" s="7"/>
    </row>
    <row r="421" spans="1:1" ht="12.45" x14ac:dyDescent="0.3">
      <c r="A421" s="7"/>
    </row>
    <row r="422" spans="1:1" ht="12.45" x14ac:dyDescent="0.3">
      <c r="A422" s="7"/>
    </row>
    <row r="423" spans="1:1" ht="12.45" x14ac:dyDescent="0.3">
      <c r="A423" s="7"/>
    </row>
    <row r="424" spans="1:1" ht="12.45" x14ac:dyDescent="0.3">
      <c r="A424" s="7"/>
    </row>
    <row r="425" spans="1:1" ht="12.45" x14ac:dyDescent="0.3">
      <c r="A425" s="7"/>
    </row>
    <row r="426" spans="1:1" ht="12.45" x14ac:dyDescent="0.3">
      <c r="A426" s="7"/>
    </row>
    <row r="427" spans="1:1" ht="12.45" x14ac:dyDescent="0.3">
      <c r="A427" s="7"/>
    </row>
    <row r="428" spans="1:1" ht="12.45" x14ac:dyDescent="0.3">
      <c r="A428" s="7"/>
    </row>
    <row r="429" spans="1:1" ht="12.45" x14ac:dyDescent="0.3">
      <c r="A429" s="7"/>
    </row>
    <row r="430" spans="1:1" ht="12.45" x14ac:dyDescent="0.3">
      <c r="A430" s="7"/>
    </row>
    <row r="431" spans="1:1" ht="12.45" x14ac:dyDescent="0.3">
      <c r="A431" s="7"/>
    </row>
    <row r="432" spans="1:1" ht="12.45" x14ac:dyDescent="0.3">
      <c r="A432" s="7"/>
    </row>
    <row r="433" spans="1:1" ht="12.45" x14ac:dyDescent="0.3">
      <c r="A433" s="7"/>
    </row>
    <row r="434" spans="1:1" ht="12.45" x14ac:dyDescent="0.3">
      <c r="A434" s="7"/>
    </row>
    <row r="435" spans="1:1" ht="12.45" x14ac:dyDescent="0.3">
      <c r="A435" s="7"/>
    </row>
    <row r="436" spans="1:1" ht="12.45" x14ac:dyDescent="0.3">
      <c r="A436" s="7"/>
    </row>
    <row r="437" spans="1:1" ht="12.45" x14ac:dyDescent="0.3">
      <c r="A437" s="7"/>
    </row>
    <row r="438" spans="1:1" ht="12.45" x14ac:dyDescent="0.3">
      <c r="A438" s="7"/>
    </row>
    <row r="439" spans="1:1" ht="12.45" x14ac:dyDescent="0.3">
      <c r="A439" s="7"/>
    </row>
    <row r="440" spans="1:1" ht="12.45" x14ac:dyDescent="0.3">
      <c r="A440" s="7"/>
    </row>
    <row r="441" spans="1:1" ht="12.45" x14ac:dyDescent="0.3">
      <c r="A441" s="7"/>
    </row>
    <row r="442" spans="1:1" ht="12.45" x14ac:dyDescent="0.3">
      <c r="A442" s="7"/>
    </row>
    <row r="443" spans="1:1" ht="12.45" x14ac:dyDescent="0.3">
      <c r="A443" s="7"/>
    </row>
    <row r="444" spans="1:1" ht="12.45" x14ac:dyDescent="0.3">
      <c r="A444" s="7"/>
    </row>
    <row r="445" spans="1:1" ht="12.45" x14ac:dyDescent="0.3">
      <c r="A445" s="7"/>
    </row>
    <row r="446" spans="1:1" ht="12.45" x14ac:dyDescent="0.3">
      <c r="A446" s="7"/>
    </row>
    <row r="447" spans="1:1" ht="12.45" x14ac:dyDescent="0.3">
      <c r="A447" s="7"/>
    </row>
    <row r="448" spans="1:1" ht="12.45" x14ac:dyDescent="0.3">
      <c r="A448" s="7"/>
    </row>
    <row r="449" spans="1:1" ht="12.45" x14ac:dyDescent="0.3">
      <c r="A449" s="7"/>
    </row>
    <row r="450" spans="1:1" ht="12.45" x14ac:dyDescent="0.3">
      <c r="A450" s="7"/>
    </row>
    <row r="451" spans="1:1" ht="12.45" x14ac:dyDescent="0.3">
      <c r="A451" s="7"/>
    </row>
    <row r="452" spans="1:1" ht="12.45" x14ac:dyDescent="0.3">
      <c r="A452" s="7"/>
    </row>
    <row r="453" spans="1:1" ht="12.45" x14ac:dyDescent="0.3">
      <c r="A453" s="7"/>
    </row>
    <row r="454" spans="1:1" ht="12.45" x14ac:dyDescent="0.3">
      <c r="A454" s="7"/>
    </row>
    <row r="455" spans="1:1" ht="12.45" x14ac:dyDescent="0.3">
      <c r="A455" s="7"/>
    </row>
    <row r="456" spans="1:1" ht="12.45" x14ac:dyDescent="0.3">
      <c r="A456" s="7"/>
    </row>
    <row r="457" spans="1:1" ht="12.45" x14ac:dyDescent="0.3">
      <c r="A457" s="7"/>
    </row>
    <row r="458" spans="1:1" ht="12.45" x14ac:dyDescent="0.3">
      <c r="A458" s="7"/>
    </row>
    <row r="459" spans="1:1" ht="12.45" x14ac:dyDescent="0.3">
      <c r="A459" s="7"/>
    </row>
    <row r="460" spans="1:1" ht="12.45" x14ac:dyDescent="0.3">
      <c r="A460" s="7"/>
    </row>
    <row r="461" spans="1:1" ht="12.45" x14ac:dyDescent="0.3">
      <c r="A461" s="7"/>
    </row>
    <row r="462" spans="1:1" ht="12.45" x14ac:dyDescent="0.3">
      <c r="A462" s="7"/>
    </row>
    <row r="463" spans="1:1" ht="12.45" x14ac:dyDescent="0.3">
      <c r="A463" s="7"/>
    </row>
    <row r="464" spans="1:1" ht="12.45" x14ac:dyDescent="0.3">
      <c r="A464" s="7"/>
    </row>
    <row r="465" spans="1:1" ht="12.45" x14ac:dyDescent="0.3">
      <c r="A465" s="7"/>
    </row>
    <row r="466" spans="1:1" ht="12.45" x14ac:dyDescent="0.3">
      <c r="A466" s="7"/>
    </row>
    <row r="467" spans="1:1" ht="12.45" x14ac:dyDescent="0.3">
      <c r="A467" s="7"/>
    </row>
    <row r="468" spans="1:1" ht="12.45" x14ac:dyDescent="0.3">
      <c r="A468" s="7"/>
    </row>
    <row r="469" spans="1:1" ht="12.45" x14ac:dyDescent="0.3">
      <c r="A469" s="7"/>
    </row>
    <row r="470" spans="1:1" ht="12.45" x14ac:dyDescent="0.3">
      <c r="A470" s="7"/>
    </row>
    <row r="471" spans="1:1" ht="12.45" x14ac:dyDescent="0.3">
      <c r="A471" s="7"/>
    </row>
    <row r="472" spans="1:1" ht="12.45" x14ac:dyDescent="0.3">
      <c r="A472" s="7"/>
    </row>
    <row r="473" spans="1:1" ht="12.45" x14ac:dyDescent="0.3">
      <c r="A473" s="7"/>
    </row>
    <row r="474" spans="1:1" ht="12.45" x14ac:dyDescent="0.3">
      <c r="A474" s="7"/>
    </row>
    <row r="475" spans="1:1" ht="12.45" x14ac:dyDescent="0.3">
      <c r="A475" s="7"/>
    </row>
    <row r="476" spans="1:1" ht="12.45" x14ac:dyDescent="0.3">
      <c r="A476" s="7"/>
    </row>
    <row r="477" spans="1:1" ht="12.45" x14ac:dyDescent="0.3">
      <c r="A477" s="7"/>
    </row>
    <row r="478" spans="1:1" ht="12.45" x14ac:dyDescent="0.3">
      <c r="A478" s="7"/>
    </row>
    <row r="479" spans="1:1" ht="12.45" x14ac:dyDescent="0.3">
      <c r="A479" s="7"/>
    </row>
    <row r="480" spans="1:1" ht="12.45" x14ac:dyDescent="0.3">
      <c r="A480" s="7"/>
    </row>
    <row r="481" spans="1:1" ht="12.45" x14ac:dyDescent="0.3">
      <c r="A481" s="7"/>
    </row>
    <row r="482" spans="1:1" ht="12.45" x14ac:dyDescent="0.3">
      <c r="A482" s="7"/>
    </row>
    <row r="483" spans="1:1" ht="12.45" x14ac:dyDescent="0.3">
      <c r="A483" s="7"/>
    </row>
    <row r="484" spans="1:1" ht="12.45" x14ac:dyDescent="0.3">
      <c r="A484" s="7"/>
    </row>
    <row r="485" spans="1:1" ht="12.45" x14ac:dyDescent="0.3">
      <c r="A485" s="7"/>
    </row>
    <row r="486" spans="1:1" ht="12.45" x14ac:dyDescent="0.3">
      <c r="A486" s="7"/>
    </row>
    <row r="487" spans="1:1" ht="12.45" x14ac:dyDescent="0.3">
      <c r="A487" s="7"/>
    </row>
    <row r="488" spans="1:1" ht="12.45" x14ac:dyDescent="0.3">
      <c r="A488" s="7"/>
    </row>
    <row r="489" spans="1:1" ht="12.45" x14ac:dyDescent="0.3">
      <c r="A489" s="7"/>
    </row>
    <row r="490" spans="1:1" ht="12.45" x14ac:dyDescent="0.3">
      <c r="A490" s="7"/>
    </row>
    <row r="491" spans="1:1" ht="12.45" x14ac:dyDescent="0.3">
      <c r="A491" s="7"/>
    </row>
    <row r="492" spans="1:1" ht="12.45" x14ac:dyDescent="0.3">
      <c r="A492" s="7"/>
    </row>
    <row r="493" spans="1:1" ht="12.45" x14ac:dyDescent="0.3">
      <c r="A493" s="7"/>
    </row>
    <row r="494" spans="1:1" ht="12.45" x14ac:dyDescent="0.3">
      <c r="A494" s="7"/>
    </row>
    <row r="495" spans="1:1" ht="12.45" x14ac:dyDescent="0.3">
      <c r="A495" s="7"/>
    </row>
    <row r="496" spans="1:1" ht="12.45" x14ac:dyDescent="0.3">
      <c r="A496" s="7"/>
    </row>
    <row r="497" spans="1:1" ht="12.45" x14ac:dyDescent="0.3">
      <c r="A497" s="7"/>
    </row>
    <row r="498" spans="1:1" ht="12.45" x14ac:dyDescent="0.3">
      <c r="A498" s="7"/>
    </row>
    <row r="499" spans="1:1" ht="12.45" x14ac:dyDescent="0.3">
      <c r="A499" s="7"/>
    </row>
    <row r="500" spans="1:1" ht="12.45" x14ac:dyDescent="0.3">
      <c r="A500" s="7"/>
    </row>
    <row r="501" spans="1:1" ht="12.45" x14ac:dyDescent="0.3">
      <c r="A501" s="7"/>
    </row>
    <row r="502" spans="1:1" ht="12.45" x14ac:dyDescent="0.3">
      <c r="A502" s="7"/>
    </row>
    <row r="503" spans="1:1" ht="12.45" x14ac:dyDescent="0.3">
      <c r="A503" s="7"/>
    </row>
    <row r="504" spans="1:1" ht="12.45" x14ac:dyDescent="0.3">
      <c r="A504" s="7"/>
    </row>
    <row r="505" spans="1:1" ht="12.45" x14ac:dyDescent="0.3">
      <c r="A505" s="7"/>
    </row>
    <row r="506" spans="1:1" ht="12.45" x14ac:dyDescent="0.3">
      <c r="A506" s="7"/>
    </row>
    <row r="507" spans="1:1" ht="12.45" x14ac:dyDescent="0.3">
      <c r="A507" s="7"/>
    </row>
    <row r="508" spans="1:1" ht="12.45" x14ac:dyDescent="0.3">
      <c r="A508" s="7"/>
    </row>
    <row r="509" spans="1:1" ht="12.45" x14ac:dyDescent="0.3">
      <c r="A509" s="7"/>
    </row>
    <row r="510" spans="1:1" ht="12.45" x14ac:dyDescent="0.3">
      <c r="A510" s="7"/>
    </row>
    <row r="511" spans="1:1" ht="12.45" x14ac:dyDescent="0.3">
      <c r="A511" s="7"/>
    </row>
    <row r="512" spans="1:1" ht="12.45" x14ac:dyDescent="0.3">
      <c r="A512" s="7"/>
    </row>
    <row r="513" spans="1:1" ht="12.45" x14ac:dyDescent="0.3">
      <c r="A513" s="7"/>
    </row>
    <row r="514" spans="1:1" ht="12.45" x14ac:dyDescent="0.3">
      <c r="A514" s="7"/>
    </row>
    <row r="515" spans="1:1" ht="12.45" x14ac:dyDescent="0.3">
      <c r="A515" s="7"/>
    </row>
    <row r="516" spans="1:1" ht="12.45" x14ac:dyDescent="0.3">
      <c r="A516" s="7"/>
    </row>
    <row r="517" spans="1:1" ht="12.45" x14ac:dyDescent="0.3">
      <c r="A517" s="7"/>
    </row>
    <row r="518" spans="1:1" ht="12.45" x14ac:dyDescent="0.3">
      <c r="A518" s="7"/>
    </row>
    <row r="519" spans="1:1" ht="12.45" x14ac:dyDescent="0.3">
      <c r="A519" s="7"/>
    </row>
    <row r="520" spans="1:1" ht="12.45" x14ac:dyDescent="0.3">
      <c r="A520" s="7"/>
    </row>
    <row r="521" spans="1:1" ht="12.45" x14ac:dyDescent="0.3">
      <c r="A521" s="7"/>
    </row>
    <row r="522" spans="1:1" ht="12.45" x14ac:dyDescent="0.3">
      <c r="A522" s="7"/>
    </row>
    <row r="523" spans="1:1" ht="12.45" x14ac:dyDescent="0.3">
      <c r="A523" s="7"/>
    </row>
    <row r="524" spans="1:1" ht="12.45" x14ac:dyDescent="0.3">
      <c r="A524" s="7"/>
    </row>
    <row r="525" spans="1:1" ht="12.45" x14ac:dyDescent="0.3">
      <c r="A525" s="7"/>
    </row>
    <row r="526" spans="1:1" ht="12.45" x14ac:dyDescent="0.3">
      <c r="A526" s="7"/>
    </row>
    <row r="527" spans="1:1" ht="12.45" x14ac:dyDescent="0.3">
      <c r="A527" s="7"/>
    </row>
    <row r="528" spans="1:1" ht="12.45" x14ac:dyDescent="0.3">
      <c r="A528" s="7"/>
    </row>
    <row r="529" spans="1:1" ht="12.45" x14ac:dyDescent="0.3">
      <c r="A529" s="7"/>
    </row>
    <row r="530" spans="1:1" ht="12.45" x14ac:dyDescent="0.3">
      <c r="A530" s="7"/>
    </row>
    <row r="531" spans="1:1" ht="12.45" x14ac:dyDescent="0.3">
      <c r="A531" s="7"/>
    </row>
    <row r="532" spans="1:1" ht="12.45" x14ac:dyDescent="0.3">
      <c r="A532" s="7"/>
    </row>
    <row r="533" spans="1:1" ht="12.45" x14ac:dyDescent="0.3">
      <c r="A533" s="7"/>
    </row>
    <row r="534" spans="1:1" ht="12.45" x14ac:dyDescent="0.3">
      <c r="A534" s="7"/>
    </row>
    <row r="535" spans="1:1" ht="12.45" x14ac:dyDescent="0.3">
      <c r="A535" s="7"/>
    </row>
    <row r="536" spans="1:1" ht="12.45" x14ac:dyDescent="0.3">
      <c r="A536" s="7"/>
    </row>
    <row r="537" spans="1:1" ht="12.45" x14ac:dyDescent="0.3">
      <c r="A537" s="7"/>
    </row>
    <row r="538" spans="1:1" ht="12.45" x14ac:dyDescent="0.3">
      <c r="A538" s="7"/>
    </row>
    <row r="539" spans="1:1" ht="12.45" x14ac:dyDescent="0.3">
      <c r="A539" s="7"/>
    </row>
    <row r="540" spans="1:1" ht="12.45" x14ac:dyDescent="0.3">
      <c r="A540" s="7"/>
    </row>
    <row r="541" spans="1:1" ht="12.45" x14ac:dyDescent="0.3">
      <c r="A541" s="7"/>
    </row>
    <row r="542" spans="1:1" ht="12.45" x14ac:dyDescent="0.3">
      <c r="A542" s="7"/>
    </row>
    <row r="543" spans="1:1" ht="12.45" x14ac:dyDescent="0.3">
      <c r="A543" s="7"/>
    </row>
    <row r="544" spans="1:1" ht="12.45" x14ac:dyDescent="0.3">
      <c r="A544" s="7"/>
    </row>
    <row r="545" spans="1:1" ht="12.45" x14ac:dyDescent="0.3">
      <c r="A545" s="7"/>
    </row>
    <row r="546" spans="1:1" ht="12.45" x14ac:dyDescent="0.3">
      <c r="A546" s="7"/>
    </row>
    <row r="547" spans="1:1" ht="12.45" x14ac:dyDescent="0.3">
      <c r="A547" s="7"/>
    </row>
    <row r="548" spans="1:1" ht="12.45" x14ac:dyDescent="0.3">
      <c r="A548" s="7"/>
    </row>
    <row r="549" spans="1:1" ht="12.45" x14ac:dyDescent="0.3">
      <c r="A549" s="7"/>
    </row>
    <row r="550" spans="1:1" ht="12.45" x14ac:dyDescent="0.3">
      <c r="A550" s="7"/>
    </row>
    <row r="551" spans="1:1" ht="12.45" x14ac:dyDescent="0.3">
      <c r="A551" s="7"/>
    </row>
    <row r="552" spans="1:1" ht="12.45" x14ac:dyDescent="0.3">
      <c r="A552" s="7"/>
    </row>
    <row r="553" spans="1:1" ht="12.45" x14ac:dyDescent="0.3">
      <c r="A553" s="7"/>
    </row>
    <row r="554" spans="1:1" ht="12.45" x14ac:dyDescent="0.3">
      <c r="A554" s="7"/>
    </row>
    <row r="555" spans="1:1" ht="12.45" x14ac:dyDescent="0.3">
      <c r="A555" s="7"/>
    </row>
    <row r="556" spans="1:1" ht="12.45" x14ac:dyDescent="0.3">
      <c r="A556" s="7"/>
    </row>
    <row r="557" spans="1:1" ht="12.45" x14ac:dyDescent="0.3">
      <c r="A557" s="7"/>
    </row>
    <row r="558" spans="1:1" ht="12.45" x14ac:dyDescent="0.3">
      <c r="A558" s="7"/>
    </row>
    <row r="559" spans="1:1" ht="12.45" x14ac:dyDescent="0.3">
      <c r="A559" s="7"/>
    </row>
    <row r="560" spans="1:1" ht="12.45" x14ac:dyDescent="0.3">
      <c r="A560" s="7"/>
    </row>
    <row r="561" spans="1:1" ht="12.45" x14ac:dyDescent="0.3">
      <c r="A561" s="7"/>
    </row>
    <row r="562" spans="1:1" ht="12.45" x14ac:dyDescent="0.3">
      <c r="A562" s="7"/>
    </row>
    <row r="563" spans="1:1" ht="12.45" x14ac:dyDescent="0.3">
      <c r="A563" s="7"/>
    </row>
    <row r="564" spans="1:1" ht="12.45" x14ac:dyDescent="0.3">
      <c r="A564" s="7"/>
    </row>
    <row r="565" spans="1:1" ht="12.45" x14ac:dyDescent="0.3">
      <c r="A565" s="7"/>
    </row>
    <row r="566" spans="1:1" ht="12.45" x14ac:dyDescent="0.3">
      <c r="A566" s="7"/>
    </row>
    <row r="567" spans="1:1" ht="12.45" x14ac:dyDescent="0.3">
      <c r="A567" s="7"/>
    </row>
    <row r="568" spans="1:1" ht="12.45" x14ac:dyDescent="0.3">
      <c r="A568" s="7"/>
    </row>
    <row r="569" spans="1:1" ht="12.45" x14ac:dyDescent="0.3">
      <c r="A569" s="7"/>
    </row>
    <row r="570" spans="1:1" ht="12.45" x14ac:dyDescent="0.3">
      <c r="A570" s="7"/>
    </row>
    <row r="571" spans="1:1" ht="12.45" x14ac:dyDescent="0.3">
      <c r="A571" s="7"/>
    </row>
    <row r="572" spans="1:1" ht="12.45" x14ac:dyDescent="0.3">
      <c r="A572" s="7"/>
    </row>
    <row r="573" spans="1:1" ht="12.45" x14ac:dyDescent="0.3">
      <c r="A573" s="7"/>
    </row>
    <row r="574" spans="1:1" ht="12.45" x14ac:dyDescent="0.3">
      <c r="A574" s="7"/>
    </row>
    <row r="575" spans="1:1" ht="12.45" x14ac:dyDescent="0.3">
      <c r="A575" s="7"/>
    </row>
    <row r="576" spans="1:1" ht="12.45" x14ac:dyDescent="0.3">
      <c r="A576" s="7"/>
    </row>
    <row r="577" spans="1:1" ht="12.45" x14ac:dyDescent="0.3">
      <c r="A577" s="7"/>
    </row>
    <row r="578" spans="1:1" ht="12.45" x14ac:dyDescent="0.3">
      <c r="A578" s="7"/>
    </row>
    <row r="579" spans="1:1" ht="12.45" x14ac:dyDescent="0.3">
      <c r="A579" s="7"/>
    </row>
    <row r="580" spans="1:1" ht="12.45" x14ac:dyDescent="0.3">
      <c r="A580" s="7"/>
    </row>
    <row r="581" spans="1:1" ht="12.45" x14ac:dyDescent="0.3">
      <c r="A581" s="7"/>
    </row>
    <row r="582" spans="1:1" ht="12.45" x14ac:dyDescent="0.3">
      <c r="A582" s="7"/>
    </row>
    <row r="583" spans="1:1" ht="12.45" x14ac:dyDescent="0.3">
      <c r="A583" s="7"/>
    </row>
    <row r="584" spans="1:1" ht="12.45" x14ac:dyDescent="0.3">
      <c r="A584" s="7"/>
    </row>
    <row r="585" spans="1:1" ht="12.45" x14ac:dyDescent="0.3">
      <c r="A585" s="7"/>
    </row>
    <row r="586" spans="1:1" ht="12.45" x14ac:dyDescent="0.3">
      <c r="A586" s="7"/>
    </row>
    <row r="587" spans="1:1" ht="12.45" x14ac:dyDescent="0.3">
      <c r="A587" s="7"/>
    </row>
    <row r="588" spans="1:1" ht="12.45" x14ac:dyDescent="0.3">
      <c r="A588" s="7"/>
    </row>
    <row r="589" spans="1:1" ht="12.45" x14ac:dyDescent="0.3">
      <c r="A589" s="7"/>
    </row>
    <row r="590" spans="1:1" ht="12.45" x14ac:dyDescent="0.3">
      <c r="A590" s="7"/>
    </row>
    <row r="591" spans="1:1" ht="12.45" x14ac:dyDescent="0.3">
      <c r="A591" s="7"/>
    </row>
    <row r="592" spans="1:1" ht="12.45" x14ac:dyDescent="0.3">
      <c r="A592" s="7"/>
    </row>
    <row r="593" spans="1:1" ht="12.45" x14ac:dyDescent="0.3">
      <c r="A593" s="7"/>
    </row>
    <row r="594" spans="1:1" ht="12.45" x14ac:dyDescent="0.3">
      <c r="A594" s="7"/>
    </row>
    <row r="595" spans="1:1" ht="12.45" x14ac:dyDescent="0.3">
      <c r="A595" s="7"/>
    </row>
    <row r="596" spans="1:1" ht="12.45" x14ac:dyDescent="0.3">
      <c r="A596" s="7"/>
    </row>
    <row r="597" spans="1:1" ht="12.45" x14ac:dyDescent="0.3">
      <c r="A597" s="7"/>
    </row>
    <row r="598" spans="1:1" ht="12.45" x14ac:dyDescent="0.3">
      <c r="A598" s="7"/>
    </row>
    <row r="599" spans="1:1" ht="12.45" x14ac:dyDescent="0.3">
      <c r="A599" s="7"/>
    </row>
    <row r="600" spans="1:1" ht="12.45" x14ac:dyDescent="0.3">
      <c r="A600" s="7"/>
    </row>
    <row r="601" spans="1:1" ht="12.45" x14ac:dyDescent="0.3">
      <c r="A601" s="7"/>
    </row>
    <row r="602" spans="1:1" ht="12.45" x14ac:dyDescent="0.3">
      <c r="A602" s="7"/>
    </row>
    <row r="603" spans="1:1" ht="12.45" x14ac:dyDescent="0.3">
      <c r="A603" s="7"/>
    </row>
    <row r="604" spans="1:1" ht="12.45" x14ac:dyDescent="0.3">
      <c r="A604" s="7"/>
    </row>
    <row r="605" spans="1:1" ht="12.45" x14ac:dyDescent="0.3">
      <c r="A605" s="7"/>
    </row>
    <row r="606" spans="1:1" ht="12.45" x14ac:dyDescent="0.3">
      <c r="A606" s="7"/>
    </row>
    <row r="607" spans="1:1" ht="12.45" x14ac:dyDescent="0.3">
      <c r="A607" s="7"/>
    </row>
    <row r="608" spans="1:1" ht="12.45" x14ac:dyDescent="0.3">
      <c r="A608" s="7"/>
    </row>
    <row r="609" spans="1:1" ht="12.45" x14ac:dyDescent="0.3">
      <c r="A609" s="7"/>
    </row>
    <row r="610" spans="1:1" ht="12.45" x14ac:dyDescent="0.3">
      <c r="A610" s="7"/>
    </row>
    <row r="611" spans="1:1" ht="12.45" x14ac:dyDescent="0.3">
      <c r="A611" s="7"/>
    </row>
    <row r="612" spans="1:1" ht="12.45" x14ac:dyDescent="0.3">
      <c r="A612" s="7"/>
    </row>
    <row r="613" spans="1:1" ht="12.45" x14ac:dyDescent="0.3">
      <c r="A613" s="7"/>
    </row>
    <row r="614" spans="1:1" ht="12.45" x14ac:dyDescent="0.3">
      <c r="A614" s="7"/>
    </row>
    <row r="615" spans="1:1" ht="12.45" x14ac:dyDescent="0.3">
      <c r="A615" s="7"/>
    </row>
    <row r="616" spans="1:1" ht="12.45" x14ac:dyDescent="0.3">
      <c r="A616" s="7"/>
    </row>
    <row r="617" spans="1:1" ht="12.45" x14ac:dyDescent="0.3">
      <c r="A617" s="7"/>
    </row>
    <row r="618" spans="1:1" ht="12.45" x14ac:dyDescent="0.3">
      <c r="A618" s="7"/>
    </row>
    <row r="619" spans="1:1" ht="12.45" x14ac:dyDescent="0.3">
      <c r="A619" s="7"/>
    </row>
    <row r="620" spans="1:1" ht="12.45" x14ac:dyDescent="0.3">
      <c r="A620" s="7"/>
    </row>
    <row r="621" spans="1:1" ht="12.45" x14ac:dyDescent="0.3">
      <c r="A621" s="7"/>
    </row>
    <row r="622" spans="1:1" ht="12.45" x14ac:dyDescent="0.3">
      <c r="A622" s="7"/>
    </row>
    <row r="623" spans="1:1" ht="12.45" x14ac:dyDescent="0.3">
      <c r="A623" s="7"/>
    </row>
    <row r="624" spans="1:1" ht="12.45" x14ac:dyDescent="0.3">
      <c r="A624" s="7"/>
    </row>
    <row r="625" spans="1:1" ht="12.45" x14ac:dyDescent="0.3">
      <c r="A625" s="7"/>
    </row>
    <row r="626" spans="1:1" ht="12.45" x14ac:dyDescent="0.3">
      <c r="A626" s="7"/>
    </row>
    <row r="627" spans="1:1" ht="12.45" x14ac:dyDescent="0.3">
      <c r="A627" s="7"/>
    </row>
    <row r="628" spans="1:1" ht="12.45" x14ac:dyDescent="0.3">
      <c r="A628" s="7"/>
    </row>
    <row r="629" spans="1:1" ht="12.45" x14ac:dyDescent="0.3">
      <c r="A629" s="7"/>
    </row>
    <row r="630" spans="1:1" ht="12.45" x14ac:dyDescent="0.3">
      <c r="A630" s="7"/>
    </row>
    <row r="631" spans="1:1" ht="12.45" x14ac:dyDescent="0.3">
      <c r="A631" s="7"/>
    </row>
    <row r="632" spans="1:1" ht="12.45" x14ac:dyDescent="0.3">
      <c r="A632" s="7"/>
    </row>
    <row r="633" spans="1:1" ht="12.45" x14ac:dyDescent="0.3">
      <c r="A633" s="7"/>
    </row>
    <row r="634" spans="1:1" ht="12.45" x14ac:dyDescent="0.3">
      <c r="A634" s="7"/>
    </row>
    <row r="635" spans="1:1" ht="12.45" x14ac:dyDescent="0.3">
      <c r="A635" s="7"/>
    </row>
    <row r="636" spans="1:1" ht="12.45" x14ac:dyDescent="0.3">
      <c r="A636" s="7"/>
    </row>
    <row r="637" spans="1:1" ht="12.45" x14ac:dyDescent="0.3">
      <c r="A637" s="7"/>
    </row>
    <row r="638" spans="1:1" ht="12.45" x14ac:dyDescent="0.3">
      <c r="A638" s="7"/>
    </row>
    <row r="639" spans="1:1" ht="12.45" x14ac:dyDescent="0.3">
      <c r="A639" s="7"/>
    </row>
    <row r="640" spans="1:1" ht="12.45" x14ac:dyDescent="0.3">
      <c r="A640" s="7"/>
    </row>
    <row r="641" spans="1:1" ht="12.45" x14ac:dyDescent="0.3">
      <c r="A641" s="7"/>
    </row>
    <row r="642" spans="1:1" ht="12.45" x14ac:dyDescent="0.3">
      <c r="A642" s="7"/>
    </row>
    <row r="643" spans="1:1" ht="12.45" x14ac:dyDescent="0.3">
      <c r="A643" s="7"/>
    </row>
    <row r="644" spans="1:1" ht="12.45" x14ac:dyDescent="0.3">
      <c r="A644" s="7"/>
    </row>
    <row r="645" spans="1:1" ht="12.45" x14ac:dyDescent="0.3">
      <c r="A645" s="7"/>
    </row>
    <row r="646" spans="1:1" ht="12.45" x14ac:dyDescent="0.3">
      <c r="A646" s="7"/>
    </row>
    <row r="647" spans="1:1" ht="12.45" x14ac:dyDescent="0.3">
      <c r="A647" s="7"/>
    </row>
    <row r="648" spans="1:1" ht="12.45" x14ac:dyDescent="0.3">
      <c r="A648" s="7"/>
    </row>
    <row r="649" spans="1:1" ht="12.45" x14ac:dyDescent="0.3">
      <c r="A649" s="7"/>
    </row>
    <row r="650" spans="1:1" ht="12.45" x14ac:dyDescent="0.3">
      <c r="A650" s="7"/>
    </row>
    <row r="651" spans="1:1" ht="12.45" x14ac:dyDescent="0.3">
      <c r="A651" s="7"/>
    </row>
    <row r="652" spans="1:1" ht="12.45" x14ac:dyDescent="0.3">
      <c r="A652" s="7"/>
    </row>
    <row r="653" spans="1:1" ht="12.45" x14ac:dyDescent="0.3">
      <c r="A653" s="7"/>
    </row>
    <row r="654" spans="1:1" ht="12.45" x14ac:dyDescent="0.3">
      <c r="A654" s="7"/>
    </row>
    <row r="655" spans="1:1" ht="12.45" x14ac:dyDescent="0.3">
      <c r="A655" s="7"/>
    </row>
    <row r="656" spans="1:1" ht="12.45" x14ac:dyDescent="0.3">
      <c r="A656" s="7"/>
    </row>
    <row r="657" spans="1:1" ht="12.45" x14ac:dyDescent="0.3">
      <c r="A657" s="7"/>
    </row>
    <row r="658" spans="1:1" ht="12.45" x14ac:dyDescent="0.3">
      <c r="A658" s="7"/>
    </row>
    <row r="659" spans="1:1" ht="12.45" x14ac:dyDescent="0.3">
      <c r="A659" s="7"/>
    </row>
    <row r="660" spans="1:1" ht="12.45" x14ac:dyDescent="0.3">
      <c r="A660" s="7"/>
    </row>
    <row r="661" spans="1:1" ht="12.45" x14ac:dyDescent="0.3">
      <c r="A661" s="7"/>
    </row>
    <row r="662" spans="1:1" ht="12.45" x14ac:dyDescent="0.3">
      <c r="A662" s="7"/>
    </row>
    <row r="663" spans="1:1" ht="12.45" x14ac:dyDescent="0.3">
      <c r="A663" s="7"/>
    </row>
    <row r="664" spans="1:1" ht="12.45" x14ac:dyDescent="0.3">
      <c r="A664" s="7"/>
    </row>
    <row r="665" spans="1:1" ht="12.45" x14ac:dyDescent="0.3">
      <c r="A665" s="7"/>
    </row>
    <row r="666" spans="1:1" ht="12.45" x14ac:dyDescent="0.3">
      <c r="A666" s="7"/>
    </row>
    <row r="667" spans="1:1" ht="12.45" x14ac:dyDescent="0.3">
      <c r="A667" s="7"/>
    </row>
    <row r="668" spans="1:1" ht="12.45" x14ac:dyDescent="0.3">
      <c r="A668" s="7"/>
    </row>
    <row r="669" spans="1:1" ht="12.45" x14ac:dyDescent="0.3">
      <c r="A669" s="7"/>
    </row>
    <row r="670" spans="1:1" ht="12.45" x14ac:dyDescent="0.3">
      <c r="A670" s="7"/>
    </row>
    <row r="671" spans="1:1" ht="12.45" x14ac:dyDescent="0.3">
      <c r="A671" s="7"/>
    </row>
    <row r="672" spans="1:1" ht="12.45" x14ac:dyDescent="0.3">
      <c r="A672" s="7"/>
    </row>
    <row r="673" spans="1:1" ht="12.45" x14ac:dyDescent="0.3">
      <c r="A673" s="7"/>
    </row>
    <row r="674" spans="1:1" ht="12.45" x14ac:dyDescent="0.3">
      <c r="A674" s="7"/>
    </row>
    <row r="675" spans="1:1" ht="12.45" x14ac:dyDescent="0.3">
      <c r="A675" s="7"/>
    </row>
    <row r="676" spans="1:1" ht="12.45" x14ac:dyDescent="0.3">
      <c r="A676" s="7"/>
    </row>
    <row r="677" spans="1:1" ht="12.45" x14ac:dyDescent="0.3">
      <c r="A677" s="7"/>
    </row>
    <row r="678" spans="1:1" ht="12.45" x14ac:dyDescent="0.3">
      <c r="A678" s="7"/>
    </row>
    <row r="679" spans="1:1" ht="12.45" x14ac:dyDescent="0.3">
      <c r="A679" s="7"/>
    </row>
    <row r="680" spans="1:1" ht="12.45" x14ac:dyDescent="0.3">
      <c r="A680" s="7"/>
    </row>
    <row r="681" spans="1:1" ht="12.45" x14ac:dyDescent="0.3">
      <c r="A681" s="7"/>
    </row>
    <row r="682" spans="1:1" ht="12.45" x14ac:dyDescent="0.3">
      <c r="A682" s="7"/>
    </row>
    <row r="683" spans="1:1" ht="12.45" x14ac:dyDescent="0.3">
      <c r="A683" s="7"/>
    </row>
    <row r="684" spans="1:1" ht="12.45" x14ac:dyDescent="0.3">
      <c r="A684" s="7"/>
    </row>
    <row r="685" spans="1:1" ht="12.45" x14ac:dyDescent="0.3">
      <c r="A685" s="7"/>
    </row>
    <row r="686" spans="1:1" ht="12.45" x14ac:dyDescent="0.3">
      <c r="A686" s="7"/>
    </row>
    <row r="687" spans="1:1" ht="12.45" x14ac:dyDescent="0.3">
      <c r="A687" s="7"/>
    </row>
    <row r="688" spans="1:1" ht="12.45" x14ac:dyDescent="0.3">
      <c r="A688" s="7"/>
    </row>
    <row r="689" spans="1:1" ht="12.45" x14ac:dyDescent="0.3">
      <c r="A689" s="7"/>
    </row>
    <row r="690" spans="1:1" ht="12.45" x14ac:dyDescent="0.3">
      <c r="A690" s="7"/>
    </row>
    <row r="691" spans="1:1" ht="12.45" x14ac:dyDescent="0.3">
      <c r="A691" s="7"/>
    </row>
    <row r="692" spans="1:1" ht="12.45" x14ac:dyDescent="0.3">
      <c r="A692" s="7"/>
    </row>
    <row r="693" spans="1:1" ht="12.45" x14ac:dyDescent="0.3">
      <c r="A693" s="7"/>
    </row>
    <row r="694" spans="1:1" ht="12.45" x14ac:dyDescent="0.3">
      <c r="A694" s="7"/>
    </row>
    <row r="695" spans="1:1" ht="12.45" x14ac:dyDescent="0.3">
      <c r="A695" s="7"/>
    </row>
    <row r="696" spans="1:1" ht="12.45" x14ac:dyDescent="0.3">
      <c r="A696" s="7"/>
    </row>
    <row r="697" spans="1:1" ht="12.45" x14ac:dyDescent="0.3">
      <c r="A697" s="7"/>
    </row>
    <row r="698" spans="1:1" ht="12.45" x14ac:dyDescent="0.3">
      <c r="A698" s="7"/>
    </row>
    <row r="699" spans="1:1" ht="12.45" x14ac:dyDescent="0.3">
      <c r="A699" s="7"/>
    </row>
    <row r="700" spans="1:1" ht="12.45" x14ac:dyDescent="0.3">
      <c r="A700" s="7"/>
    </row>
    <row r="701" spans="1:1" ht="12.45" x14ac:dyDescent="0.3">
      <c r="A701" s="7"/>
    </row>
    <row r="702" spans="1:1" ht="12.45" x14ac:dyDescent="0.3">
      <c r="A702" s="7"/>
    </row>
    <row r="703" spans="1:1" ht="12.45" x14ac:dyDescent="0.3">
      <c r="A703" s="7"/>
    </row>
    <row r="704" spans="1:1" ht="12.45" x14ac:dyDescent="0.3">
      <c r="A704" s="7"/>
    </row>
    <row r="705" spans="1:1" ht="12.45" x14ac:dyDescent="0.3">
      <c r="A705" s="7"/>
    </row>
    <row r="706" spans="1:1" ht="12.45" x14ac:dyDescent="0.3">
      <c r="A706" s="7"/>
    </row>
    <row r="707" spans="1:1" ht="12.45" x14ac:dyDescent="0.3">
      <c r="A707" s="7"/>
    </row>
    <row r="708" spans="1:1" ht="12.45" x14ac:dyDescent="0.3">
      <c r="A708" s="7"/>
    </row>
    <row r="709" spans="1:1" ht="12.45" x14ac:dyDescent="0.3">
      <c r="A709" s="7"/>
    </row>
    <row r="710" spans="1:1" ht="12.45" x14ac:dyDescent="0.3">
      <c r="A710" s="7"/>
    </row>
    <row r="711" spans="1:1" ht="12.45" x14ac:dyDescent="0.3">
      <c r="A711" s="7"/>
    </row>
    <row r="712" spans="1:1" ht="12.45" x14ac:dyDescent="0.3">
      <c r="A712" s="7"/>
    </row>
    <row r="713" spans="1:1" ht="12.45" x14ac:dyDescent="0.3">
      <c r="A713" s="7"/>
    </row>
    <row r="714" spans="1:1" ht="12.45" x14ac:dyDescent="0.3">
      <c r="A714" s="7"/>
    </row>
    <row r="715" spans="1:1" ht="12.45" x14ac:dyDescent="0.3">
      <c r="A715" s="7"/>
    </row>
    <row r="716" spans="1:1" ht="12.45" x14ac:dyDescent="0.3">
      <c r="A716" s="7"/>
    </row>
    <row r="717" spans="1:1" ht="12.45" x14ac:dyDescent="0.3">
      <c r="A717" s="7"/>
    </row>
    <row r="718" spans="1:1" ht="12.45" x14ac:dyDescent="0.3">
      <c r="A718" s="7"/>
    </row>
    <row r="719" spans="1:1" ht="12.45" x14ac:dyDescent="0.3">
      <c r="A719" s="7"/>
    </row>
    <row r="720" spans="1:1" ht="12.45" x14ac:dyDescent="0.3">
      <c r="A720" s="7"/>
    </row>
    <row r="721" spans="1:1" ht="12.45" x14ac:dyDescent="0.3">
      <c r="A721" s="7"/>
    </row>
    <row r="722" spans="1:1" ht="12.45" x14ac:dyDescent="0.3">
      <c r="A722" s="7"/>
    </row>
    <row r="723" spans="1:1" ht="12.45" x14ac:dyDescent="0.3">
      <c r="A723" s="7"/>
    </row>
    <row r="724" spans="1:1" ht="12.45" x14ac:dyDescent="0.3">
      <c r="A724" s="7"/>
    </row>
    <row r="725" spans="1:1" ht="12.45" x14ac:dyDescent="0.3">
      <c r="A725" s="7"/>
    </row>
    <row r="726" spans="1:1" ht="12.45" x14ac:dyDescent="0.3">
      <c r="A726" s="7"/>
    </row>
    <row r="727" spans="1:1" ht="12.45" x14ac:dyDescent="0.3">
      <c r="A727" s="7"/>
    </row>
    <row r="728" spans="1:1" ht="12.45" x14ac:dyDescent="0.3">
      <c r="A728" s="7"/>
    </row>
    <row r="729" spans="1:1" ht="12.45" x14ac:dyDescent="0.3">
      <c r="A729" s="7"/>
    </row>
    <row r="730" spans="1:1" ht="12.45" x14ac:dyDescent="0.3">
      <c r="A730" s="7"/>
    </row>
    <row r="731" spans="1:1" ht="12.45" x14ac:dyDescent="0.3">
      <c r="A731" s="7"/>
    </row>
    <row r="732" spans="1:1" ht="12.45" x14ac:dyDescent="0.3">
      <c r="A732" s="7"/>
    </row>
    <row r="733" spans="1:1" ht="12.45" x14ac:dyDescent="0.3">
      <c r="A733" s="7"/>
    </row>
    <row r="734" spans="1:1" ht="12.45" x14ac:dyDescent="0.3">
      <c r="A734" s="7"/>
    </row>
    <row r="735" spans="1:1" ht="12.45" x14ac:dyDescent="0.3">
      <c r="A735" s="7"/>
    </row>
    <row r="736" spans="1:1" ht="12.45" x14ac:dyDescent="0.3">
      <c r="A736" s="7"/>
    </row>
    <row r="737" spans="1:1" ht="12.45" x14ac:dyDescent="0.3">
      <c r="A737" s="7"/>
    </row>
    <row r="738" spans="1:1" ht="12.45" x14ac:dyDescent="0.3">
      <c r="A738" s="7"/>
    </row>
    <row r="739" spans="1:1" ht="12.45" x14ac:dyDescent="0.3">
      <c r="A739" s="7"/>
    </row>
    <row r="740" spans="1:1" ht="12.45" x14ac:dyDescent="0.3">
      <c r="A740" s="7"/>
    </row>
    <row r="741" spans="1:1" ht="12.45" x14ac:dyDescent="0.3">
      <c r="A741" s="7"/>
    </row>
    <row r="742" spans="1:1" ht="12.45" x14ac:dyDescent="0.3">
      <c r="A742" s="7"/>
    </row>
    <row r="743" spans="1:1" ht="12.45" x14ac:dyDescent="0.3">
      <c r="A743" s="7"/>
    </row>
    <row r="744" spans="1:1" ht="12.45" x14ac:dyDescent="0.3">
      <c r="A744" s="7"/>
    </row>
    <row r="745" spans="1:1" ht="12.45" x14ac:dyDescent="0.3">
      <c r="A745" s="7"/>
    </row>
    <row r="746" spans="1:1" ht="12.45" x14ac:dyDescent="0.3">
      <c r="A746" s="7"/>
    </row>
    <row r="747" spans="1:1" ht="12.45" x14ac:dyDescent="0.3">
      <c r="A747" s="7"/>
    </row>
    <row r="748" spans="1:1" ht="12.45" x14ac:dyDescent="0.3">
      <c r="A748" s="7"/>
    </row>
    <row r="749" spans="1:1" ht="12.45" x14ac:dyDescent="0.3">
      <c r="A749" s="7"/>
    </row>
    <row r="750" spans="1:1" ht="12.45" x14ac:dyDescent="0.3">
      <c r="A750" s="7"/>
    </row>
    <row r="751" spans="1:1" ht="12.45" x14ac:dyDescent="0.3">
      <c r="A751" s="7"/>
    </row>
    <row r="752" spans="1:1" ht="12.45" x14ac:dyDescent="0.3">
      <c r="A752" s="7"/>
    </row>
    <row r="753" spans="1:1" ht="12.45" x14ac:dyDescent="0.3">
      <c r="A753" s="7"/>
    </row>
    <row r="754" spans="1:1" ht="12.45" x14ac:dyDescent="0.3">
      <c r="A754" s="7"/>
    </row>
    <row r="755" spans="1:1" ht="12.45" x14ac:dyDescent="0.3">
      <c r="A755" s="7"/>
    </row>
    <row r="756" spans="1:1" ht="12.45" x14ac:dyDescent="0.3">
      <c r="A756" s="7"/>
    </row>
    <row r="757" spans="1:1" ht="12.45" x14ac:dyDescent="0.3">
      <c r="A757" s="7"/>
    </row>
    <row r="758" spans="1:1" ht="12.45" x14ac:dyDescent="0.3">
      <c r="A758" s="7"/>
    </row>
    <row r="759" spans="1:1" ht="12.45" x14ac:dyDescent="0.3">
      <c r="A759" s="7"/>
    </row>
    <row r="760" spans="1:1" ht="12.45" x14ac:dyDescent="0.3">
      <c r="A760" s="7"/>
    </row>
    <row r="761" spans="1:1" ht="12.45" x14ac:dyDescent="0.3">
      <c r="A761" s="7"/>
    </row>
    <row r="762" spans="1:1" ht="12.45" x14ac:dyDescent="0.3">
      <c r="A762" s="7"/>
    </row>
    <row r="763" spans="1:1" ht="12.45" x14ac:dyDescent="0.3">
      <c r="A763" s="7"/>
    </row>
    <row r="764" spans="1:1" ht="12.45" x14ac:dyDescent="0.3">
      <c r="A764" s="7"/>
    </row>
    <row r="765" spans="1:1" ht="12.45" x14ac:dyDescent="0.3">
      <c r="A765" s="7"/>
    </row>
    <row r="766" spans="1:1" ht="12.45" x14ac:dyDescent="0.3">
      <c r="A766" s="7"/>
    </row>
    <row r="767" spans="1:1" ht="12.45" x14ac:dyDescent="0.3">
      <c r="A767" s="7"/>
    </row>
    <row r="768" spans="1:1" ht="12.45" x14ac:dyDescent="0.3">
      <c r="A768" s="7"/>
    </row>
    <row r="769" spans="1:1" ht="12.45" x14ac:dyDescent="0.3">
      <c r="A769" s="7"/>
    </row>
    <row r="770" spans="1:1" ht="12.45" x14ac:dyDescent="0.3">
      <c r="A770" s="7"/>
    </row>
    <row r="771" spans="1:1" ht="12.45" x14ac:dyDescent="0.3">
      <c r="A771" s="7"/>
    </row>
    <row r="772" spans="1:1" ht="12.45" x14ac:dyDescent="0.3">
      <c r="A772" s="7"/>
    </row>
    <row r="773" spans="1:1" ht="12.45" x14ac:dyDescent="0.3">
      <c r="A773" s="7"/>
    </row>
    <row r="774" spans="1:1" ht="12.45" x14ac:dyDescent="0.3">
      <c r="A774" s="7"/>
    </row>
    <row r="775" spans="1:1" ht="12.45" x14ac:dyDescent="0.3">
      <c r="A775" s="7"/>
    </row>
    <row r="776" spans="1:1" ht="12.45" x14ac:dyDescent="0.3">
      <c r="A776" s="7"/>
    </row>
    <row r="777" spans="1:1" ht="12.45" x14ac:dyDescent="0.3">
      <c r="A777" s="7"/>
    </row>
    <row r="778" spans="1:1" ht="12.45" x14ac:dyDescent="0.3">
      <c r="A778" s="7"/>
    </row>
    <row r="779" spans="1:1" ht="12.45" x14ac:dyDescent="0.3">
      <c r="A779" s="7"/>
    </row>
    <row r="780" spans="1:1" ht="12.45" x14ac:dyDescent="0.3">
      <c r="A780" s="7"/>
    </row>
    <row r="781" spans="1:1" ht="12.45" x14ac:dyDescent="0.3">
      <c r="A781" s="7"/>
    </row>
    <row r="782" spans="1:1" ht="12.45" x14ac:dyDescent="0.3">
      <c r="A782" s="7"/>
    </row>
    <row r="783" spans="1:1" ht="12.45" x14ac:dyDescent="0.3">
      <c r="A783" s="7"/>
    </row>
    <row r="784" spans="1:1" ht="12.45" x14ac:dyDescent="0.3">
      <c r="A784" s="7"/>
    </row>
    <row r="785" spans="1:1" ht="12.45" x14ac:dyDescent="0.3">
      <c r="A785" s="7"/>
    </row>
    <row r="786" spans="1:1" ht="12.45" x14ac:dyDescent="0.3">
      <c r="A786" s="7"/>
    </row>
    <row r="787" spans="1:1" ht="12.45" x14ac:dyDescent="0.3">
      <c r="A787" s="7"/>
    </row>
    <row r="788" spans="1:1" ht="12.45" x14ac:dyDescent="0.3">
      <c r="A788" s="7"/>
    </row>
    <row r="789" spans="1:1" ht="12.45" x14ac:dyDescent="0.3">
      <c r="A789" s="7"/>
    </row>
    <row r="790" spans="1:1" ht="12.45" x14ac:dyDescent="0.3">
      <c r="A790" s="7"/>
    </row>
    <row r="791" spans="1:1" ht="12.45" x14ac:dyDescent="0.3">
      <c r="A791" s="7"/>
    </row>
    <row r="792" spans="1:1" ht="12.45" x14ac:dyDescent="0.3">
      <c r="A792" s="7"/>
    </row>
    <row r="793" spans="1:1" ht="12.45" x14ac:dyDescent="0.3">
      <c r="A793" s="7"/>
    </row>
    <row r="794" spans="1:1" ht="12.45" x14ac:dyDescent="0.3">
      <c r="A794" s="7"/>
    </row>
    <row r="795" spans="1:1" ht="12.45" x14ac:dyDescent="0.3">
      <c r="A795" s="7"/>
    </row>
    <row r="796" spans="1:1" ht="12.45" x14ac:dyDescent="0.3">
      <c r="A796" s="7"/>
    </row>
    <row r="797" spans="1:1" ht="12.45" x14ac:dyDescent="0.3">
      <c r="A797" s="7"/>
    </row>
    <row r="798" spans="1:1" ht="12.45" x14ac:dyDescent="0.3">
      <c r="A798" s="7"/>
    </row>
    <row r="799" spans="1:1" ht="12.45" x14ac:dyDescent="0.3">
      <c r="A799" s="7"/>
    </row>
    <row r="800" spans="1:1" ht="12.45" x14ac:dyDescent="0.3">
      <c r="A800" s="7"/>
    </row>
    <row r="801" spans="1:1" ht="12.45" x14ac:dyDescent="0.3">
      <c r="A801" s="7"/>
    </row>
    <row r="802" spans="1:1" ht="12.45" x14ac:dyDescent="0.3">
      <c r="A802" s="7"/>
    </row>
    <row r="803" spans="1:1" ht="12.45" x14ac:dyDescent="0.3">
      <c r="A803" s="7"/>
    </row>
    <row r="804" spans="1:1" ht="12.45" x14ac:dyDescent="0.3">
      <c r="A804" s="7"/>
    </row>
    <row r="805" spans="1:1" ht="12.45" x14ac:dyDescent="0.3">
      <c r="A805" s="7"/>
    </row>
    <row r="806" spans="1:1" ht="12.45" x14ac:dyDescent="0.3">
      <c r="A806" s="7"/>
    </row>
    <row r="807" spans="1:1" ht="12.45" x14ac:dyDescent="0.3">
      <c r="A807" s="7"/>
    </row>
    <row r="808" spans="1:1" ht="12.45" x14ac:dyDescent="0.3">
      <c r="A808" s="7"/>
    </row>
    <row r="809" spans="1:1" ht="12.45" x14ac:dyDescent="0.3">
      <c r="A809" s="7"/>
    </row>
    <row r="810" spans="1:1" ht="12.45" x14ac:dyDescent="0.3">
      <c r="A810" s="7"/>
    </row>
    <row r="811" spans="1:1" ht="12.45" x14ac:dyDescent="0.3">
      <c r="A811" s="7"/>
    </row>
    <row r="812" spans="1:1" ht="12.45" x14ac:dyDescent="0.3">
      <c r="A812" s="7"/>
    </row>
    <row r="813" spans="1:1" ht="12.45" x14ac:dyDescent="0.3">
      <c r="A813" s="7"/>
    </row>
    <row r="814" spans="1:1" ht="12.45" x14ac:dyDescent="0.3">
      <c r="A814" s="7"/>
    </row>
    <row r="815" spans="1:1" ht="12.45" x14ac:dyDescent="0.3">
      <c r="A815" s="7"/>
    </row>
    <row r="816" spans="1:1" ht="12.45" x14ac:dyDescent="0.3">
      <c r="A816" s="7"/>
    </row>
    <row r="817" spans="1:1" ht="12.45" x14ac:dyDescent="0.3">
      <c r="A817" s="7"/>
    </row>
    <row r="818" spans="1:1" ht="12.45" x14ac:dyDescent="0.3">
      <c r="A818" s="7"/>
    </row>
    <row r="819" spans="1:1" ht="12.45" x14ac:dyDescent="0.3">
      <c r="A819" s="7"/>
    </row>
    <row r="820" spans="1:1" ht="12.45" x14ac:dyDescent="0.3">
      <c r="A820" s="7"/>
    </row>
    <row r="821" spans="1:1" ht="12.45" x14ac:dyDescent="0.3">
      <c r="A821" s="7"/>
    </row>
    <row r="822" spans="1:1" ht="12.45" x14ac:dyDescent="0.3">
      <c r="A822" s="7"/>
    </row>
    <row r="823" spans="1:1" ht="12.45" x14ac:dyDescent="0.3">
      <c r="A823" s="7"/>
    </row>
    <row r="824" spans="1:1" ht="12.45" x14ac:dyDescent="0.3">
      <c r="A824" s="7"/>
    </row>
    <row r="825" spans="1:1" ht="12.45" x14ac:dyDescent="0.3">
      <c r="A825" s="7"/>
    </row>
    <row r="826" spans="1:1" ht="12.45" x14ac:dyDescent="0.3">
      <c r="A826" s="7"/>
    </row>
    <row r="827" spans="1:1" ht="12.45" x14ac:dyDescent="0.3">
      <c r="A827" s="7"/>
    </row>
    <row r="828" spans="1:1" ht="12.45" x14ac:dyDescent="0.3">
      <c r="A828" s="7"/>
    </row>
    <row r="829" spans="1:1" ht="12.45" x14ac:dyDescent="0.3">
      <c r="A829" s="7"/>
    </row>
    <row r="830" spans="1:1" ht="12.45" x14ac:dyDescent="0.3">
      <c r="A830" s="7"/>
    </row>
    <row r="831" spans="1:1" ht="12.45" x14ac:dyDescent="0.3">
      <c r="A831" s="7"/>
    </row>
    <row r="832" spans="1:1" ht="12.45" x14ac:dyDescent="0.3">
      <c r="A832" s="7"/>
    </row>
    <row r="833" spans="1:1" ht="12.45" x14ac:dyDescent="0.3">
      <c r="A833" s="7"/>
    </row>
    <row r="834" spans="1:1" ht="12.45" x14ac:dyDescent="0.3">
      <c r="A834" s="7"/>
    </row>
    <row r="835" spans="1:1" ht="12.45" x14ac:dyDescent="0.3">
      <c r="A835" s="7"/>
    </row>
    <row r="836" spans="1:1" ht="12.45" x14ac:dyDescent="0.3">
      <c r="A836" s="7"/>
    </row>
    <row r="837" spans="1:1" ht="12.45" x14ac:dyDescent="0.3">
      <c r="A837" s="7"/>
    </row>
    <row r="838" spans="1:1" ht="12.45" x14ac:dyDescent="0.3">
      <c r="A838" s="7"/>
    </row>
    <row r="839" spans="1:1" ht="12.45" x14ac:dyDescent="0.3">
      <c r="A839" s="7"/>
    </row>
    <row r="840" spans="1:1" ht="12.45" x14ac:dyDescent="0.3">
      <c r="A840" s="7"/>
    </row>
    <row r="841" spans="1:1" ht="12.45" x14ac:dyDescent="0.3">
      <c r="A841" s="7"/>
    </row>
    <row r="842" spans="1:1" ht="12.45" x14ac:dyDescent="0.3">
      <c r="A842" s="7"/>
    </row>
    <row r="843" spans="1:1" ht="12.45" x14ac:dyDescent="0.3">
      <c r="A843" s="7"/>
    </row>
    <row r="844" spans="1:1" ht="12.45" x14ac:dyDescent="0.3">
      <c r="A844" s="7"/>
    </row>
    <row r="845" spans="1:1" ht="12.45" x14ac:dyDescent="0.3">
      <c r="A845" s="7"/>
    </row>
    <row r="846" spans="1:1" ht="12.45" x14ac:dyDescent="0.3">
      <c r="A846" s="7"/>
    </row>
    <row r="847" spans="1:1" ht="12.45" x14ac:dyDescent="0.3">
      <c r="A847" s="7"/>
    </row>
    <row r="848" spans="1:1" ht="12.45" x14ac:dyDescent="0.3">
      <c r="A848" s="7"/>
    </row>
    <row r="849" spans="1:1" ht="12.45" x14ac:dyDescent="0.3">
      <c r="A849" s="7"/>
    </row>
    <row r="850" spans="1:1" ht="12.45" x14ac:dyDescent="0.3">
      <c r="A850" s="7"/>
    </row>
    <row r="851" spans="1:1" ht="12.45" x14ac:dyDescent="0.3">
      <c r="A851" s="7"/>
    </row>
    <row r="852" spans="1:1" ht="12.45" x14ac:dyDescent="0.3">
      <c r="A852" s="7"/>
    </row>
    <row r="853" spans="1:1" ht="12.45" x14ac:dyDescent="0.3">
      <c r="A853" s="7"/>
    </row>
    <row r="854" spans="1:1" ht="12.45" x14ac:dyDescent="0.3">
      <c r="A854" s="7"/>
    </row>
    <row r="855" spans="1:1" ht="12.45" x14ac:dyDescent="0.3">
      <c r="A855" s="7"/>
    </row>
    <row r="856" spans="1:1" ht="12.45" x14ac:dyDescent="0.3">
      <c r="A856" s="7"/>
    </row>
    <row r="857" spans="1:1" ht="12.45" x14ac:dyDescent="0.3">
      <c r="A857" s="7"/>
    </row>
    <row r="858" spans="1:1" ht="12.45" x14ac:dyDescent="0.3">
      <c r="A858" s="7"/>
    </row>
    <row r="859" spans="1:1" ht="12.45" x14ac:dyDescent="0.3">
      <c r="A859" s="7"/>
    </row>
    <row r="860" spans="1:1" ht="12.45" x14ac:dyDescent="0.3">
      <c r="A860" s="7"/>
    </row>
    <row r="861" spans="1:1" ht="12.45" x14ac:dyDescent="0.3">
      <c r="A861" s="7"/>
    </row>
    <row r="862" spans="1:1" ht="12.45" x14ac:dyDescent="0.3">
      <c r="A862" s="7"/>
    </row>
    <row r="863" spans="1:1" ht="12.45" x14ac:dyDescent="0.3">
      <c r="A863" s="7"/>
    </row>
    <row r="864" spans="1:1" ht="12.45" x14ac:dyDescent="0.3">
      <c r="A864" s="7"/>
    </row>
    <row r="865" spans="1:1" ht="12.45" x14ac:dyDescent="0.3">
      <c r="A865" s="7"/>
    </row>
    <row r="866" spans="1:1" ht="12.45" x14ac:dyDescent="0.3">
      <c r="A866" s="7"/>
    </row>
    <row r="867" spans="1:1" ht="12.45" x14ac:dyDescent="0.3">
      <c r="A867" s="7"/>
    </row>
    <row r="868" spans="1:1" ht="12.45" x14ac:dyDescent="0.3">
      <c r="A868" s="7"/>
    </row>
    <row r="869" spans="1:1" ht="12.45" x14ac:dyDescent="0.3">
      <c r="A869" s="7"/>
    </row>
    <row r="870" spans="1:1" ht="12.45" x14ac:dyDescent="0.3">
      <c r="A870" s="7"/>
    </row>
    <row r="871" spans="1:1" ht="12.45" x14ac:dyDescent="0.3">
      <c r="A871" s="7"/>
    </row>
    <row r="872" spans="1:1" ht="12.45" x14ac:dyDescent="0.3">
      <c r="A872" s="7"/>
    </row>
    <row r="873" spans="1:1" ht="12.45" x14ac:dyDescent="0.3">
      <c r="A873" s="7"/>
    </row>
    <row r="874" spans="1:1" ht="12.45" x14ac:dyDescent="0.3">
      <c r="A874" s="7"/>
    </row>
    <row r="875" spans="1:1" ht="12.45" x14ac:dyDescent="0.3">
      <c r="A875" s="7"/>
    </row>
    <row r="876" spans="1:1" ht="12.45" x14ac:dyDescent="0.3">
      <c r="A876" s="7"/>
    </row>
    <row r="877" spans="1:1" ht="12.45" x14ac:dyDescent="0.3">
      <c r="A877" s="7"/>
    </row>
    <row r="878" spans="1:1" ht="12.45" x14ac:dyDescent="0.3">
      <c r="A878" s="7"/>
    </row>
    <row r="879" spans="1:1" ht="12.45" x14ac:dyDescent="0.3">
      <c r="A879" s="7"/>
    </row>
    <row r="880" spans="1:1" ht="12.45" x14ac:dyDescent="0.3">
      <c r="A880" s="7"/>
    </row>
    <row r="881" spans="1:1" ht="12.45" x14ac:dyDescent="0.3">
      <c r="A881" s="7"/>
    </row>
    <row r="882" spans="1:1" ht="12.45" x14ac:dyDescent="0.3">
      <c r="A882" s="7"/>
    </row>
    <row r="883" spans="1:1" ht="12.45" x14ac:dyDescent="0.3">
      <c r="A883" s="7"/>
    </row>
    <row r="884" spans="1:1" ht="12.45" x14ac:dyDescent="0.3">
      <c r="A884" s="7"/>
    </row>
    <row r="885" spans="1:1" ht="12.45" x14ac:dyDescent="0.3">
      <c r="A885" s="7"/>
    </row>
    <row r="886" spans="1:1" ht="12.45" x14ac:dyDescent="0.3">
      <c r="A886" s="7"/>
    </row>
    <row r="887" spans="1:1" ht="12.45" x14ac:dyDescent="0.3">
      <c r="A887" s="7"/>
    </row>
    <row r="888" spans="1:1" ht="12.45" x14ac:dyDescent="0.3">
      <c r="A888" s="7"/>
    </row>
    <row r="889" spans="1:1" ht="12.45" x14ac:dyDescent="0.3">
      <c r="A889" s="7"/>
    </row>
    <row r="890" spans="1:1" ht="12.45" x14ac:dyDescent="0.3">
      <c r="A890" s="7"/>
    </row>
    <row r="891" spans="1:1" ht="12.45" x14ac:dyDescent="0.3">
      <c r="A891" s="7"/>
    </row>
    <row r="892" spans="1:1" ht="12.45" x14ac:dyDescent="0.3">
      <c r="A892" s="7"/>
    </row>
    <row r="893" spans="1:1" ht="12.45" x14ac:dyDescent="0.3">
      <c r="A893" s="7"/>
    </row>
    <row r="894" spans="1:1" ht="12.45" x14ac:dyDescent="0.3">
      <c r="A894" s="7"/>
    </row>
    <row r="895" spans="1:1" ht="12.45" x14ac:dyDescent="0.3">
      <c r="A895" s="7"/>
    </row>
    <row r="896" spans="1:1" ht="12.45" x14ac:dyDescent="0.3">
      <c r="A896" s="7"/>
    </row>
    <row r="897" spans="1:1" ht="12.45" x14ac:dyDescent="0.3">
      <c r="A897" s="7"/>
    </row>
    <row r="898" spans="1:1" ht="12.45" x14ac:dyDescent="0.3">
      <c r="A898" s="7"/>
    </row>
    <row r="899" spans="1:1" ht="12.45" x14ac:dyDescent="0.3">
      <c r="A899" s="7"/>
    </row>
    <row r="900" spans="1:1" ht="12.45" x14ac:dyDescent="0.3">
      <c r="A900" s="7"/>
    </row>
    <row r="901" spans="1:1" ht="12.45" x14ac:dyDescent="0.3">
      <c r="A901" s="7"/>
    </row>
    <row r="902" spans="1:1" ht="12.45" x14ac:dyDescent="0.3">
      <c r="A902" s="7"/>
    </row>
    <row r="903" spans="1:1" ht="12.45" x14ac:dyDescent="0.3">
      <c r="A903" s="7"/>
    </row>
    <row r="904" spans="1:1" ht="12.45" x14ac:dyDescent="0.3">
      <c r="A904" s="7"/>
    </row>
    <row r="905" spans="1:1" ht="12.45" x14ac:dyDescent="0.3">
      <c r="A905" s="7"/>
    </row>
    <row r="906" spans="1:1" ht="12.45" x14ac:dyDescent="0.3">
      <c r="A906" s="7"/>
    </row>
    <row r="907" spans="1:1" ht="12.45" x14ac:dyDescent="0.3">
      <c r="A907" s="7"/>
    </row>
    <row r="908" spans="1:1" ht="12.45" x14ac:dyDescent="0.3">
      <c r="A908" s="7"/>
    </row>
    <row r="909" spans="1:1" ht="12.45" x14ac:dyDescent="0.3">
      <c r="A909" s="7"/>
    </row>
    <row r="910" spans="1:1" ht="12.45" x14ac:dyDescent="0.3">
      <c r="A910" s="7"/>
    </row>
    <row r="911" spans="1:1" ht="12.45" x14ac:dyDescent="0.3">
      <c r="A911" s="7"/>
    </row>
    <row r="912" spans="1:1" ht="12.45" x14ac:dyDescent="0.3">
      <c r="A912" s="7"/>
    </row>
    <row r="913" spans="1:1" ht="12.45" x14ac:dyDescent="0.3">
      <c r="A913" s="7"/>
    </row>
    <row r="914" spans="1:1" ht="12.45" x14ac:dyDescent="0.3">
      <c r="A914" s="7"/>
    </row>
    <row r="915" spans="1:1" ht="12.45" x14ac:dyDescent="0.3">
      <c r="A915" s="7"/>
    </row>
    <row r="916" spans="1:1" ht="12.45" x14ac:dyDescent="0.3">
      <c r="A916" s="7"/>
    </row>
    <row r="917" spans="1:1" ht="12.45" x14ac:dyDescent="0.3">
      <c r="A917" s="7"/>
    </row>
    <row r="918" spans="1:1" ht="12.45" x14ac:dyDescent="0.3">
      <c r="A918" s="7"/>
    </row>
    <row r="919" spans="1:1" ht="12.45" x14ac:dyDescent="0.3">
      <c r="A919" s="7"/>
    </row>
    <row r="920" spans="1:1" ht="12.45" x14ac:dyDescent="0.3">
      <c r="A920" s="7"/>
    </row>
    <row r="921" spans="1:1" ht="12.45" x14ac:dyDescent="0.3">
      <c r="A921" s="7"/>
    </row>
    <row r="922" spans="1:1" ht="12.45" x14ac:dyDescent="0.3">
      <c r="A922" s="7"/>
    </row>
    <row r="923" spans="1:1" ht="12.45" x14ac:dyDescent="0.3">
      <c r="A923" s="7"/>
    </row>
    <row r="924" spans="1:1" ht="12.45" x14ac:dyDescent="0.3">
      <c r="A924" s="7"/>
    </row>
    <row r="925" spans="1:1" ht="12.45" x14ac:dyDescent="0.3">
      <c r="A925" s="7"/>
    </row>
    <row r="926" spans="1:1" ht="12.45" x14ac:dyDescent="0.3">
      <c r="A926" s="7"/>
    </row>
    <row r="927" spans="1:1" ht="12.45" x14ac:dyDescent="0.3">
      <c r="A927" s="7"/>
    </row>
    <row r="928" spans="1:1" ht="12.45" x14ac:dyDescent="0.3">
      <c r="A928" s="7"/>
    </row>
    <row r="929" spans="1:1" ht="12.45" x14ac:dyDescent="0.3">
      <c r="A929" s="7"/>
    </row>
    <row r="930" spans="1:1" ht="12.45" x14ac:dyDescent="0.3">
      <c r="A930" s="7"/>
    </row>
    <row r="931" spans="1:1" ht="12.45" x14ac:dyDescent="0.3">
      <c r="A931" s="7"/>
    </row>
    <row r="932" spans="1:1" ht="12.45" x14ac:dyDescent="0.3">
      <c r="A932" s="7"/>
    </row>
    <row r="933" spans="1:1" ht="12.45" x14ac:dyDescent="0.3">
      <c r="A933" s="7"/>
    </row>
    <row r="934" spans="1:1" ht="12.45" x14ac:dyDescent="0.3">
      <c r="A934" s="7"/>
    </row>
    <row r="935" spans="1:1" ht="12.45" x14ac:dyDescent="0.3">
      <c r="A935" s="7"/>
    </row>
    <row r="936" spans="1:1" ht="12.45" x14ac:dyDescent="0.3">
      <c r="A936" s="7"/>
    </row>
    <row r="937" spans="1:1" ht="12.45" x14ac:dyDescent="0.3">
      <c r="A937" s="7"/>
    </row>
    <row r="938" spans="1:1" ht="12.45" x14ac:dyDescent="0.3">
      <c r="A938" s="7"/>
    </row>
    <row r="939" spans="1:1" ht="12.45" x14ac:dyDescent="0.3">
      <c r="A939" s="7"/>
    </row>
    <row r="940" spans="1:1" ht="12.45" x14ac:dyDescent="0.3">
      <c r="A940" s="7"/>
    </row>
    <row r="941" spans="1:1" ht="12.45" x14ac:dyDescent="0.3">
      <c r="A941" s="7"/>
    </row>
    <row r="942" spans="1:1" ht="12.45" x14ac:dyDescent="0.3">
      <c r="A942" s="7"/>
    </row>
    <row r="943" spans="1:1" ht="12.45" x14ac:dyDescent="0.3">
      <c r="A943" s="7"/>
    </row>
    <row r="944" spans="1:1" ht="12.45" x14ac:dyDescent="0.3">
      <c r="A944" s="7"/>
    </row>
    <row r="945" spans="1:1" ht="12.45" x14ac:dyDescent="0.3">
      <c r="A945" s="7"/>
    </row>
    <row r="946" spans="1:1" ht="12.45" x14ac:dyDescent="0.3">
      <c r="A946" s="7"/>
    </row>
    <row r="947" spans="1:1" ht="12.45" x14ac:dyDescent="0.3">
      <c r="A947" s="7"/>
    </row>
    <row r="948" spans="1:1" ht="12.45" x14ac:dyDescent="0.3">
      <c r="A948" s="7"/>
    </row>
    <row r="949" spans="1:1" ht="12.45" x14ac:dyDescent="0.3">
      <c r="A949" s="7"/>
    </row>
    <row r="950" spans="1:1" ht="12.45" x14ac:dyDescent="0.3">
      <c r="A950" s="7"/>
    </row>
    <row r="951" spans="1:1" ht="12.45" x14ac:dyDescent="0.3">
      <c r="A951" s="7"/>
    </row>
    <row r="952" spans="1:1" ht="12.45" x14ac:dyDescent="0.3">
      <c r="A952" s="7"/>
    </row>
    <row r="953" spans="1:1" ht="12.45" x14ac:dyDescent="0.3">
      <c r="A953" s="7"/>
    </row>
    <row r="954" spans="1:1" ht="12.45" x14ac:dyDescent="0.3">
      <c r="A954" s="7"/>
    </row>
    <row r="955" spans="1:1" ht="12.45" x14ac:dyDescent="0.3">
      <c r="A955" s="7"/>
    </row>
    <row r="956" spans="1:1" ht="12.45" x14ac:dyDescent="0.3">
      <c r="A956" s="7"/>
    </row>
    <row r="957" spans="1:1" ht="12.45" x14ac:dyDescent="0.3">
      <c r="A957" s="7"/>
    </row>
    <row r="958" spans="1:1" ht="12.45" x14ac:dyDescent="0.3">
      <c r="A958" s="7"/>
    </row>
    <row r="959" spans="1:1" ht="12.45" x14ac:dyDescent="0.3">
      <c r="A959" s="7"/>
    </row>
    <row r="960" spans="1:1" ht="12.45" x14ac:dyDescent="0.3">
      <c r="A960" s="7"/>
    </row>
    <row r="961" spans="1:1" ht="12.45" x14ac:dyDescent="0.3">
      <c r="A961" s="7"/>
    </row>
    <row r="962" spans="1:1" ht="12.45" x14ac:dyDescent="0.3">
      <c r="A962" s="7"/>
    </row>
    <row r="963" spans="1:1" ht="12.45" x14ac:dyDescent="0.3">
      <c r="A963" s="7"/>
    </row>
    <row r="964" spans="1:1" ht="12.45" x14ac:dyDescent="0.3">
      <c r="A964" s="7"/>
    </row>
    <row r="965" spans="1:1" ht="12.45" x14ac:dyDescent="0.3">
      <c r="A965" s="7"/>
    </row>
    <row r="966" spans="1:1" ht="12.45" x14ac:dyDescent="0.3">
      <c r="A966" s="7"/>
    </row>
    <row r="967" spans="1:1" ht="12.45" x14ac:dyDescent="0.3">
      <c r="A967" s="7"/>
    </row>
    <row r="968" spans="1:1" ht="12.45" x14ac:dyDescent="0.3">
      <c r="A968" s="7"/>
    </row>
    <row r="969" spans="1:1" ht="12.45" x14ac:dyDescent="0.3">
      <c r="A969" s="7"/>
    </row>
    <row r="970" spans="1:1" ht="12.45" x14ac:dyDescent="0.3">
      <c r="A970" s="7"/>
    </row>
    <row r="971" spans="1:1" ht="12.45" x14ac:dyDescent="0.3">
      <c r="A971" s="7"/>
    </row>
    <row r="972" spans="1:1" ht="12.45" x14ac:dyDescent="0.3">
      <c r="A972" s="7"/>
    </row>
    <row r="973" spans="1:1" ht="12.45" x14ac:dyDescent="0.3">
      <c r="A973" s="7"/>
    </row>
    <row r="974" spans="1:1" ht="12.45" x14ac:dyDescent="0.3">
      <c r="A974" s="7"/>
    </row>
    <row r="975" spans="1:1" ht="12.45" x14ac:dyDescent="0.3">
      <c r="A975" s="7"/>
    </row>
    <row r="976" spans="1:1" ht="12.45" x14ac:dyDescent="0.3">
      <c r="A976" s="7"/>
    </row>
    <row r="977" spans="1:1" ht="12.45" x14ac:dyDescent="0.3">
      <c r="A977" s="7"/>
    </row>
    <row r="978" spans="1:1" ht="12.45" x14ac:dyDescent="0.3">
      <c r="A978" s="7"/>
    </row>
    <row r="979" spans="1:1" ht="12.45" x14ac:dyDescent="0.3">
      <c r="A979" s="7"/>
    </row>
    <row r="980" spans="1:1" ht="12.45" x14ac:dyDescent="0.3">
      <c r="A980" s="7"/>
    </row>
    <row r="981" spans="1:1" ht="12.45" x14ac:dyDescent="0.3">
      <c r="A981" s="7"/>
    </row>
    <row r="982" spans="1:1" ht="12.45" x14ac:dyDescent="0.3">
      <c r="A982" s="7"/>
    </row>
    <row r="983" spans="1:1" ht="12.45" x14ac:dyDescent="0.3">
      <c r="A983" s="7"/>
    </row>
    <row r="984" spans="1:1" ht="12.45" x14ac:dyDescent="0.3">
      <c r="A984" s="7"/>
    </row>
    <row r="985" spans="1:1" ht="12.45" x14ac:dyDescent="0.3">
      <c r="A985" s="7"/>
    </row>
    <row r="986" spans="1:1" ht="12.45" x14ac:dyDescent="0.3">
      <c r="A986" s="7"/>
    </row>
    <row r="987" spans="1:1" ht="12.45" x14ac:dyDescent="0.3">
      <c r="A987" s="7"/>
    </row>
    <row r="988" spans="1:1" ht="12.45" x14ac:dyDescent="0.3">
      <c r="A988" s="7"/>
    </row>
    <row r="989" spans="1:1" ht="12.45" x14ac:dyDescent="0.3">
      <c r="A989" s="7"/>
    </row>
    <row r="990" spans="1:1" ht="12.45" x14ac:dyDescent="0.3">
      <c r="A990" s="7"/>
    </row>
    <row r="991" spans="1:1" ht="12.45" x14ac:dyDescent="0.3">
      <c r="A991" s="7"/>
    </row>
    <row r="992" spans="1:1" ht="12.45" x14ac:dyDescent="0.3">
      <c r="A992" s="7"/>
    </row>
    <row r="993" spans="1:1" ht="12.45" x14ac:dyDescent="0.3">
      <c r="A993" s="7"/>
    </row>
    <row r="994" spans="1:1" ht="12.45" x14ac:dyDescent="0.3">
      <c r="A994" s="7"/>
    </row>
    <row r="995" spans="1:1" ht="12.45" x14ac:dyDescent="0.3">
      <c r="A995" s="7"/>
    </row>
    <row r="996" spans="1:1" ht="12.45" x14ac:dyDescent="0.3">
      <c r="A996" s="7"/>
    </row>
    <row r="997" spans="1:1" ht="12.45" x14ac:dyDescent="0.3">
      <c r="A997" s="7"/>
    </row>
    <row r="998" spans="1:1" ht="12.45" x14ac:dyDescent="0.3">
      <c r="A998" s="7"/>
    </row>
    <row r="999" spans="1:1" ht="12.45" x14ac:dyDescent="0.3">
      <c r="A999" s="7"/>
    </row>
    <row r="1000" spans="1:1" ht="12.45" x14ac:dyDescent="0.3">
      <c r="A1000" s="7"/>
    </row>
  </sheetData>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372"/>
  <sheetViews>
    <sheetView topLeftCell="B1" workbookViewId="0"/>
  </sheetViews>
  <sheetFormatPr defaultColWidth="12.61328125" defaultRowHeight="15.75" customHeight="1" x14ac:dyDescent="0.3"/>
  <cols>
    <col min="3" max="3" width="45.15234375" customWidth="1"/>
    <col min="4" max="4" width="46.4609375" customWidth="1"/>
    <col min="5" max="5" width="26.765625" customWidth="1"/>
    <col min="7" max="7" width="16.3828125" customWidth="1"/>
    <col min="8" max="8" width="47.23046875" customWidth="1"/>
    <col min="9" max="9" width="36.765625" customWidth="1"/>
  </cols>
  <sheetData>
    <row r="1" spans="1:25" ht="15.75" customHeight="1" x14ac:dyDescent="0.45">
      <c r="A1" s="18" t="s">
        <v>1870</v>
      </c>
      <c r="B1" s="18" t="s">
        <v>1871</v>
      </c>
      <c r="C1" s="18" t="s">
        <v>1872</v>
      </c>
      <c r="D1" s="18" t="s">
        <v>1873</v>
      </c>
      <c r="E1" s="18" t="s">
        <v>1565</v>
      </c>
      <c r="F1" s="18" t="s">
        <v>1732</v>
      </c>
      <c r="G1" s="18" t="s">
        <v>1577</v>
      </c>
      <c r="H1" s="18" t="s">
        <v>1578</v>
      </c>
      <c r="I1" s="18" t="s">
        <v>1579</v>
      </c>
      <c r="J1" s="20"/>
      <c r="K1" s="20"/>
      <c r="L1" s="20"/>
      <c r="M1" s="20"/>
      <c r="N1" s="20"/>
      <c r="O1" s="20"/>
      <c r="P1" s="20"/>
      <c r="Q1" s="20"/>
      <c r="R1" s="20"/>
      <c r="S1" s="20"/>
      <c r="T1" s="20"/>
      <c r="U1" s="20"/>
      <c r="V1" s="20"/>
      <c r="W1" s="20"/>
      <c r="X1" s="20"/>
      <c r="Y1" s="20"/>
    </row>
    <row r="2" spans="1:25" ht="15.75" customHeight="1" x14ac:dyDescent="0.4">
      <c r="A2" s="8" t="s">
        <v>45</v>
      </c>
      <c r="B2" s="8" t="s">
        <v>87</v>
      </c>
      <c r="C2" s="8" t="s">
        <v>46</v>
      </c>
      <c r="D2" s="8" t="s">
        <v>88</v>
      </c>
      <c r="E2" s="8" t="s">
        <v>47</v>
      </c>
      <c r="F2" s="8" t="s">
        <v>1584</v>
      </c>
      <c r="G2" s="8" t="s">
        <v>1768</v>
      </c>
      <c r="H2" s="8" t="s">
        <v>1874</v>
      </c>
      <c r="I2" s="21"/>
    </row>
    <row r="3" spans="1:25" ht="15.75" customHeight="1" x14ac:dyDescent="0.4">
      <c r="A3" s="8" t="s">
        <v>45</v>
      </c>
      <c r="B3" s="8" t="s">
        <v>104</v>
      </c>
      <c r="C3" s="8" t="s">
        <v>46</v>
      </c>
      <c r="D3" s="8" t="s">
        <v>105</v>
      </c>
      <c r="E3" s="8" t="s">
        <v>47</v>
      </c>
      <c r="F3" s="8" t="s">
        <v>1584</v>
      </c>
      <c r="G3" s="8" t="s">
        <v>1768</v>
      </c>
      <c r="H3" s="8" t="s">
        <v>1874</v>
      </c>
      <c r="I3" s="21"/>
    </row>
    <row r="4" spans="1:25" ht="15.75" customHeight="1" x14ac:dyDescent="0.4">
      <c r="A4" s="8" t="s">
        <v>45</v>
      </c>
      <c r="B4" s="8" t="s">
        <v>107</v>
      </c>
      <c r="C4" s="8" t="s">
        <v>46</v>
      </c>
      <c r="D4" s="8" t="s">
        <v>108</v>
      </c>
      <c r="E4" s="8" t="s">
        <v>47</v>
      </c>
      <c r="F4" s="8" t="s">
        <v>1584</v>
      </c>
      <c r="G4" s="8" t="s">
        <v>1768</v>
      </c>
      <c r="H4" s="8" t="s">
        <v>1874</v>
      </c>
      <c r="I4" s="21"/>
    </row>
    <row r="5" spans="1:25" ht="15.75" customHeight="1" x14ac:dyDescent="0.4">
      <c r="A5" s="8" t="s">
        <v>87</v>
      </c>
      <c r="B5" s="8" t="s">
        <v>104</v>
      </c>
      <c r="C5" s="8" t="s">
        <v>88</v>
      </c>
      <c r="D5" s="8" t="s">
        <v>105</v>
      </c>
      <c r="E5" s="8" t="s">
        <v>47</v>
      </c>
      <c r="F5" s="8" t="s">
        <v>1584</v>
      </c>
      <c r="G5" s="8" t="s">
        <v>1768</v>
      </c>
      <c r="H5" s="8" t="s">
        <v>1874</v>
      </c>
      <c r="I5" s="21"/>
    </row>
    <row r="6" spans="1:25" ht="15.75" customHeight="1" x14ac:dyDescent="0.4">
      <c r="A6" s="8" t="s">
        <v>87</v>
      </c>
      <c r="B6" s="8" t="s">
        <v>107</v>
      </c>
      <c r="C6" s="8" t="s">
        <v>88</v>
      </c>
      <c r="D6" s="8" t="s">
        <v>108</v>
      </c>
      <c r="E6" s="8" t="s">
        <v>47</v>
      </c>
      <c r="F6" s="8" t="s">
        <v>1584</v>
      </c>
      <c r="G6" s="8" t="s">
        <v>1768</v>
      </c>
      <c r="H6" s="8" t="s">
        <v>1874</v>
      </c>
      <c r="I6" s="21"/>
    </row>
    <row r="7" spans="1:25" ht="15.75" customHeight="1" x14ac:dyDescent="0.4">
      <c r="A7" s="8" t="s">
        <v>104</v>
      </c>
      <c r="B7" s="8" t="s">
        <v>107</v>
      </c>
      <c r="C7" s="8" t="s">
        <v>105</v>
      </c>
      <c r="D7" s="8" t="s">
        <v>108</v>
      </c>
      <c r="E7" s="8" t="s">
        <v>47</v>
      </c>
      <c r="F7" s="8" t="s">
        <v>1584</v>
      </c>
      <c r="G7" s="8" t="s">
        <v>1768</v>
      </c>
      <c r="H7" s="8" t="s">
        <v>1874</v>
      </c>
      <c r="I7" s="21"/>
    </row>
    <row r="8" spans="1:25" ht="15.75" customHeight="1" x14ac:dyDescent="0.4">
      <c r="A8" s="8" t="s">
        <v>1068</v>
      </c>
      <c r="B8" s="8" t="s">
        <v>1089</v>
      </c>
      <c r="C8" s="8" t="s">
        <v>1033</v>
      </c>
      <c r="D8" s="8" t="s">
        <v>1062</v>
      </c>
      <c r="E8" s="8" t="s">
        <v>21</v>
      </c>
      <c r="F8" s="8" t="s">
        <v>1580</v>
      </c>
      <c r="G8" s="8" t="s">
        <v>1581</v>
      </c>
      <c r="H8" s="8" t="s">
        <v>1925</v>
      </c>
      <c r="I8" s="8" t="s">
        <v>1926</v>
      </c>
    </row>
    <row r="9" spans="1:25" ht="15.75" customHeight="1" x14ac:dyDescent="0.4">
      <c r="A9" s="8" t="s">
        <v>1068</v>
      </c>
      <c r="B9" s="8" t="s">
        <v>1100</v>
      </c>
      <c r="C9" s="8" t="s">
        <v>1033</v>
      </c>
      <c r="D9" s="8" t="s">
        <v>1070</v>
      </c>
      <c r="E9" s="8" t="s">
        <v>21</v>
      </c>
      <c r="F9" s="8" t="s">
        <v>1580</v>
      </c>
      <c r="G9" s="8" t="s">
        <v>1581</v>
      </c>
      <c r="H9" s="8" t="s">
        <v>1927</v>
      </c>
      <c r="I9" s="8" t="s">
        <v>1928</v>
      </c>
    </row>
    <row r="10" spans="1:25" ht="15.75" customHeight="1" x14ac:dyDescent="0.4">
      <c r="A10" s="8" t="s">
        <v>1089</v>
      </c>
      <c r="B10" s="8" t="s">
        <v>1100</v>
      </c>
      <c r="C10" s="8" t="s">
        <v>1062</v>
      </c>
      <c r="D10" s="8" t="s">
        <v>1070</v>
      </c>
      <c r="E10" s="8" t="s">
        <v>21</v>
      </c>
      <c r="F10" s="8" t="s">
        <v>1580</v>
      </c>
      <c r="G10" s="8" t="s">
        <v>1581</v>
      </c>
      <c r="H10" s="8" t="s">
        <v>1929</v>
      </c>
      <c r="I10" s="8" t="s">
        <v>1930</v>
      </c>
    </row>
    <row r="11" spans="1:25" ht="15.75" customHeight="1" x14ac:dyDescent="0.4">
      <c r="A11" s="8" t="s">
        <v>19</v>
      </c>
      <c r="B11" s="8" t="s">
        <v>35</v>
      </c>
      <c r="C11" s="8" t="s">
        <v>20</v>
      </c>
      <c r="D11" s="8" t="s">
        <v>36</v>
      </c>
      <c r="E11" s="8" t="s">
        <v>21</v>
      </c>
      <c r="F11" s="8" t="s">
        <v>1584</v>
      </c>
      <c r="G11" s="8" t="s">
        <v>1768</v>
      </c>
      <c r="H11" s="8" t="s">
        <v>1874</v>
      </c>
      <c r="I11" s="21"/>
    </row>
    <row r="12" spans="1:25" ht="15.75" customHeight="1" x14ac:dyDescent="0.4">
      <c r="A12" s="8" t="s">
        <v>19</v>
      </c>
      <c r="B12" s="8" t="s">
        <v>152</v>
      </c>
      <c r="C12" s="8" t="s">
        <v>20</v>
      </c>
      <c r="D12" s="8" t="s">
        <v>11</v>
      </c>
      <c r="E12" s="8" t="s">
        <v>21</v>
      </c>
      <c r="F12" s="8" t="s">
        <v>1584</v>
      </c>
      <c r="G12" s="8" t="s">
        <v>1768</v>
      </c>
      <c r="H12" s="8" t="s">
        <v>1874</v>
      </c>
      <c r="I12" s="21"/>
    </row>
    <row r="13" spans="1:25" ht="15.75" customHeight="1" x14ac:dyDescent="0.4">
      <c r="A13" s="8" t="s">
        <v>19</v>
      </c>
      <c r="B13" s="8" t="s">
        <v>1417</v>
      </c>
      <c r="C13" s="8" t="s">
        <v>20</v>
      </c>
      <c r="D13" s="8" t="s">
        <v>1355</v>
      </c>
      <c r="E13" s="8" t="s">
        <v>21</v>
      </c>
      <c r="F13" s="8" t="s">
        <v>1584</v>
      </c>
      <c r="G13" s="8" t="s">
        <v>1768</v>
      </c>
      <c r="H13" s="8" t="s">
        <v>1874</v>
      </c>
      <c r="I13" s="21"/>
    </row>
    <row r="14" spans="1:25" ht="15.75" customHeight="1" x14ac:dyDescent="0.4">
      <c r="A14" s="8" t="s">
        <v>19</v>
      </c>
      <c r="B14" s="8" t="s">
        <v>1039</v>
      </c>
      <c r="C14" s="8" t="s">
        <v>20</v>
      </c>
      <c r="D14" s="8" t="s">
        <v>1040</v>
      </c>
      <c r="E14" s="8" t="s">
        <v>21</v>
      </c>
      <c r="F14" s="8" t="s">
        <v>1584</v>
      </c>
      <c r="G14" s="8" t="s">
        <v>1768</v>
      </c>
      <c r="H14" s="8" t="s">
        <v>1874</v>
      </c>
      <c r="I14" s="21"/>
    </row>
    <row r="15" spans="1:25" ht="15.75" customHeight="1" x14ac:dyDescent="0.4">
      <c r="A15" s="8" t="s">
        <v>19</v>
      </c>
      <c r="B15" s="8" t="s">
        <v>1068</v>
      </c>
      <c r="C15" s="8" t="s">
        <v>20</v>
      </c>
      <c r="D15" s="8" t="s">
        <v>1033</v>
      </c>
      <c r="E15" s="8" t="s">
        <v>21</v>
      </c>
      <c r="F15" s="8" t="s">
        <v>1584</v>
      </c>
      <c r="G15" s="8" t="s">
        <v>1768</v>
      </c>
      <c r="H15" s="8" t="s">
        <v>1874</v>
      </c>
      <c r="I15" s="21"/>
    </row>
    <row r="16" spans="1:25" ht="15.75" customHeight="1" x14ac:dyDescent="0.4">
      <c r="A16" s="8" t="s">
        <v>19</v>
      </c>
      <c r="B16" s="8" t="s">
        <v>1089</v>
      </c>
      <c r="C16" s="8" t="s">
        <v>20</v>
      </c>
      <c r="D16" s="8" t="s">
        <v>1062</v>
      </c>
      <c r="E16" s="8" t="s">
        <v>21</v>
      </c>
      <c r="F16" s="8" t="s">
        <v>1584</v>
      </c>
      <c r="G16" s="8" t="s">
        <v>1768</v>
      </c>
      <c r="H16" s="8" t="s">
        <v>1874</v>
      </c>
      <c r="I16" s="21"/>
    </row>
    <row r="17" spans="1:9" ht="15.75" customHeight="1" x14ac:dyDescent="0.4">
      <c r="A17" s="8" t="s">
        <v>19</v>
      </c>
      <c r="B17" s="8" t="s">
        <v>1100</v>
      </c>
      <c r="C17" s="8" t="s">
        <v>20</v>
      </c>
      <c r="D17" s="8" t="s">
        <v>1070</v>
      </c>
      <c r="E17" s="8" t="s">
        <v>21</v>
      </c>
      <c r="F17" s="8" t="s">
        <v>1584</v>
      </c>
      <c r="G17" s="8" t="s">
        <v>1768</v>
      </c>
      <c r="H17" s="8" t="s">
        <v>1874</v>
      </c>
      <c r="I17" s="21"/>
    </row>
    <row r="18" spans="1:9" ht="15.75" customHeight="1" x14ac:dyDescent="0.4">
      <c r="A18" s="8" t="s">
        <v>35</v>
      </c>
      <c r="B18" s="8" t="s">
        <v>152</v>
      </c>
      <c r="C18" s="8" t="s">
        <v>36</v>
      </c>
      <c r="D18" s="8" t="s">
        <v>11</v>
      </c>
      <c r="E18" s="8" t="s">
        <v>21</v>
      </c>
      <c r="F18" s="8" t="s">
        <v>1584</v>
      </c>
      <c r="G18" s="8" t="s">
        <v>1768</v>
      </c>
      <c r="H18" s="8" t="s">
        <v>1874</v>
      </c>
      <c r="I18" s="21"/>
    </row>
    <row r="19" spans="1:9" ht="15.75" customHeight="1" x14ac:dyDescent="0.4">
      <c r="A19" s="8" t="s">
        <v>35</v>
      </c>
      <c r="B19" s="8" t="s">
        <v>1417</v>
      </c>
      <c r="C19" s="8" t="s">
        <v>36</v>
      </c>
      <c r="D19" s="8" t="s">
        <v>1355</v>
      </c>
      <c r="E19" s="8" t="s">
        <v>21</v>
      </c>
      <c r="F19" s="8" t="s">
        <v>1584</v>
      </c>
      <c r="G19" s="8" t="s">
        <v>1768</v>
      </c>
      <c r="H19" s="8" t="s">
        <v>1874</v>
      </c>
      <c r="I19" s="21"/>
    </row>
    <row r="20" spans="1:9" ht="15.75" customHeight="1" x14ac:dyDescent="0.4">
      <c r="A20" s="8" t="s">
        <v>35</v>
      </c>
      <c r="B20" s="8" t="s">
        <v>1039</v>
      </c>
      <c r="C20" s="8" t="s">
        <v>36</v>
      </c>
      <c r="D20" s="8" t="s">
        <v>1040</v>
      </c>
      <c r="E20" s="8" t="s">
        <v>21</v>
      </c>
      <c r="F20" s="8" t="s">
        <v>1584</v>
      </c>
      <c r="G20" s="8" t="s">
        <v>1768</v>
      </c>
      <c r="H20" s="8" t="s">
        <v>1874</v>
      </c>
      <c r="I20" s="21"/>
    </row>
    <row r="21" spans="1:9" ht="15.75" customHeight="1" x14ac:dyDescent="0.4">
      <c r="A21" s="8" t="s">
        <v>35</v>
      </c>
      <c r="B21" s="8" t="s">
        <v>1068</v>
      </c>
      <c r="C21" s="8" t="s">
        <v>36</v>
      </c>
      <c r="D21" s="8" t="s">
        <v>1033</v>
      </c>
      <c r="E21" s="8" t="s">
        <v>21</v>
      </c>
      <c r="F21" s="8" t="s">
        <v>1584</v>
      </c>
      <c r="G21" s="8" t="s">
        <v>1768</v>
      </c>
      <c r="H21" s="8" t="s">
        <v>1874</v>
      </c>
      <c r="I21" s="21"/>
    </row>
    <row r="22" spans="1:9" ht="15.75" customHeight="1" x14ac:dyDescent="0.4">
      <c r="A22" s="8" t="s">
        <v>35</v>
      </c>
      <c r="B22" s="8" t="s">
        <v>1089</v>
      </c>
      <c r="C22" s="8" t="s">
        <v>36</v>
      </c>
      <c r="D22" s="8" t="s">
        <v>1062</v>
      </c>
      <c r="E22" s="8" t="s">
        <v>21</v>
      </c>
      <c r="F22" s="8" t="s">
        <v>1584</v>
      </c>
      <c r="G22" s="8" t="s">
        <v>1768</v>
      </c>
      <c r="H22" s="8" t="s">
        <v>1874</v>
      </c>
      <c r="I22" s="21"/>
    </row>
    <row r="23" spans="1:9" ht="15.75" customHeight="1" x14ac:dyDescent="0.4">
      <c r="A23" s="8" t="s">
        <v>35</v>
      </c>
      <c r="B23" s="8" t="s">
        <v>1100</v>
      </c>
      <c r="C23" s="8" t="s">
        <v>36</v>
      </c>
      <c r="D23" s="8" t="s">
        <v>1070</v>
      </c>
      <c r="E23" s="8" t="s">
        <v>21</v>
      </c>
      <c r="F23" s="8" t="s">
        <v>1584</v>
      </c>
      <c r="G23" s="8" t="s">
        <v>1768</v>
      </c>
      <c r="H23" s="8" t="s">
        <v>1874</v>
      </c>
      <c r="I23" s="21"/>
    </row>
    <row r="24" spans="1:9" ht="15.75" customHeight="1" x14ac:dyDescent="0.4">
      <c r="A24" s="8" t="s">
        <v>152</v>
      </c>
      <c r="B24" s="8" t="s">
        <v>1417</v>
      </c>
      <c r="C24" s="8" t="s">
        <v>11</v>
      </c>
      <c r="D24" s="8" t="s">
        <v>1355</v>
      </c>
      <c r="E24" s="8" t="s">
        <v>21</v>
      </c>
      <c r="F24" s="8" t="s">
        <v>1584</v>
      </c>
      <c r="G24" s="8" t="s">
        <v>1768</v>
      </c>
      <c r="H24" s="8" t="s">
        <v>1874</v>
      </c>
      <c r="I24" s="21"/>
    </row>
    <row r="25" spans="1:9" ht="15.75" customHeight="1" x14ac:dyDescent="0.4">
      <c r="A25" s="8" t="s">
        <v>152</v>
      </c>
      <c r="B25" s="8" t="s">
        <v>1039</v>
      </c>
      <c r="C25" s="8" t="s">
        <v>11</v>
      </c>
      <c r="D25" s="8" t="s">
        <v>1040</v>
      </c>
      <c r="E25" s="8" t="s">
        <v>21</v>
      </c>
      <c r="F25" s="8" t="s">
        <v>1584</v>
      </c>
      <c r="G25" s="8" t="s">
        <v>1768</v>
      </c>
      <c r="H25" s="8" t="s">
        <v>1874</v>
      </c>
      <c r="I25" s="21"/>
    </row>
    <row r="26" spans="1:9" ht="15.75" customHeight="1" x14ac:dyDescent="0.4">
      <c r="A26" s="8" t="s">
        <v>152</v>
      </c>
      <c r="B26" s="8" t="s">
        <v>1068</v>
      </c>
      <c r="C26" s="8" t="s">
        <v>11</v>
      </c>
      <c r="D26" s="8" t="s">
        <v>1033</v>
      </c>
      <c r="E26" s="8" t="s">
        <v>21</v>
      </c>
      <c r="F26" s="8" t="s">
        <v>1584</v>
      </c>
      <c r="G26" s="8" t="s">
        <v>1768</v>
      </c>
      <c r="H26" s="8" t="s">
        <v>1874</v>
      </c>
      <c r="I26" s="21"/>
    </row>
    <row r="27" spans="1:9" ht="15.75" customHeight="1" x14ac:dyDescent="0.4">
      <c r="A27" s="8" t="s">
        <v>152</v>
      </c>
      <c r="B27" s="8" t="s">
        <v>1089</v>
      </c>
      <c r="C27" s="8" t="s">
        <v>11</v>
      </c>
      <c r="D27" s="8" t="s">
        <v>1062</v>
      </c>
      <c r="E27" s="8" t="s">
        <v>21</v>
      </c>
      <c r="F27" s="8" t="s">
        <v>1584</v>
      </c>
      <c r="G27" s="8" t="s">
        <v>1768</v>
      </c>
      <c r="H27" s="8" t="s">
        <v>1874</v>
      </c>
      <c r="I27" s="21"/>
    </row>
    <row r="28" spans="1:9" ht="15.75" customHeight="1" x14ac:dyDescent="0.4">
      <c r="A28" s="8" t="s">
        <v>152</v>
      </c>
      <c r="B28" s="8" t="s">
        <v>1100</v>
      </c>
      <c r="C28" s="8" t="s">
        <v>11</v>
      </c>
      <c r="D28" s="8" t="s">
        <v>1070</v>
      </c>
      <c r="E28" s="8" t="s">
        <v>21</v>
      </c>
      <c r="F28" s="8" t="s">
        <v>1584</v>
      </c>
      <c r="G28" s="8" t="s">
        <v>1768</v>
      </c>
      <c r="H28" s="8" t="s">
        <v>1874</v>
      </c>
      <c r="I28" s="21"/>
    </row>
    <row r="29" spans="1:9" ht="15.75" customHeight="1" x14ac:dyDescent="0.4">
      <c r="A29" s="8" t="s">
        <v>1417</v>
      </c>
      <c r="B29" s="8" t="s">
        <v>1039</v>
      </c>
      <c r="C29" s="8" t="s">
        <v>1355</v>
      </c>
      <c r="D29" s="8" t="s">
        <v>1040</v>
      </c>
      <c r="E29" s="8" t="s">
        <v>21</v>
      </c>
      <c r="F29" s="8" t="s">
        <v>1584</v>
      </c>
      <c r="G29" s="8" t="s">
        <v>1768</v>
      </c>
      <c r="H29" s="8" t="s">
        <v>1874</v>
      </c>
      <c r="I29" s="21"/>
    </row>
    <row r="30" spans="1:9" ht="15.75" customHeight="1" x14ac:dyDescent="0.4">
      <c r="A30" s="8" t="s">
        <v>1417</v>
      </c>
      <c r="B30" s="8" t="s">
        <v>1068</v>
      </c>
      <c r="C30" s="8" t="s">
        <v>1355</v>
      </c>
      <c r="D30" s="8" t="s">
        <v>1033</v>
      </c>
      <c r="E30" s="8" t="s">
        <v>21</v>
      </c>
      <c r="F30" s="8" t="s">
        <v>1584</v>
      </c>
      <c r="G30" s="8" t="s">
        <v>1768</v>
      </c>
      <c r="H30" s="8" t="s">
        <v>1874</v>
      </c>
      <c r="I30" s="21"/>
    </row>
    <row r="31" spans="1:9" ht="15.75" customHeight="1" x14ac:dyDescent="0.4">
      <c r="A31" s="8" t="s">
        <v>1417</v>
      </c>
      <c r="B31" s="8" t="s">
        <v>1089</v>
      </c>
      <c r="C31" s="8" t="s">
        <v>1355</v>
      </c>
      <c r="D31" s="8" t="s">
        <v>1062</v>
      </c>
      <c r="E31" s="8" t="s">
        <v>21</v>
      </c>
      <c r="F31" s="8" t="s">
        <v>1584</v>
      </c>
      <c r="G31" s="8" t="s">
        <v>1768</v>
      </c>
      <c r="H31" s="8" t="s">
        <v>1874</v>
      </c>
      <c r="I31" s="21"/>
    </row>
    <row r="32" spans="1:9" ht="15.75" customHeight="1" x14ac:dyDescent="0.4">
      <c r="A32" s="8" t="s">
        <v>1417</v>
      </c>
      <c r="B32" s="8" t="s">
        <v>1100</v>
      </c>
      <c r="C32" s="8" t="s">
        <v>1355</v>
      </c>
      <c r="D32" s="8" t="s">
        <v>1070</v>
      </c>
      <c r="E32" s="8" t="s">
        <v>21</v>
      </c>
      <c r="F32" s="8" t="s">
        <v>1584</v>
      </c>
      <c r="G32" s="8" t="s">
        <v>1768</v>
      </c>
      <c r="H32" s="8" t="s">
        <v>1874</v>
      </c>
      <c r="I32" s="21"/>
    </row>
    <row r="33" spans="1:9" ht="15.75" customHeight="1" x14ac:dyDescent="0.4">
      <c r="A33" s="8" t="s">
        <v>1039</v>
      </c>
      <c r="B33" s="8" t="s">
        <v>1068</v>
      </c>
      <c r="C33" s="8" t="s">
        <v>1040</v>
      </c>
      <c r="D33" s="8" t="s">
        <v>1033</v>
      </c>
      <c r="E33" s="8" t="s">
        <v>21</v>
      </c>
      <c r="F33" s="8" t="s">
        <v>1584</v>
      </c>
      <c r="G33" s="8" t="s">
        <v>1768</v>
      </c>
      <c r="H33" s="8" t="s">
        <v>1874</v>
      </c>
      <c r="I33" s="21"/>
    </row>
    <row r="34" spans="1:9" ht="15.75" customHeight="1" x14ac:dyDescent="0.4">
      <c r="A34" s="8" t="s">
        <v>1039</v>
      </c>
      <c r="B34" s="8" t="s">
        <v>1089</v>
      </c>
      <c r="C34" s="8" t="s">
        <v>1040</v>
      </c>
      <c r="D34" s="8" t="s">
        <v>1062</v>
      </c>
      <c r="E34" s="8" t="s">
        <v>21</v>
      </c>
      <c r="F34" s="8" t="s">
        <v>1584</v>
      </c>
      <c r="G34" s="8" t="s">
        <v>1768</v>
      </c>
      <c r="H34" s="8" t="s">
        <v>1874</v>
      </c>
      <c r="I34" s="21"/>
    </row>
    <row r="35" spans="1:9" ht="15.75" customHeight="1" x14ac:dyDescent="0.4">
      <c r="A35" s="8" t="s">
        <v>1039</v>
      </c>
      <c r="B35" s="8" t="s">
        <v>1100</v>
      </c>
      <c r="C35" s="8" t="s">
        <v>1040</v>
      </c>
      <c r="D35" s="8" t="s">
        <v>1070</v>
      </c>
      <c r="E35" s="8" t="s">
        <v>21</v>
      </c>
      <c r="F35" s="8" t="s">
        <v>1584</v>
      </c>
      <c r="G35" s="8" t="s">
        <v>1768</v>
      </c>
      <c r="H35" s="8" t="s">
        <v>1874</v>
      </c>
      <c r="I35" s="21"/>
    </row>
    <row r="36" spans="1:9" ht="15.75" customHeight="1" x14ac:dyDescent="0.4">
      <c r="A36" s="8" t="s">
        <v>1144</v>
      </c>
      <c r="B36" s="8" t="s">
        <v>1194</v>
      </c>
      <c r="C36" s="8" t="s">
        <v>1145</v>
      </c>
      <c r="D36" s="8" t="s">
        <v>1158</v>
      </c>
      <c r="E36" s="8" t="s">
        <v>29</v>
      </c>
      <c r="F36" s="8" t="s">
        <v>1580</v>
      </c>
      <c r="G36" s="8" t="s">
        <v>1585</v>
      </c>
      <c r="H36" s="8" t="s">
        <v>1931</v>
      </c>
      <c r="I36" s="8" t="s">
        <v>1932</v>
      </c>
    </row>
    <row r="37" spans="1:9" ht="14.6" x14ac:dyDescent="0.4">
      <c r="A37" s="8" t="s">
        <v>1144</v>
      </c>
      <c r="B37" s="8" t="s">
        <v>1207</v>
      </c>
      <c r="C37" s="8" t="s">
        <v>1145</v>
      </c>
      <c r="D37" s="8" t="s">
        <v>1156</v>
      </c>
      <c r="E37" s="8" t="s">
        <v>29</v>
      </c>
      <c r="F37" s="8" t="s">
        <v>1580</v>
      </c>
      <c r="G37" s="8" t="s">
        <v>1768</v>
      </c>
      <c r="H37" s="8" t="s">
        <v>1933</v>
      </c>
      <c r="I37" s="8" t="s">
        <v>1934</v>
      </c>
    </row>
    <row r="38" spans="1:9" ht="14.6" x14ac:dyDescent="0.4">
      <c r="A38" s="8" t="s">
        <v>1194</v>
      </c>
      <c r="B38" s="8" t="s">
        <v>1207</v>
      </c>
      <c r="C38" s="8" t="s">
        <v>1158</v>
      </c>
      <c r="D38" s="8" t="s">
        <v>1156</v>
      </c>
      <c r="E38" s="8" t="s">
        <v>29</v>
      </c>
      <c r="F38" s="8" t="s">
        <v>1580</v>
      </c>
      <c r="G38" s="8" t="s">
        <v>1768</v>
      </c>
      <c r="H38" s="8" t="s">
        <v>1935</v>
      </c>
      <c r="I38" s="8" t="s">
        <v>1936</v>
      </c>
    </row>
    <row r="39" spans="1:9" ht="14.6" x14ac:dyDescent="0.4">
      <c r="A39" s="8" t="s">
        <v>1254</v>
      </c>
      <c r="B39" s="8" t="s">
        <v>1194</v>
      </c>
      <c r="C39" s="8" t="s">
        <v>1145</v>
      </c>
      <c r="D39" s="8" t="s">
        <v>1158</v>
      </c>
      <c r="E39" s="8" t="s">
        <v>29</v>
      </c>
      <c r="F39" s="8" t="s">
        <v>1580</v>
      </c>
      <c r="G39" s="8" t="s">
        <v>1585</v>
      </c>
      <c r="H39" s="8" t="s">
        <v>1937</v>
      </c>
      <c r="I39" s="8" t="s">
        <v>1932</v>
      </c>
    </row>
    <row r="40" spans="1:9" ht="14.6" x14ac:dyDescent="0.4">
      <c r="A40" s="8" t="s">
        <v>1254</v>
      </c>
      <c r="B40" s="8" t="s">
        <v>1207</v>
      </c>
      <c r="C40" s="8" t="s">
        <v>1145</v>
      </c>
      <c r="D40" s="8" t="s">
        <v>1156</v>
      </c>
      <c r="E40" s="8" t="s">
        <v>29</v>
      </c>
      <c r="F40" s="8" t="s">
        <v>1580</v>
      </c>
      <c r="G40" s="8" t="s">
        <v>1768</v>
      </c>
      <c r="H40" s="8" t="s">
        <v>1938</v>
      </c>
      <c r="I40" s="8" t="s">
        <v>1934</v>
      </c>
    </row>
    <row r="41" spans="1:9" ht="14.6" x14ac:dyDescent="0.4">
      <c r="A41" s="8" t="s">
        <v>27</v>
      </c>
      <c r="B41" s="8" t="s">
        <v>69</v>
      </c>
      <c r="C41" s="8" t="s">
        <v>28</v>
      </c>
      <c r="D41" s="8" t="s">
        <v>70</v>
      </c>
      <c r="E41" s="8" t="s">
        <v>29</v>
      </c>
      <c r="F41" s="8" t="s">
        <v>1584</v>
      </c>
      <c r="G41" s="8" t="s">
        <v>1768</v>
      </c>
      <c r="H41" s="8" t="s">
        <v>1874</v>
      </c>
      <c r="I41" s="21"/>
    </row>
    <row r="42" spans="1:9" ht="14.6" x14ac:dyDescent="0.4">
      <c r="A42" s="8" t="s">
        <v>27</v>
      </c>
      <c r="B42" s="8" t="s">
        <v>96</v>
      </c>
      <c r="C42" s="8" t="s">
        <v>28</v>
      </c>
      <c r="D42" s="8" t="s">
        <v>8</v>
      </c>
      <c r="E42" s="8" t="s">
        <v>29</v>
      </c>
      <c r="F42" s="8" t="s">
        <v>1584</v>
      </c>
      <c r="G42" s="8" t="s">
        <v>1768</v>
      </c>
      <c r="H42" s="8" t="s">
        <v>1874</v>
      </c>
      <c r="I42" s="21"/>
    </row>
    <row r="43" spans="1:9" ht="14.6" x14ac:dyDescent="0.4">
      <c r="A43" s="8" t="s">
        <v>27</v>
      </c>
      <c r="B43" s="8" t="s">
        <v>100</v>
      </c>
      <c r="C43" s="8" t="s">
        <v>28</v>
      </c>
      <c r="D43" s="8" t="s">
        <v>101</v>
      </c>
      <c r="E43" s="8" t="s">
        <v>29</v>
      </c>
      <c r="F43" s="8" t="s">
        <v>1584</v>
      </c>
      <c r="G43" s="8" t="s">
        <v>1768</v>
      </c>
      <c r="H43" s="8" t="s">
        <v>1874</v>
      </c>
      <c r="I43" s="21"/>
    </row>
    <row r="44" spans="1:9" ht="14.6" x14ac:dyDescent="0.4">
      <c r="A44" s="8" t="s">
        <v>27</v>
      </c>
      <c r="B44" s="8" t="s">
        <v>1144</v>
      </c>
      <c r="C44" s="8" t="s">
        <v>28</v>
      </c>
      <c r="D44" s="8" t="s">
        <v>1145</v>
      </c>
      <c r="E44" s="8" t="s">
        <v>29</v>
      </c>
      <c r="F44" s="8" t="s">
        <v>1584</v>
      </c>
      <c r="G44" s="8" t="s">
        <v>1768</v>
      </c>
      <c r="H44" s="8" t="s">
        <v>1874</v>
      </c>
      <c r="I44" s="21"/>
    </row>
    <row r="45" spans="1:9" ht="14.6" x14ac:dyDescent="0.4">
      <c r="A45" s="8" t="s">
        <v>27</v>
      </c>
      <c r="B45" s="8" t="s">
        <v>1194</v>
      </c>
      <c r="C45" s="8" t="s">
        <v>28</v>
      </c>
      <c r="D45" s="8" t="s">
        <v>1158</v>
      </c>
      <c r="E45" s="8" t="s">
        <v>29</v>
      </c>
      <c r="F45" s="8" t="s">
        <v>1584</v>
      </c>
      <c r="G45" s="8" t="s">
        <v>1768</v>
      </c>
      <c r="H45" s="8" t="s">
        <v>1874</v>
      </c>
      <c r="I45" s="21"/>
    </row>
    <row r="46" spans="1:9" ht="14.6" x14ac:dyDescent="0.4">
      <c r="A46" s="8" t="s">
        <v>27</v>
      </c>
      <c r="B46" s="8" t="s">
        <v>1207</v>
      </c>
      <c r="C46" s="8" t="s">
        <v>28</v>
      </c>
      <c r="D46" s="8" t="s">
        <v>1156</v>
      </c>
      <c r="E46" s="8" t="s">
        <v>29</v>
      </c>
      <c r="F46" s="8" t="s">
        <v>1584</v>
      </c>
      <c r="G46" s="8" t="s">
        <v>1768</v>
      </c>
      <c r="H46" s="8" t="s">
        <v>1874</v>
      </c>
      <c r="I46" s="21"/>
    </row>
    <row r="47" spans="1:9" ht="14.6" x14ac:dyDescent="0.4">
      <c r="A47" s="8" t="s">
        <v>27</v>
      </c>
      <c r="B47" s="8" t="s">
        <v>1254</v>
      </c>
      <c r="C47" s="8" t="s">
        <v>28</v>
      </c>
      <c r="D47" s="8" t="s">
        <v>1145</v>
      </c>
      <c r="E47" s="8" t="s">
        <v>29</v>
      </c>
      <c r="F47" s="8" t="s">
        <v>1584</v>
      </c>
      <c r="G47" s="8" t="s">
        <v>1768</v>
      </c>
      <c r="H47" s="8" t="s">
        <v>1874</v>
      </c>
      <c r="I47" s="21"/>
    </row>
    <row r="48" spans="1:9" ht="14.6" x14ac:dyDescent="0.4">
      <c r="A48" s="8" t="s">
        <v>69</v>
      </c>
      <c r="B48" s="8" t="s">
        <v>96</v>
      </c>
      <c r="C48" s="8" t="s">
        <v>70</v>
      </c>
      <c r="D48" s="8" t="s">
        <v>8</v>
      </c>
      <c r="E48" s="8" t="s">
        <v>29</v>
      </c>
      <c r="F48" s="8" t="s">
        <v>1584</v>
      </c>
      <c r="G48" s="8" t="s">
        <v>1768</v>
      </c>
      <c r="H48" s="8" t="s">
        <v>1874</v>
      </c>
      <c r="I48" s="21"/>
    </row>
    <row r="49" spans="1:9" ht="14.6" x14ac:dyDescent="0.4">
      <c r="A49" s="8" t="s">
        <v>69</v>
      </c>
      <c r="B49" s="8" t="s">
        <v>100</v>
      </c>
      <c r="C49" s="8" t="s">
        <v>70</v>
      </c>
      <c r="D49" s="8" t="s">
        <v>101</v>
      </c>
      <c r="E49" s="8" t="s">
        <v>29</v>
      </c>
      <c r="F49" s="8" t="s">
        <v>1584</v>
      </c>
      <c r="G49" s="8" t="s">
        <v>1768</v>
      </c>
      <c r="H49" s="8" t="s">
        <v>1874</v>
      </c>
      <c r="I49" s="21"/>
    </row>
    <row r="50" spans="1:9" ht="14.6" x14ac:dyDescent="0.4">
      <c r="A50" s="8" t="s">
        <v>69</v>
      </c>
      <c r="B50" s="8" t="s">
        <v>1144</v>
      </c>
      <c r="C50" s="8" t="s">
        <v>70</v>
      </c>
      <c r="D50" s="8" t="s">
        <v>1145</v>
      </c>
      <c r="E50" s="8" t="s">
        <v>29</v>
      </c>
      <c r="F50" s="8" t="s">
        <v>1584</v>
      </c>
      <c r="G50" s="8" t="s">
        <v>1768</v>
      </c>
      <c r="H50" s="8" t="s">
        <v>1874</v>
      </c>
      <c r="I50" s="21"/>
    </row>
    <row r="51" spans="1:9" ht="14.6" x14ac:dyDescent="0.4">
      <c r="A51" s="8" t="s">
        <v>69</v>
      </c>
      <c r="B51" s="8" t="s">
        <v>1194</v>
      </c>
      <c r="C51" s="8" t="s">
        <v>70</v>
      </c>
      <c r="D51" s="8" t="s">
        <v>1158</v>
      </c>
      <c r="E51" s="8" t="s">
        <v>29</v>
      </c>
      <c r="F51" s="8" t="s">
        <v>1584</v>
      </c>
      <c r="G51" s="8" t="s">
        <v>1768</v>
      </c>
      <c r="H51" s="8" t="s">
        <v>1874</v>
      </c>
      <c r="I51" s="21"/>
    </row>
    <row r="52" spans="1:9" ht="14.6" x14ac:dyDescent="0.4">
      <c r="A52" s="8" t="s">
        <v>69</v>
      </c>
      <c r="B52" s="8" t="s">
        <v>1207</v>
      </c>
      <c r="C52" s="8" t="s">
        <v>70</v>
      </c>
      <c r="D52" s="8" t="s">
        <v>1156</v>
      </c>
      <c r="E52" s="8" t="s">
        <v>29</v>
      </c>
      <c r="F52" s="8" t="s">
        <v>1584</v>
      </c>
      <c r="G52" s="8" t="s">
        <v>1768</v>
      </c>
      <c r="H52" s="8" t="s">
        <v>1874</v>
      </c>
      <c r="I52" s="21"/>
    </row>
    <row r="53" spans="1:9" ht="14.6" x14ac:dyDescent="0.4">
      <c r="A53" s="8" t="s">
        <v>69</v>
      </c>
      <c r="B53" s="8" t="s">
        <v>1254</v>
      </c>
      <c r="C53" s="8" t="s">
        <v>70</v>
      </c>
      <c r="D53" s="8" t="s">
        <v>1145</v>
      </c>
      <c r="E53" s="8" t="s">
        <v>29</v>
      </c>
      <c r="F53" s="8" t="s">
        <v>1584</v>
      </c>
      <c r="G53" s="8" t="s">
        <v>1768</v>
      </c>
      <c r="H53" s="8" t="s">
        <v>1874</v>
      </c>
      <c r="I53" s="21"/>
    </row>
    <row r="54" spans="1:9" ht="14.6" x14ac:dyDescent="0.4">
      <c r="A54" s="8" t="s">
        <v>96</v>
      </c>
      <c r="B54" s="8" t="s">
        <v>100</v>
      </c>
      <c r="C54" s="8" t="s">
        <v>8</v>
      </c>
      <c r="D54" s="8" t="s">
        <v>101</v>
      </c>
      <c r="E54" s="8" t="s">
        <v>29</v>
      </c>
      <c r="F54" s="8" t="s">
        <v>1584</v>
      </c>
      <c r="G54" s="8" t="s">
        <v>1768</v>
      </c>
      <c r="H54" s="8" t="s">
        <v>1874</v>
      </c>
      <c r="I54" s="21"/>
    </row>
    <row r="55" spans="1:9" ht="14.6" x14ac:dyDescent="0.4">
      <c r="A55" s="8" t="s">
        <v>96</v>
      </c>
      <c r="B55" s="8" t="s">
        <v>1144</v>
      </c>
      <c r="C55" s="8" t="s">
        <v>8</v>
      </c>
      <c r="D55" s="8" t="s">
        <v>1145</v>
      </c>
      <c r="E55" s="8" t="s">
        <v>29</v>
      </c>
      <c r="F55" s="8" t="s">
        <v>1584</v>
      </c>
      <c r="G55" s="8" t="s">
        <v>1768</v>
      </c>
      <c r="H55" s="8" t="s">
        <v>1874</v>
      </c>
      <c r="I55" s="21"/>
    </row>
    <row r="56" spans="1:9" ht="14.6" x14ac:dyDescent="0.4">
      <c r="A56" s="8" t="s">
        <v>96</v>
      </c>
      <c r="B56" s="8" t="s">
        <v>1194</v>
      </c>
      <c r="C56" s="8" t="s">
        <v>8</v>
      </c>
      <c r="D56" s="8" t="s">
        <v>1158</v>
      </c>
      <c r="E56" s="8" t="s">
        <v>29</v>
      </c>
      <c r="F56" s="8" t="s">
        <v>1584</v>
      </c>
      <c r="G56" s="8" t="s">
        <v>1768</v>
      </c>
      <c r="H56" s="8" t="s">
        <v>1874</v>
      </c>
      <c r="I56" s="21"/>
    </row>
    <row r="57" spans="1:9" ht="14.6" x14ac:dyDescent="0.4">
      <c r="A57" s="8" t="s">
        <v>96</v>
      </c>
      <c r="B57" s="8" t="s">
        <v>1207</v>
      </c>
      <c r="C57" s="8" t="s">
        <v>8</v>
      </c>
      <c r="D57" s="8" t="s">
        <v>1156</v>
      </c>
      <c r="E57" s="8" t="s">
        <v>29</v>
      </c>
      <c r="F57" s="8" t="s">
        <v>1584</v>
      </c>
      <c r="G57" s="8" t="s">
        <v>1768</v>
      </c>
      <c r="H57" s="8" t="s">
        <v>1874</v>
      </c>
      <c r="I57" s="21"/>
    </row>
    <row r="58" spans="1:9" ht="14.6" x14ac:dyDescent="0.4">
      <c r="A58" s="8" t="s">
        <v>96</v>
      </c>
      <c r="B58" s="8" t="s">
        <v>1254</v>
      </c>
      <c r="C58" s="8" t="s">
        <v>8</v>
      </c>
      <c r="D58" s="8" t="s">
        <v>1145</v>
      </c>
      <c r="E58" s="8" t="s">
        <v>29</v>
      </c>
      <c r="F58" s="8" t="s">
        <v>1584</v>
      </c>
      <c r="G58" s="8" t="s">
        <v>1768</v>
      </c>
      <c r="H58" s="8" t="s">
        <v>1874</v>
      </c>
      <c r="I58" s="21"/>
    </row>
    <row r="59" spans="1:9" ht="14.6" x14ac:dyDescent="0.4">
      <c r="A59" s="8" t="s">
        <v>100</v>
      </c>
      <c r="B59" s="8" t="s">
        <v>1144</v>
      </c>
      <c r="C59" s="8" t="s">
        <v>101</v>
      </c>
      <c r="D59" s="8" t="s">
        <v>1145</v>
      </c>
      <c r="E59" s="8" t="s">
        <v>29</v>
      </c>
      <c r="F59" s="8" t="s">
        <v>1584</v>
      </c>
      <c r="G59" s="8" t="s">
        <v>1768</v>
      </c>
      <c r="H59" s="8" t="s">
        <v>1874</v>
      </c>
      <c r="I59" s="21"/>
    </row>
    <row r="60" spans="1:9" ht="14.6" x14ac:dyDescent="0.4">
      <c r="A60" s="8" t="s">
        <v>100</v>
      </c>
      <c r="B60" s="8" t="s">
        <v>1194</v>
      </c>
      <c r="C60" s="8" t="s">
        <v>101</v>
      </c>
      <c r="D60" s="8" t="s">
        <v>1158</v>
      </c>
      <c r="E60" s="8" t="s">
        <v>29</v>
      </c>
      <c r="F60" s="8" t="s">
        <v>1584</v>
      </c>
      <c r="G60" s="8" t="s">
        <v>1768</v>
      </c>
      <c r="H60" s="8" t="s">
        <v>1874</v>
      </c>
      <c r="I60" s="21"/>
    </row>
    <row r="61" spans="1:9" ht="14.6" x14ac:dyDescent="0.4">
      <c r="A61" s="8" t="s">
        <v>100</v>
      </c>
      <c r="B61" s="8" t="s">
        <v>1207</v>
      </c>
      <c r="C61" s="8" t="s">
        <v>101</v>
      </c>
      <c r="D61" s="8" t="s">
        <v>1156</v>
      </c>
      <c r="E61" s="8" t="s">
        <v>29</v>
      </c>
      <c r="F61" s="8" t="s">
        <v>1584</v>
      </c>
      <c r="G61" s="8" t="s">
        <v>1768</v>
      </c>
      <c r="H61" s="8" t="s">
        <v>1874</v>
      </c>
      <c r="I61" s="21"/>
    </row>
    <row r="62" spans="1:9" ht="14.6" x14ac:dyDescent="0.4">
      <c r="A62" s="8" t="s">
        <v>100</v>
      </c>
      <c r="B62" s="8" t="s">
        <v>1254</v>
      </c>
      <c r="C62" s="8" t="s">
        <v>101</v>
      </c>
      <c r="D62" s="8" t="s">
        <v>1145</v>
      </c>
      <c r="E62" s="8" t="s">
        <v>29</v>
      </c>
      <c r="F62" s="8" t="s">
        <v>1584</v>
      </c>
      <c r="G62" s="8" t="s">
        <v>1768</v>
      </c>
      <c r="H62" s="8" t="s">
        <v>1874</v>
      </c>
      <c r="I62" s="21"/>
    </row>
    <row r="63" spans="1:9" ht="14.6" x14ac:dyDescent="0.4">
      <c r="A63" s="8" t="s">
        <v>1144</v>
      </c>
      <c r="B63" s="8" t="s">
        <v>1254</v>
      </c>
      <c r="C63" s="8" t="s">
        <v>1145</v>
      </c>
      <c r="D63" s="8" t="s">
        <v>1145</v>
      </c>
      <c r="E63" s="8" t="s">
        <v>29</v>
      </c>
      <c r="F63" s="8" t="s">
        <v>1584</v>
      </c>
      <c r="G63" s="8" t="s">
        <v>1768</v>
      </c>
      <c r="H63" s="8" t="s">
        <v>1874</v>
      </c>
      <c r="I63" s="21"/>
    </row>
    <row r="64" spans="1:9" ht="14.6" x14ac:dyDescent="0.4">
      <c r="A64" s="8" t="s">
        <v>1065</v>
      </c>
      <c r="B64" s="8" t="s">
        <v>1134</v>
      </c>
      <c r="C64" s="8" t="s">
        <v>1062</v>
      </c>
      <c r="D64" s="8" t="s">
        <v>1070</v>
      </c>
      <c r="E64" s="8" t="s">
        <v>18</v>
      </c>
      <c r="F64" s="8" t="s">
        <v>1580</v>
      </c>
      <c r="G64" s="8" t="s">
        <v>1581</v>
      </c>
      <c r="H64" s="8" t="s">
        <v>1939</v>
      </c>
      <c r="I64" s="8" t="s">
        <v>1940</v>
      </c>
    </row>
    <row r="65" spans="1:9" ht="14.6" x14ac:dyDescent="0.4">
      <c r="A65" s="8" t="s">
        <v>16</v>
      </c>
      <c r="B65" s="8" t="s">
        <v>48</v>
      </c>
      <c r="C65" s="8" t="s">
        <v>17</v>
      </c>
      <c r="D65" s="8" t="s">
        <v>49</v>
      </c>
      <c r="E65" s="8" t="s">
        <v>18</v>
      </c>
      <c r="F65" s="8" t="s">
        <v>1584</v>
      </c>
      <c r="G65" s="8" t="s">
        <v>1768</v>
      </c>
      <c r="H65" s="8" t="s">
        <v>1874</v>
      </c>
      <c r="I65" s="21"/>
    </row>
    <row r="66" spans="1:9" ht="14.6" x14ac:dyDescent="0.4">
      <c r="A66" s="8" t="s">
        <v>16</v>
      </c>
      <c r="B66" s="8" t="s">
        <v>71</v>
      </c>
      <c r="C66" s="8" t="s">
        <v>17</v>
      </c>
      <c r="D66" s="8" t="s">
        <v>72</v>
      </c>
      <c r="E66" s="8" t="s">
        <v>18</v>
      </c>
      <c r="F66" s="8" t="s">
        <v>1584</v>
      </c>
      <c r="G66" s="8" t="s">
        <v>1768</v>
      </c>
      <c r="H66" s="8" t="s">
        <v>1874</v>
      </c>
      <c r="I66" s="21"/>
    </row>
    <row r="67" spans="1:9" ht="14.6" x14ac:dyDescent="0.4">
      <c r="A67" s="8" t="s">
        <v>16</v>
      </c>
      <c r="B67" s="8" t="s">
        <v>92</v>
      </c>
      <c r="C67" s="8" t="s">
        <v>17</v>
      </c>
      <c r="D67" s="8" t="s">
        <v>93</v>
      </c>
      <c r="E67" s="8" t="s">
        <v>18</v>
      </c>
      <c r="F67" s="8" t="s">
        <v>1584</v>
      </c>
      <c r="G67" s="8" t="s">
        <v>1768</v>
      </c>
      <c r="H67" s="8" t="s">
        <v>1874</v>
      </c>
      <c r="I67" s="21"/>
    </row>
    <row r="68" spans="1:9" ht="14.6" x14ac:dyDescent="0.4">
      <c r="A68" s="8" t="s">
        <v>16</v>
      </c>
      <c r="B68" s="8" t="s">
        <v>1065</v>
      </c>
      <c r="C68" s="8" t="s">
        <v>17</v>
      </c>
      <c r="D68" s="8" t="s">
        <v>1062</v>
      </c>
      <c r="E68" s="8" t="s">
        <v>18</v>
      </c>
      <c r="F68" s="8" t="s">
        <v>1584</v>
      </c>
      <c r="G68" s="8" t="s">
        <v>1768</v>
      </c>
      <c r="H68" s="8" t="s">
        <v>1874</v>
      </c>
      <c r="I68" s="21"/>
    </row>
    <row r="69" spans="1:9" ht="14.6" x14ac:dyDescent="0.4">
      <c r="A69" s="8" t="s">
        <v>16</v>
      </c>
      <c r="B69" s="8" t="s">
        <v>1134</v>
      </c>
      <c r="C69" s="8" t="s">
        <v>17</v>
      </c>
      <c r="D69" s="8" t="s">
        <v>1070</v>
      </c>
      <c r="E69" s="8" t="s">
        <v>18</v>
      </c>
      <c r="F69" s="8" t="s">
        <v>1584</v>
      </c>
      <c r="G69" s="8" t="s">
        <v>1768</v>
      </c>
      <c r="H69" s="8" t="s">
        <v>1874</v>
      </c>
      <c r="I69" s="21"/>
    </row>
    <row r="70" spans="1:9" ht="14.6" x14ac:dyDescent="0.4">
      <c r="A70" s="8" t="s">
        <v>48</v>
      </c>
      <c r="B70" s="8" t="s">
        <v>71</v>
      </c>
      <c r="C70" s="8" t="s">
        <v>49</v>
      </c>
      <c r="D70" s="8" t="s">
        <v>72</v>
      </c>
      <c r="E70" s="8" t="s">
        <v>18</v>
      </c>
      <c r="F70" s="8" t="s">
        <v>1584</v>
      </c>
      <c r="G70" s="8" t="s">
        <v>1768</v>
      </c>
      <c r="H70" s="8" t="s">
        <v>1874</v>
      </c>
      <c r="I70" s="21"/>
    </row>
    <row r="71" spans="1:9" ht="14.6" x14ac:dyDescent="0.4">
      <c r="A71" s="8" t="s">
        <v>48</v>
      </c>
      <c r="B71" s="8" t="s">
        <v>92</v>
      </c>
      <c r="C71" s="8" t="s">
        <v>49</v>
      </c>
      <c r="D71" s="8" t="s">
        <v>93</v>
      </c>
      <c r="E71" s="8" t="s">
        <v>18</v>
      </c>
      <c r="F71" s="8" t="s">
        <v>1584</v>
      </c>
      <c r="G71" s="8" t="s">
        <v>1768</v>
      </c>
      <c r="H71" s="8" t="s">
        <v>1874</v>
      </c>
      <c r="I71" s="21"/>
    </row>
    <row r="72" spans="1:9" ht="14.6" x14ac:dyDescent="0.4">
      <c r="A72" s="8" t="s">
        <v>48</v>
      </c>
      <c r="B72" s="8" t="s">
        <v>1065</v>
      </c>
      <c r="C72" s="8" t="s">
        <v>49</v>
      </c>
      <c r="D72" s="8" t="s">
        <v>1062</v>
      </c>
      <c r="E72" s="8" t="s">
        <v>18</v>
      </c>
      <c r="F72" s="8" t="s">
        <v>1584</v>
      </c>
      <c r="G72" s="8" t="s">
        <v>1768</v>
      </c>
      <c r="H72" s="8" t="s">
        <v>1874</v>
      </c>
      <c r="I72" s="21"/>
    </row>
    <row r="73" spans="1:9" ht="14.6" x14ac:dyDescent="0.4">
      <c r="A73" s="8" t="s">
        <v>48</v>
      </c>
      <c r="B73" s="8" t="s">
        <v>1134</v>
      </c>
      <c r="C73" s="8" t="s">
        <v>49</v>
      </c>
      <c r="D73" s="8" t="s">
        <v>1070</v>
      </c>
      <c r="E73" s="8" t="s">
        <v>18</v>
      </c>
      <c r="F73" s="8" t="s">
        <v>1584</v>
      </c>
      <c r="G73" s="8" t="s">
        <v>1768</v>
      </c>
      <c r="H73" s="8" t="s">
        <v>1874</v>
      </c>
      <c r="I73" s="21"/>
    </row>
    <row r="74" spans="1:9" ht="14.6" x14ac:dyDescent="0.4">
      <c r="A74" s="8" t="s">
        <v>71</v>
      </c>
      <c r="B74" s="8" t="s">
        <v>92</v>
      </c>
      <c r="C74" s="8" t="s">
        <v>72</v>
      </c>
      <c r="D74" s="8" t="s">
        <v>93</v>
      </c>
      <c r="E74" s="8" t="s">
        <v>18</v>
      </c>
      <c r="F74" s="8" t="s">
        <v>1584</v>
      </c>
      <c r="G74" s="8" t="s">
        <v>1768</v>
      </c>
      <c r="H74" s="8" t="s">
        <v>1874</v>
      </c>
      <c r="I74" s="21"/>
    </row>
    <row r="75" spans="1:9" ht="14.6" x14ac:dyDescent="0.4">
      <c r="A75" s="8" t="s">
        <v>71</v>
      </c>
      <c r="B75" s="8" t="s">
        <v>1065</v>
      </c>
      <c r="C75" s="8" t="s">
        <v>72</v>
      </c>
      <c r="D75" s="8" t="s">
        <v>1062</v>
      </c>
      <c r="E75" s="8" t="s">
        <v>18</v>
      </c>
      <c r="F75" s="8" t="s">
        <v>1584</v>
      </c>
      <c r="G75" s="8" t="s">
        <v>1768</v>
      </c>
      <c r="H75" s="8" t="s">
        <v>1874</v>
      </c>
      <c r="I75" s="21"/>
    </row>
    <row r="76" spans="1:9" ht="14.6" x14ac:dyDescent="0.4">
      <c r="A76" s="8" t="s">
        <v>71</v>
      </c>
      <c r="B76" s="8" t="s">
        <v>1134</v>
      </c>
      <c r="C76" s="8" t="s">
        <v>72</v>
      </c>
      <c r="D76" s="8" t="s">
        <v>1070</v>
      </c>
      <c r="E76" s="8" t="s">
        <v>18</v>
      </c>
      <c r="F76" s="8" t="s">
        <v>1584</v>
      </c>
      <c r="G76" s="8" t="s">
        <v>1768</v>
      </c>
      <c r="H76" s="8" t="s">
        <v>1874</v>
      </c>
      <c r="I76" s="21"/>
    </row>
    <row r="77" spans="1:9" ht="14.6" x14ac:dyDescent="0.4">
      <c r="A77" s="8" t="s">
        <v>92</v>
      </c>
      <c r="B77" s="8" t="s">
        <v>1065</v>
      </c>
      <c r="C77" s="8" t="s">
        <v>93</v>
      </c>
      <c r="D77" s="8" t="s">
        <v>1062</v>
      </c>
      <c r="E77" s="8" t="s">
        <v>18</v>
      </c>
      <c r="F77" s="8" t="s">
        <v>1584</v>
      </c>
      <c r="G77" s="8" t="s">
        <v>1768</v>
      </c>
      <c r="H77" s="8" t="s">
        <v>1874</v>
      </c>
      <c r="I77" s="21"/>
    </row>
    <row r="78" spans="1:9" ht="14.6" x14ac:dyDescent="0.4">
      <c r="A78" s="8" t="s">
        <v>92</v>
      </c>
      <c r="B78" s="8" t="s">
        <v>1134</v>
      </c>
      <c r="C78" s="8" t="s">
        <v>93</v>
      </c>
      <c r="D78" s="8" t="s">
        <v>1070</v>
      </c>
      <c r="E78" s="8" t="s">
        <v>18</v>
      </c>
      <c r="F78" s="8" t="s">
        <v>1584</v>
      </c>
      <c r="G78" s="8" t="s">
        <v>1768</v>
      </c>
      <c r="H78" s="8" t="s">
        <v>1874</v>
      </c>
      <c r="I78" s="21"/>
    </row>
    <row r="79" spans="1:9" ht="14.6" x14ac:dyDescent="0.4">
      <c r="A79" s="8" t="s">
        <v>1069</v>
      </c>
      <c r="B79" s="8" t="s">
        <v>1097</v>
      </c>
      <c r="C79" s="8" t="s">
        <v>1070</v>
      </c>
      <c r="D79" s="8" t="s">
        <v>1038</v>
      </c>
      <c r="E79" s="8" t="s">
        <v>65</v>
      </c>
      <c r="F79" s="8" t="s">
        <v>1580</v>
      </c>
      <c r="G79" s="8" t="s">
        <v>1581</v>
      </c>
      <c r="H79" s="8" t="s">
        <v>1941</v>
      </c>
      <c r="I79" s="8" t="s">
        <v>1942</v>
      </c>
    </row>
    <row r="80" spans="1:9" ht="14.6" x14ac:dyDescent="0.4">
      <c r="A80" s="8" t="s">
        <v>1115</v>
      </c>
      <c r="B80" s="8" t="s">
        <v>1121</v>
      </c>
      <c r="C80" s="8" t="s">
        <v>1047</v>
      </c>
      <c r="D80" s="8" t="s">
        <v>1031</v>
      </c>
      <c r="E80" s="8" t="s">
        <v>65</v>
      </c>
      <c r="F80" s="8" t="s">
        <v>1580</v>
      </c>
      <c r="G80" s="8" t="s">
        <v>1581</v>
      </c>
      <c r="H80" s="8" t="s">
        <v>1943</v>
      </c>
      <c r="I80" s="8" t="s">
        <v>1944</v>
      </c>
    </row>
    <row r="81" spans="1:9" ht="14.6" x14ac:dyDescent="0.4">
      <c r="A81" s="8" t="s">
        <v>63</v>
      </c>
      <c r="B81" s="8" t="s">
        <v>73</v>
      </c>
      <c r="C81" s="8" t="s">
        <v>64</v>
      </c>
      <c r="D81" s="8" t="s">
        <v>74</v>
      </c>
      <c r="E81" s="8" t="s">
        <v>65</v>
      </c>
      <c r="F81" s="8" t="s">
        <v>1584</v>
      </c>
      <c r="G81" s="8" t="s">
        <v>1768</v>
      </c>
      <c r="H81" s="8" t="s">
        <v>1874</v>
      </c>
      <c r="I81" s="21"/>
    </row>
    <row r="82" spans="1:9" ht="14.6" x14ac:dyDescent="0.4">
      <c r="A82" s="8" t="s">
        <v>63</v>
      </c>
      <c r="B82" s="8" t="s">
        <v>75</v>
      </c>
      <c r="C82" s="8" t="s">
        <v>64</v>
      </c>
      <c r="D82" s="8" t="s">
        <v>76</v>
      </c>
      <c r="E82" s="8" t="s">
        <v>65</v>
      </c>
      <c r="F82" s="8" t="s">
        <v>1584</v>
      </c>
      <c r="G82" s="8" t="s">
        <v>1768</v>
      </c>
      <c r="H82" s="8" t="s">
        <v>1874</v>
      </c>
      <c r="I82" s="21"/>
    </row>
    <row r="83" spans="1:9" ht="14.6" x14ac:dyDescent="0.4">
      <c r="A83" s="8" t="s">
        <v>63</v>
      </c>
      <c r="B83" s="8" t="s">
        <v>89</v>
      </c>
      <c r="C83" s="8" t="s">
        <v>64</v>
      </c>
      <c r="D83" s="8" t="s">
        <v>90</v>
      </c>
      <c r="E83" s="8" t="s">
        <v>65</v>
      </c>
      <c r="F83" s="8" t="s">
        <v>1584</v>
      </c>
      <c r="G83" s="8" t="s">
        <v>1768</v>
      </c>
      <c r="H83" s="8" t="s">
        <v>1874</v>
      </c>
      <c r="I83" s="21"/>
    </row>
    <row r="84" spans="1:9" ht="14.6" x14ac:dyDescent="0.4">
      <c r="A84" s="8" t="s">
        <v>63</v>
      </c>
      <c r="B84" s="8" t="s">
        <v>1069</v>
      </c>
      <c r="C84" s="8" t="s">
        <v>64</v>
      </c>
      <c r="D84" s="8" t="s">
        <v>1070</v>
      </c>
      <c r="E84" s="8" t="s">
        <v>65</v>
      </c>
      <c r="F84" s="8" t="s">
        <v>1584</v>
      </c>
      <c r="G84" s="8" t="s">
        <v>1768</v>
      </c>
      <c r="H84" s="8" t="s">
        <v>1874</v>
      </c>
      <c r="I84" s="21"/>
    </row>
    <row r="85" spans="1:9" ht="14.6" x14ac:dyDescent="0.4">
      <c r="A85" s="8" t="s">
        <v>63</v>
      </c>
      <c r="B85" s="8" t="s">
        <v>1097</v>
      </c>
      <c r="C85" s="8" t="s">
        <v>64</v>
      </c>
      <c r="D85" s="8" t="s">
        <v>1038</v>
      </c>
      <c r="E85" s="8" t="s">
        <v>65</v>
      </c>
      <c r="F85" s="8" t="s">
        <v>1584</v>
      </c>
      <c r="G85" s="8" t="s">
        <v>1768</v>
      </c>
      <c r="H85" s="8" t="s">
        <v>1874</v>
      </c>
      <c r="I85" s="21"/>
    </row>
    <row r="86" spans="1:9" ht="14.6" x14ac:dyDescent="0.4">
      <c r="A86" s="8" t="s">
        <v>63</v>
      </c>
      <c r="B86" s="8" t="s">
        <v>1115</v>
      </c>
      <c r="C86" s="8" t="s">
        <v>64</v>
      </c>
      <c r="D86" s="8" t="s">
        <v>1047</v>
      </c>
      <c r="E86" s="8" t="s">
        <v>65</v>
      </c>
      <c r="F86" s="8" t="s">
        <v>1584</v>
      </c>
      <c r="G86" s="8" t="s">
        <v>1768</v>
      </c>
      <c r="H86" s="8" t="s">
        <v>1874</v>
      </c>
      <c r="I86" s="21"/>
    </row>
    <row r="87" spans="1:9" ht="14.6" x14ac:dyDescent="0.4">
      <c r="A87" s="8" t="s">
        <v>63</v>
      </c>
      <c r="B87" s="8" t="s">
        <v>1121</v>
      </c>
      <c r="C87" s="8" t="s">
        <v>64</v>
      </c>
      <c r="D87" s="8" t="s">
        <v>1031</v>
      </c>
      <c r="E87" s="8" t="s">
        <v>65</v>
      </c>
      <c r="F87" s="8" t="s">
        <v>1584</v>
      </c>
      <c r="G87" s="8" t="s">
        <v>1768</v>
      </c>
      <c r="H87" s="8" t="s">
        <v>1874</v>
      </c>
      <c r="I87" s="21"/>
    </row>
    <row r="88" spans="1:9" ht="14.6" x14ac:dyDescent="0.4">
      <c r="A88" s="8" t="s">
        <v>73</v>
      </c>
      <c r="B88" s="8" t="s">
        <v>75</v>
      </c>
      <c r="C88" s="8" t="s">
        <v>74</v>
      </c>
      <c r="D88" s="8" t="s">
        <v>76</v>
      </c>
      <c r="E88" s="8" t="s">
        <v>65</v>
      </c>
      <c r="F88" s="8" t="s">
        <v>1584</v>
      </c>
      <c r="G88" s="8" t="s">
        <v>1768</v>
      </c>
      <c r="H88" s="8" t="s">
        <v>1874</v>
      </c>
      <c r="I88" s="21"/>
    </row>
    <row r="89" spans="1:9" ht="14.6" x14ac:dyDescent="0.4">
      <c r="A89" s="8" t="s">
        <v>73</v>
      </c>
      <c r="B89" s="8" t="s">
        <v>89</v>
      </c>
      <c r="C89" s="8" t="s">
        <v>74</v>
      </c>
      <c r="D89" s="8" t="s">
        <v>90</v>
      </c>
      <c r="E89" s="8" t="s">
        <v>65</v>
      </c>
      <c r="F89" s="8" t="s">
        <v>1584</v>
      </c>
      <c r="G89" s="8" t="s">
        <v>1768</v>
      </c>
      <c r="H89" s="8" t="s">
        <v>1874</v>
      </c>
      <c r="I89" s="21"/>
    </row>
    <row r="90" spans="1:9" ht="14.6" x14ac:dyDescent="0.4">
      <c r="A90" s="8" t="s">
        <v>73</v>
      </c>
      <c r="B90" s="8" t="s">
        <v>1069</v>
      </c>
      <c r="C90" s="8" t="s">
        <v>74</v>
      </c>
      <c r="D90" s="8" t="s">
        <v>1070</v>
      </c>
      <c r="E90" s="8" t="s">
        <v>65</v>
      </c>
      <c r="F90" s="8" t="s">
        <v>1584</v>
      </c>
      <c r="G90" s="8" t="s">
        <v>1768</v>
      </c>
      <c r="H90" s="8" t="s">
        <v>1874</v>
      </c>
      <c r="I90" s="21"/>
    </row>
    <row r="91" spans="1:9" ht="14.6" x14ac:dyDescent="0.4">
      <c r="A91" s="8" t="s">
        <v>73</v>
      </c>
      <c r="B91" s="8" t="s">
        <v>1097</v>
      </c>
      <c r="C91" s="8" t="s">
        <v>74</v>
      </c>
      <c r="D91" s="8" t="s">
        <v>1038</v>
      </c>
      <c r="E91" s="8" t="s">
        <v>65</v>
      </c>
      <c r="F91" s="8" t="s">
        <v>1584</v>
      </c>
      <c r="G91" s="8" t="s">
        <v>1768</v>
      </c>
      <c r="H91" s="8" t="s">
        <v>1874</v>
      </c>
      <c r="I91" s="21"/>
    </row>
    <row r="92" spans="1:9" ht="14.6" x14ac:dyDescent="0.4">
      <c r="A92" s="8" t="s">
        <v>73</v>
      </c>
      <c r="B92" s="8" t="s">
        <v>1115</v>
      </c>
      <c r="C92" s="8" t="s">
        <v>74</v>
      </c>
      <c r="D92" s="8" t="s">
        <v>1047</v>
      </c>
      <c r="E92" s="8" t="s">
        <v>65</v>
      </c>
      <c r="F92" s="8" t="s">
        <v>1584</v>
      </c>
      <c r="G92" s="8" t="s">
        <v>1768</v>
      </c>
      <c r="H92" s="8" t="s">
        <v>1874</v>
      </c>
      <c r="I92" s="21"/>
    </row>
    <row r="93" spans="1:9" ht="14.6" x14ac:dyDescent="0.4">
      <c r="A93" s="8" t="s">
        <v>73</v>
      </c>
      <c r="B93" s="8" t="s">
        <v>1121</v>
      </c>
      <c r="C93" s="8" t="s">
        <v>74</v>
      </c>
      <c r="D93" s="8" t="s">
        <v>1031</v>
      </c>
      <c r="E93" s="8" t="s">
        <v>65</v>
      </c>
      <c r="F93" s="8" t="s">
        <v>1584</v>
      </c>
      <c r="G93" s="8" t="s">
        <v>1768</v>
      </c>
      <c r="H93" s="8" t="s">
        <v>1874</v>
      </c>
      <c r="I93" s="21"/>
    </row>
    <row r="94" spans="1:9" ht="14.6" x14ac:dyDescent="0.4">
      <c r="A94" s="8" t="s">
        <v>75</v>
      </c>
      <c r="B94" s="8" t="s">
        <v>89</v>
      </c>
      <c r="C94" s="8" t="s">
        <v>76</v>
      </c>
      <c r="D94" s="8" t="s">
        <v>90</v>
      </c>
      <c r="E94" s="8" t="s">
        <v>65</v>
      </c>
      <c r="F94" s="8" t="s">
        <v>1584</v>
      </c>
      <c r="G94" s="8" t="s">
        <v>1768</v>
      </c>
      <c r="H94" s="8" t="s">
        <v>1874</v>
      </c>
      <c r="I94" s="21"/>
    </row>
    <row r="95" spans="1:9" ht="14.6" x14ac:dyDescent="0.4">
      <c r="A95" s="8" t="s">
        <v>75</v>
      </c>
      <c r="B95" s="8" t="s">
        <v>1069</v>
      </c>
      <c r="C95" s="8" t="s">
        <v>76</v>
      </c>
      <c r="D95" s="8" t="s">
        <v>1070</v>
      </c>
      <c r="E95" s="8" t="s">
        <v>65</v>
      </c>
      <c r="F95" s="8" t="s">
        <v>1584</v>
      </c>
      <c r="G95" s="8" t="s">
        <v>1768</v>
      </c>
      <c r="H95" s="8" t="s">
        <v>1874</v>
      </c>
      <c r="I95" s="21"/>
    </row>
    <row r="96" spans="1:9" ht="14.6" x14ac:dyDescent="0.4">
      <c r="A96" s="8" t="s">
        <v>75</v>
      </c>
      <c r="B96" s="8" t="s">
        <v>1097</v>
      </c>
      <c r="C96" s="8" t="s">
        <v>76</v>
      </c>
      <c r="D96" s="8" t="s">
        <v>1038</v>
      </c>
      <c r="E96" s="8" t="s">
        <v>65</v>
      </c>
      <c r="F96" s="8" t="s">
        <v>1584</v>
      </c>
      <c r="G96" s="8" t="s">
        <v>1768</v>
      </c>
      <c r="H96" s="8" t="s">
        <v>1874</v>
      </c>
      <c r="I96" s="21"/>
    </row>
    <row r="97" spans="1:9" ht="14.6" x14ac:dyDescent="0.4">
      <c r="A97" s="8" t="s">
        <v>75</v>
      </c>
      <c r="B97" s="8" t="s">
        <v>1115</v>
      </c>
      <c r="C97" s="8" t="s">
        <v>76</v>
      </c>
      <c r="D97" s="8" t="s">
        <v>1047</v>
      </c>
      <c r="E97" s="8" t="s">
        <v>65</v>
      </c>
      <c r="F97" s="8" t="s">
        <v>1584</v>
      </c>
      <c r="G97" s="8" t="s">
        <v>1768</v>
      </c>
      <c r="H97" s="8" t="s">
        <v>1874</v>
      </c>
      <c r="I97" s="21"/>
    </row>
    <row r="98" spans="1:9" ht="14.6" x14ac:dyDescent="0.4">
      <c r="A98" s="8" t="s">
        <v>75</v>
      </c>
      <c r="B98" s="8" t="s">
        <v>1121</v>
      </c>
      <c r="C98" s="8" t="s">
        <v>76</v>
      </c>
      <c r="D98" s="8" t="s">
        <v>1031</v>
      </c>
      <c r="E98" s="8" t="s">
        <v>65</v>
      </c>
      <c r="F98" s="8" t="s">
        <v>1584</v>
      </c>
      <c r="G98" s="8" t="s">
        <v>1768</v>
      </c>
      <c r="H98" s="8" t="s">
        <v>1874</v>
      </c>
      <c r="I98" s="21"/>
    </row>
    <row r="99" spans="1:9" ht="14.6" x14ac:dyDescent="0.4">
      <c r="A99" s="8" t="s">
        <v>89</v>
      </c>
      <c r="B99" s="8" t="s">
        <v>1069</v>
      </c>
      <c r="C99" s="8" t="s">
        <v>90</v>
      </c>
      <c r="D99" s="8" t="s">
        <v>1070</v>
      </c>
      <c r="E99" s="8" t="s">
        <v>65</v>
      </c>
      <c r="F99" s="8" t="s">
        <v>1584</v>
      </c>
      <c r="G99" s="8" t="s">
        <v>1768</v>
      </c>
      <c r="H99" s="8" t="s">
        <v>1874</v>
      </c>
      <c r="I99" s="21"/>
    </row>
    <row r="100" spans="1:9" ht="14.6" x14ac:dyDescent="0.4">
      <c r="A100" s="8" t="s">
        <v>89</v>
      </c>
      <c r="B100" s="8" t="s">
        <v>1097</v>
      </c>
      <c r="C100" s="8" t="s">
        <v>90</v>
      </c>
      <c r="D100" s="8" t="s">
        <v>1038</v>
      </c>
      <c r="E100" s="8" t="s">
        <v>65</v>
      </c>
      <c r="F100" s="8" t="s">
        <v>1584</v>
      </c>
      <c r="G100" s="8" t="s">
        <v>1768</v>
      </c>
      <c r="H100" s="8" t="s">
        <v>1874</v>
      </c>
      <c r="I100" s="21"/>
    </row>
    <row r="101" spans="1:9" ht="14.6" x14ac:dyDescent="0.4">
      <c r="A101" s="8" t="s">
        <v>89</v>
      </c>
      <c r="B101" s="8" t="s">
        <v>1115</v>
      </c>
      <c r="C101" s="8" t="s">
        <v>90</v>
      </c>
      <c r="D101" s="8" t="s">
        <v>1047</v>
      </c>
      <c r="E101" s="8" t="s">
        <v>65</v>
      </c>
      <c r="F101" s="8" t="s">
        <v>1584</v>
      </c>
      <c r="G101" s="8" t="s">
        <v>1768</v>
      </c>
      <c r="H101" s="8" t="s">
        <v>1874</v>
      </c>
      <c r="I101" s="21"/>
    </row>
    <row r="102" spans="1:9" ht="14.6" x14ac:dyDescent="0.4">
      <c r="A102" s="8" t="s">
        <v>89</v>
      </c>
      <c r="B102" s="8" t="s">
        <v>1121</v>
      </c>
      <c r="C102" s="8" t="s">
        <v>90</v>
      </c>
      <c r="D102" s="8" t="s">
        <v>1031</v>
      </c>
      <c r="E102" s="8" t="s">
        <v>65</v>
      </c>
      <c r="F102" s="8" t="s">
        <v>1584</v>
      </c>
      <c r="G102" s="8" t="s">
        <v>1768</v>
      </c>
      <c r="H102" s="8" t="s">
        <v>1874</v>
      </c>
      <c r="I102" s="21"/>
    </row>
    <row r="103" spans="1:9" ht="14.6" x14ac:dyDescent="0.4">
      <c r="A103" s="8" t="s">
        <v>1069</v>
      </c>
      <c r="B103" s="8" t="s">
        <v>1115</v>
      </c>
      <c r="C103" s="8" t="s">
        <v>1070</v>
      </c>
      <c r="D103" s="8" t="s">
        <v>1047</v>
      </c>
      <c r="E103" s="8" t="s">
        <v>65</v>
      </c>
      <c r="F103" s="8" t="s">
        <v>1584</v>
      </c>
      <c r="G103" s="8" t="s">
        <v>1768</v>
      </c>
      <c r="H103" s="8" t="s">
        <v>1874</v>
      </c>
      <c r="I103" s="21"/>
    </row>
    <row r="104" spans="1:9" ht="14.6" x14ac:dyDescent="0.4">
      <c r="A104" s="8" t="s">
        <v>1069</v>
      </c>
      <c r="B104" s="8" t="s">
        <v>1121</v>
      </c>
      <c r="C104" s="8" t="s">
        <v>1070</v>
      </c>
      <c r="D104" s="8" t="s">
        <v>1031</v>
      </c>
      <c r="E104" s="8" t="s">
        <v>65</v>
      </c>
      <c r="F104" s="8" t="s">
        <v>1584</v>
      </c>
      <c r="G104" s="8" t="s">
        <v>1768</v>
      </c>
      <c r="H104" s="8" t="s">
        <v>1874</v>
      </c>
      <c r="I104" s="21"/>
    </row>
    <row r="105" spans="1:9" ht="14.6" x14ac:dyDescent="0.4">
      <c r="A105" s="8" t="s">
        <v>1097</v>
      </c>
      <c r="B105" s="8" t="s">
        <v>1115</v>
      </c>
      <c r="C105" s="8" t="s">
        <v>1038</v>
      </c>
      <c r="D105" s="8" t="s">
        <v>1047</v>
      </c>
      <c r="E105" s="8" t="s">
        <v>65</v>
      </c>
      <c r="F105" s="8" t="s">
        <v>1584</v>
      </c>
      <c r="G105" s="8" t="s">
        <v>1768</v>
      </c>
      <c r="H105" s="8" t="s">
        <v>1874</v>
      </c>
      <c r="I105" s="21"/>
    </row>
    <row r="106" spans="1:9" ht="14.6" x14ac:dyDescent="0.4">
      <c r="A106" s="8" t="s">
        <v>1097</v>
      </c>
      <c r="B106" s="8" t="s">
        <v>1121</v>
      </c>
      <c r="C106" s="8" t="s">
        <v>1038</v>
      </c>
      <c r="D106" s="8" t="s">
        <v>1031</v>
      </c>
      <c r="E106" s="8" t="s">
        <v>65</v>
      </c>
      <c r="F106" s="8" t="s">
        <v>1584</v>
      </c>
      <c r="G106" s="8" t="s">
        <v>1768</v>
      </c>
      <c r="H106" s="8" t="s">
        <v>1874</v>
      </c>
      <c r="I106" s="21"/>
    </row>
    <row r="107" spans="1:9" ht="14.6" x14ac:dyDescent="0.4">
      <c r="A107" s="8" t="s">
        <v>1052</v>
      </c>
      <c r="B107" s="8" t="s">
        <v>1073</v>
      </c>
      <c r="C107" s="8" t="s">
        <v>1038</v>
      </c>
      <c r="D107" s="8" t="s">
        <v>1074</v>
      </c>
      <c r="E107" s="8" t="s">
        <v>68</v>
      </c>
      <c r="F107" s="8" t="s">
        <v>1580</v>
      </c>
      <c r="G107" s="8" t="s">
        <v>1581</v>
      </c>
      <c r="H107" s="8" t="s">
        <v>1945</v>
      </c>
      <c r="I107" s="8" t="s">
        <v>1946</v>
      </c>
    </row>
    <row r="108" spans="1:9" ht="14.6" x14ac:dyDescent="0.4">
      <c r="A108" s="8" t="s">
        <v>1055</v>
      </c>
      <c r="B108" s="8" t="s">
        <v>1132</v>
      </c>
      <c r="C108" s="8" t="s">
        <v>1029</v>
      </c>
      <c r="D108" s="8" t="s">
        <v>1051</v>
      </c>
      <c r="E108" s="8" t="s">
        <v>68</v>
      </c>
      <c r="F108" s="8" t="s">
        <v>1580</v>
      </c>
      <c r="G108" s="8" t="s">
        <v>1581</v>
      </c>
      <c r="H108" s="8" t="s">
        <v>1947</v>
      </c>
      <c r="I108" s="8" t="s">
        <v>1948</v>
      </c>
    </row>
    <row r="109" spans="1:9" ht="14.6" x14ac:dyDescent="0.4">
      <c r="A109" s="8" t="s">
        <v>66</v>
      </c>
      <c r="B109" s="8" t="s">
        <v>81</v>
      </c>
      <c r="C109" s="8" t="s">
        <v>67</v>
      </c>
      <c r="D109" s="8" t="s">
        <v>82</v>
      </c>
      <c r="E109" s="8" t="s">
        <v>68</v>
      </c>
      <c r="F109" s="8" t="s">
        <v>1584</v>
      </c>
      <c r="G109" s="8" t="s">
        <v>1768</v>
      </c>
      <c r="H109" s="8" t="s">
        <v>1874</v>
      </c>
      <c r="I109" s="21"/>
    </row>
    <row r="110" spans="1:9" ht="14.6" x14ac:dyDescent="0.4">
      <c r="A110" s="8" t="s">
        <v>66</v>
      </c>
      <c r="B110" s="8" t="s">
        <v>119</v>
      </c>
      <c r="C110" s="8" t="s">
        <v>67</v>
      </c>
      <c r="D110" s="8" t="s">
        <v>120</v>
      </c>
      <c r="E110" s="8" t="s">
        <v>68</v>
      </c>
      <c r="F110" s="8" t="s">
        <v>1584</v>
      </c>
      <c r="G110" s="8" t="s">
        <v>1768</v>
      </c>
      <c r="H110" s="8" t="s">
        <v>1874</v>
      </c>
      <c r="I110" s="21"/>
    </row>
    <row r="111" spans="1:9" ht="14.6" x14ac:dyDescent="0.4">
      <c r="A111" s="8" t="s">
        <v>66</v>
      </c>
      <c r="B111" s="8" t="s">
        <v>134</v>
      </c>
      <c r="C111" s="8" t="s">
        <v>67</v>
      </c>
      <c r="D111" s="8" t="s">
        <v>135</v>
      </c>
      <c r="E111" s="8" t="s">
        <v>68</v>
      </c>
      <c r="F111" s="8" t="s">
        <v>1584</v>
      </c>
      <c r="G111" s="8" t="s">
        <v>1768</v>
      </c>
      <c r="H111" s="8" t="s">
        <v>1874</v>
      </c>
      <c r="I111" s="21"/>
    </row>
    <row r="112" spans="1:9" ht="14.6" x14ac:dyDescent="0.4">
      <c r="A112" s="8" t="s">
        <v>66</v>
      </c>
      <c r="B112" s="8" t="s">
        <v>1052</v>
      </c>
      <c r="C112" s="8" t="s">
        <v>67</v>
      </c>
      <c r="D112" s="8" t="s">
        <v>1038</v>
      </c>
      <c r="E112" s="8" t="s">
        <v>68</v>
      </c>
      <c r="F112" s="8" t="s">
        <v>1584</v>
      </c>
      <c r="G112" s="8" t="s">
        <v>1768</v>
      </c>
      <c r="H112" s="8" t="s">
        <v>1874</v>
      </c>
      <c r="I112" s="21"/>
    </row>
    <row r="113" spans="1:9" ht="14.6" x14ac:dyDescent="0.4">
      <c r="A113" s="8" t="s">
        <v>66</v>
      </c>
      <c r="B113" s="8" t="s">
        <v>1055</v>
      </c>
      <c r="C113" s="8" t="s">
        <v>67</v>
      </c>
      <c r="D113" s="8" t="s">
        <v>1029</v>
      </c>
      <c r="E113" s="8" t="s">
        <v>68</v>
      </c>
      <c r="F113" s="8" t="s">
        <v>1584</v>
      </c>
      <c r="G113" s="8" t="s">
        <v>1768</v>
      </c>
      <c r="H113" s="8" t="s">
        <v>1874</v>
      </c>
      <c r="I113" s="21"/>
    </row>
    <row r="114" spans="1:9" ht="14.6" x14ac:dyDescent="0.4">
      <c r="A114" s="8" t="s">
        <v>66</v>
      </c>
      <c r="B114" s="8" t="s">
        <v>1073</v>
      </c>
      <c r="C114" s="8" t="s">
        <v>67</v>
      </c>
      <c r="D114" s="8" t="s">
        <v>1074</v>
      </c>
      <c r="E114" s="8" t="s">
        <v>68</v>
      </c>
      <c r="F114" s="8" t="s">
        <v>1584</v>
      </c>
      <c r="G114" s="8" t="s">
        <v>1768</v>
      </c>
      <c r="H114" s="8" t="s">
        <v>1874</v>
      </c>
      <c r="I114" s="21"/>
    </row>
    <row r="115" spans="1:9" ht="14.6" x14ac:dyDescent="0.4">
      <c r="A115" s="8" t="s">
        <v>66</v>
      </c>
      <c r="B115" s="8" t="s">
        <v>1132</v>
      </c>
      <c r="C115" s="8" t="s">
        <v>67</v>
      </c>
      <c r="D115" s="8" t="s">
        <v>1051</v>
      </c>
      <c r="E115" s="8" t="s">
        <v>68</v>
      </c>
      <c r="F115" s="8" t="s">
        <v>1584</v>
      </c>
      <c r="G115" s="8" t="s">
        <v>1768</v>
      </c>
      <c r="H115" s="8" t="s">
        <v>1874</v>
      </c>
      <c r="I115" s="21"/>
    </row>
    <row r="116" spans="1:9" ht="14.6" x14ac:dyDescent="0.4">
      <c r="A116" s="8" t="s">
        <v>81</v>
      </c>
      <c r="B116" s="8" t="s">
        <v>119</v>
      </c>
      <c r="C116" s="8" t="s">
        <v>82</v>
      </c>
      <c r="D116" s="8" t="s">
        <v>120</v>
      </c>
      <c r="E116" s="8" t="s">
        <v>68</v>
      </c>
      <c r="F116" s="8" t="s">
        <v>1584</v>
      </c>
      <c r="G116" s="8" t="s">
        <v>1768</v>
      </c>
      <c r="H116" s="8" t="s">
        <v>1874</v>
      </c>
      <c r="I116" s="21"/>
    </row>
    <row r="117" spans="1:9" ht="14.6" x14ac:dyDescent="0.4">
      <c r="A117" s="8" t="s">
        <v>81</v>
      </c>
      <c r="B117" s="8" t="s">
        <v>134</v>
      </c>
      <c r="C117" s="8" t="s">
        <v>82</v>
      </c>
      <c r="D117" s="8" t="s">
        <v>135</v>
      </c>
      <c r="E117" s="8" t="s">
        <v>68</v>
      </c>
      <c r="F117" s="8" t="s">
        <v>1584</v>
      </c>
      <c r="G117" s="8" t="s">
        <v>1768</v>
      </c>
      <c r="H117" s="8" t="s">
        <v>1874</v>
      </c>
      <c r="I117" s="21"/>
    </row>
    <row r="118" spans="1:9" ht="14.6" x14ac:dyDescent="0.4">
      <c r="A118" s="8" t="s">
        <v>81</v>
      </c>
      <c r="B118" s="8" t="s">
        <v>1052</v>
      </c>
      <c r="C118" s="8" t="s">
        <v>82</v>
      </c>
      <c r="D118" s="8" t="s">
        <v>1038</v>
      </c>
      <c r="E118" s="8" t="s">
        <v>68</v>
      </c>
      <c r="F118" s="8" t="s">
        <v>1584</v>
      </c>
      <c r="G118" s="8" t="s">
        <v>1768</v>
      </c>
      <c r="H118" s="8" t="s">
        <v>1874</v>
      </c>
      <c r="I118" s="21"/>
    </row>
    <row r="119" spans="1:9" ht="14.6" x14ac:dyDescent="0.4">
      <c r="A119" s="8" t="s">
        <v>81</v>
      </c>
      <c r="B119" s="8" t="s">
        <v>1055</v>
      </c>
      <c r="C119" s="8" t="s">
        <v>82</v>
      </c>
      <c r="D119" s="8" t="s">
        <v>1029</v>
      </c>
      <c r="E119" s="8" t="s">
        <v>68</v>
      </c>
      <c r="F119" s="8" t="s">
        <v>1584</v>
      </c>
      <c r="G119" s="8" t="s">
        <v>1768</v>
      </c>
      <c r="H119" s="8" t="s">
        <v>1874</v>
      </c>
      <c r="I119" s="21"/>
    </row>
    <row r="120" spans="1:9" ht="14.6" x14ac:dyDescent="0.4">
      <c r="A120" s="8" t="s">
        <v>81</v>
      </c>
      <c r="B120" s="8" t="s">
        <v>1073</v>
      </c>
      <c r="C120" s="8" t="s">
        <v>82</v>
      </c>
      <c r="D120" s="8" t="s">
        <v>1074</v>
      </c>
      <c r="E120" s="8" t="s">
        <v>68</v>
      </c>
      <c r="F120" s="8" t="s">
        <v>1584</v>
      </c>
      <c r="G120" s="8" t="s">
        <v>1768</v>
      </c>
      <c r="H120" s="8" t="s">
        <v>1874</v>
      </c>
      <c r="I120" s="21"/>
    </row>
    <row r="121" spans="1:9" ht="14.6" x14ac:dyDescent="0.4">
      <c r="A121" s="8" t="s">
        <v>81</v>
      </c>
      <c r="B121" s="8" t="s">
        <v>1132</v>
      </c>
      <c r="C121" s="8" t="s">
        <v>82</v>
      </c>
      <c r="D121" s="8" t="s">
        <v>1051</v>
      </c>
      <c r="E121" s="8" t="s">
        <v>68</v>
      </c>
      <c r="F121" s="8" t="s">
        <v>1584</v>
      </c>
      <c r="G121" s="8" t="s">
        <v>1768</v>
      </c>
      <c r="H121" s="8" t="s">
        <v>1874</v>
      </c>
      <c r="I121" s="21"/>
    </row>
    <row r="122" spans="1:9" ht="14.6" x14ac:dyDescent="0.4">
      <c r="A122" s="8" t="s">
        <v>119</v>
      </c>
      <c r="B122" s="8" t="s">
        <v>134</v>
      </c>
      <c r="C122" s="8" t="s">
        <v>120</v>
      </c>
      <c r="D122" s="8" t="s">
        <v>135</v>
      </c>
      <c r="E122" s="8" t="s">
        <v>68</v>
      </c>
      <c r="F122" s="8" t="s">
        <v>1584</v>
      </c>
      <c r="G122" s="8" t="s">
        <v>1768</v>
      </c>
      <c r="H122" s="8" t="s">
        <v>1874</v>
      </c>
      <c r="I122" s="21"/>
    </row>
    <row r="123" spans="1:9" ht="14.6" x14ac:dyDescent="0.4">
      <c r="A123" s="8" t="s">
        <v>119</v>
      </c>
      <c r="B123" s="8" t="s">
        <v>1052</v>
      </c>
      <c r="C123" s="8" t="s">
        <v>120</v>
      </c>
      <c r="D123" s="8" t="s">
        <v>1038</v>
      </c>
      <c r="E123" s="8" t="s">
        <v>68</v>
      </c>
      <c r="F123" s="8" t="s">
        <v>1584</v>
      </c>
      <c r="G123" s="8" t="s">
        <v>1768</v>
      </c>
      <c r="H123" s="8" t="s">
        <v>1874</v>
      </c>
      <c r="I123" s="21"/>
    </row>
    <row r="124" spans="1:9" ht="14.6" x14ac:dyDescent="0.4">
      <c r="A124" s="8" t="s">
        <v>119</v>
      </c>
      <c r="B124" s="8" t="s">
        <v>1055</v>
      </c>
      <c r="C124" s="8" t="s">
        <v>120</v>
      </c>
      <c r="D124" s="8" t="s">
        <v>1029</v>
      </c>
      <c r="E124" s="8" t="s">
        <v>68</v>
      </c>
      <c r="F124" s="8" t="s">
        <v>1584</v>
      </c>
      <c r="G124" s="8" t="s">
        <v>1768</v>
      </c>
      <c r="H124" s="8" t="s">
        <v>1874</v>
      </c>
      <c r="I124" s="21"/>
    </row>
    <row r="125" spans="1:9" ht="14.6" x14ac:dyDescent="0.4">
      <c r="A125" s="8" t="s">
        <v>119</v>
      </c>
      <c r="B125" s="8" t="s">
        <v>1073</v>
      </c>
      <c r="C125" s="8" t="s">
        <v>120</v>
      </c>
      <c r="D125" s="8" t="s">
        <v>1074</v>
      </c>
      <c r="E125" s="8" t="s">
        <v>68</v>
      </c>
      <c r="F125" s="8" t="s">
        <v>1584</v>
      </c>
      <c r="G125" s="8" t="s">
        <v>1768</v>
      </c>
      <c r="H125" s="8" t="s">
        <v>1874</v>
      </c>
      <c r="I125" s="21"/>
    </row>
    <row r="126" spans="1:9" ht="14.6" x14ac:dyDescent="0.4">
      <c r="A126" s="8" t="s">
        <v>119</v>
      </c>
      <c r="B126" s="8" t="s">
        <v>1132</v>
      </c>
      <c r="C126" s="8" t="s">
        <v>120</v>
      </c>
      <c r="D126" s="8" t="s">
        <v>1051</v>
      </c>
      <c r="E126" s="8" t="s">
        <v>68</v>
      </c>
      <c r="F126" s="8" t="s">
        <v>1584</v>
      </c>
      <c r="G126" s="8" t="s">
        <v>1768</v>
      </c>
      <c r="H126" s="8" t="s">
        <v>1874</v>
      </c>
      <c r="I126" s="21"/>
    </row>
    <row r="127" spans="1:9" ht="14.6" x14ac:dyDescent="0.4">
      <c r="A127" s="8" t="s">
        <v>134</v>
      </c>
      <c r="B127" s="8" t="s">
        <v>1052</v>
      </c>
      <c r="C127" s="8" t="s">
        <v>135</v>
      </c>
      <c r="D127" s="8" t="s">
        <v>1038</v>
      </c>
      <c r="E127" s="8" t="s">
        <v>68</v>
      </c>
      <c r="F127" s="8" t="s">
        <v>1584</v>
      </c>
      <c r="G127" s="8" t="s">
        <v>1768</v>
      </c>
      <c r="H127" s="8" t="s">
        <v>1874</v>
      </c>
      <c r="I127" s="21"/>
    </row>
    <row r="128" spans="1:9" ht="14.6" x14ac:dyDescent="0.4">
      <c r="A128" s="8" t="s">
        <v>134</v>
      </c>
      <c r="B128" s="8" t="s">
        <v>1055</v>
      </c>
      <c r="C128" s="8" t="s">
        <v>135</v>
      </c>
      <c r="D128" s="8" t="s">
        <v>1029</v>
      </c>
      <c r="E128" s="8" t="s">
        <v>68</v>
      </c>
      <c r="F128" s="8" t="s">
        <v>1584</v>
      </c>
      <c r="G128" s="8" t="s">
        <v>1768</v>
      </c>
      <c r="H128" s="8" t="s">
        <v>1874</v>
      </c>
      <c r="I128" s="21"/>
    </row>
    <row r="129" spans="1:9" ht="14.6" x14ac:dyDescent="0.4">
      <c r="A129" s="8" t="s">
        <v>134</v>
      </c>
      <c r="B129" s="8" t="s">
        <v>1073</v>
      </c>
      <c r="C129" s="8" t="s">
        <v>135</v>
      </c>
      <c r="D129" s="8" t="s">
        <v>1074</v>
      </c>
      <c r="E129" s="8" t="s">
        <v>68</v>
      </c>
      <c r="F129" s="8" t="s">
        <v>1584</v>
      </c>
      <c r="G129" s="8" t="s">
        <v>1768</v>
      </c>
      <c r="H129" s="8" t="s">
        <v>1874</v>
      </c>
      <c r="I129" s="21"/>
    </row>
    <row r="130" spans="1:9" ht="14.6" x14ac:dyDescent="0.4">
      <c r="A130" s="8" t="s">
        <v>134</v>
      </c>
      <c r="B130" s="8" t="s">
        <v>1132</v>
      </c>
      <c r="C130" s="8" t="s">
        <v>135</v>
      </c>
      <c r="D130" s="8" t="s">
        <v>1051</v>
      </c>
      <c r="E130" s="8" t="s">
        <v>68</v>
      </c>
      <c r="F130" s="8" t="s">
        <v>1584</v>
      </c>
      <c r="G130" s="8" t="s">
        <v>1768</v>
      </c>
      <c r="H130" s="8" t="s">
        <v>1874</v>
      </c>
      <c r="I130" s="21"/>
    </row>
    <row r="131" spans="1:9" ht="14.6" x14ac:dyDescent="0.4">
      <c r="A131" s="8" t="s">
        <v>1052</v>
      </c>
      <c r="B131" s="8" t="s">
        <v>1055</v>
      </c>
      <c r="C131" s="8" t="s">
        <v>1038</v>
      </c>
      <c r="D131" s="8" t="s">
        <v>1029</v>
      </c>
      <c r="E131" s="8" t="s">
        <v>68</v>
      </c>
      <c r="F131" s="8" t="s">
        <v>1584</v>
      </c>
      <c r="G131" s="8" t="s">
        <v>1768</v>
      </c>
      <c r="H131" s="8" t="s">
        <v>1874</v>
      </c>
      <c r="I131" s="21"/>
    </row>
    <row r="132" spans="1:9" ht="14.6" x14ac:dyDescent="0.4">
      <c r="A132" s="8" t="s">
        <v>1052</v>
      </c>
      <c r="B132" s="8" t="s">
        <v>1132</v>
      </c>
      <c r="C132" s="8" t="s">
        <v>1038</v>
      </c>
      <c r="D132" s="8" t="s">
        <v>1051</v>
      </c>
      <c r="E132" s="8" t="s">
        <v>68</v>
      </c>
      <c r="F132" s="8" t="s">
        <v>1584</v>
      </c>
      <c r="G132" s="8" t="s">
        <v>1768</v>
      </c>
      <c r="H132" s="8" t="s">
        <v>1874</v>
      </c>
      <c r="I132" s="21"/>
    </row>
    <row r="133" spans="1:9" ht="14.6" x14ac:dyDescent="0.4">
      <c r="A133" s="8" t="s">
        <v>1055</v>
      </c>
      <c r="B133" s="8" t="s">
        <v>1073</v>
      </c>
      <c r="C133" s="8" t="s">
        <v>1029</v>
      </c>
      <c r="D133" s="8" t="s">
        <v>1074</v>
      </c>
      <c r="E133" s="8" t="s">
        <v>68</v>
      </c>
      <c r="F133" s="8" t="s">
        <v>1584</v>
      </c>
      <c r="G133" s="8" t="s">
        <v>1768</v>
      </c>
      <c r="H133" s="8" t="s">
        <v>1874</v>
      </c>
      <c r="I133" s="21"/>
    </row>
    <row r="134" spans="1:9" ht="14.6" x14ac:dyDescent="0.4">
      <c r="A134" s="8" t="s">
        <v>1073</v>
      </c>
      <c r="B134" s="8" t="s">
        <v>1132</v>
      </c>
      <c r="C134" s="8" t="s">
        <v>1074</v>
      </c>
      <c r="D134" s="8" t="s">
        <v>1051</v>
      </c>
      <c r="E134" s="8" t="s">
        <v>68</v>
      </c>
      <c r="F134" s="8" t="s">
        <v>1584</v>
      </c>
      <c r="G134" s="8" t="s">
        <v>1768</v>
      </c>
      <c r="H134" s="8" t="s">
        <v>1874</v>
      </c>
      <c r="I134" s="21"/>
    </row>
    <row r="135" spans="1:9" ht="14.6" x14ac:dyDescent="0.4">
      <c r="A135" s="8" t="s">
        <v>1136</v>
      </c>
      <c r="B135" s="8" t="s">
        <v>1137</v>
      </c>
      <c r="C135" s="8" t="s">
        <v>1074</v>
      </c>
      <c r="D135" s="8" t="s">
        <v>1033</v>
      </c>
      <c r="E135" s="8" t="s">
        <v>15</v>
      </c>
      <c r="F135" s="8" t="s">
        <v>1580</v>
      </c>
      <c r="G135" s="8" t="s">
        <v>1581</v>
      </c>
      <c r="H135" s="8" t="s">
        <v>1949</v>
      </c>
      <c r="I135" s="8" t="s">
        <v>1950</v>
      </c>
    </row>
    <row r="136" spans="1:9" ht="14.6" x14ac:dyDescent="0.4">
      <c r="A136" s="8" t="s">
        <v>13</v>
      </c>
      <c r="B136" s="8" t="s">
        <v>25</v>
      </c>
      <c r="C136" s="8" t="s">
        <v>14</v>
      </c>
      <c r="D136" s="8" t="s">
        <v>26</v>
      </c>
      <c r="E136" s="8" t="s">
        <v>15</v>
      </c>
      <c r="F136" s="8" t="s">
        <v>1584</v>
      </c>
      <c r="G136" s="8" t="s">
        <v>1768</v>
      </c>
      <c r="H136" s="8" t="s">
        <v>1874</v>
      </c>
      <c r="I136" s="21"/>
    </row>
    <row r="137" spans="1:9" ht="14.6" x14ac:dyDescent="0.4">
      <c r="A137" s="8" t="s">
        <v>13</v>
      </c>
      <c r="B137" s="8" t="s">
        <v>39</v>
      </c>
      <c r="C137" s="8" t="s">
        <v>14</v>
      </c>
      <c r="D137" s="8" t="s">
        <v>40</v>
      </c>
      <c r="E137" s="8" t="s">
        <v>15</v>
      </c>
      <c r="F137" s="8" t="s">
        <v>1584</v>
      </c>
      <c r="G137" s="8" t="s">
        <v>1768</v>
      </c>
      <c r="H137" s="8" t="s">
        <v>1874</v>
      </c>
      <c r="I137" s="21"/>
    </row>
    <row r="138" spans="1:9" ht="14.6" x14ac:dyDescent="0.4">
      <c r="A138" s="8" t="s">
        <v>13</v>
      </c>
      <c r="B138" s="8" t="s">
        <v>43</v>
      </c>
      <c r="C138" s="8" t="s">
        <v>14</v>
      </c>
      <c r="D138" s="8" t="s">
        <v>44</v>
      </c>
      <c r="E138" s="8" t="s">
        <v>15</v>
      </c>
      <c r="F138" s="8" t="s">
        <v>1584</v>
      </c>
      <c r="G138" s="8" t="s">
        <v>1768</v>
      </c>
      <c r="H138" s="8" t="s">
        <v>1874</v>
      </c>
      <c r="I138" s="21"/>
    </row>
    <row r="139" spans="1:9" ht="14.6" x14ac:dyDescent="0.4">
      <c r="A139" s="8" t="s">
        <v>13</v>
      </c>
      <c r="B139" s="8" t="s">
        <v>1136</v>
      </c>
      <c r="C139" s="8" t="s">
        <v>14</v>
      </c>
      <c r="D139" s="8" t="s">
        <v>1074</v>
      </c>
      <c r="E139" s="8" t="s">
        <v>15</v>
      </c>
      <c r="F139" s="8" t="s">
        <v>1584</v>
      </c>
      <c r="G139" s="8" t="s">
        <v>1768</v>
      </c>
      <c r="H139" s="8" t="s">
        <v>1874</v>
      </c>
      <c r="I139" s="21"/>
    </row>
    <row r="140" spans="1:9" ht="14.6" x14ac:dyDescent="0.4">
      <c r="A140" s="8" t="s">
        <v>13</v>
      </c>
      <c r="B140" s="8" t="s">
        <v>1137</v>
      </c>
      <c r="C140" s="8" t="s">
        <v>14</v>
      </c>
      <c r="D140" s="8" t="s">
        <v>1033</v>
      </c>
      <c r="E140" s="8" t="s">
        <v>15</v>
      </c>
      <c r="F140" s="8" t="s">
        <v>1584</v>
      </c>
      <c r="G140" s="8" t="s">
        <v>1768</v>
      </c>
      <c r="H140" s="8" t="s">
        <v>1874</v>
      </c>
      <c r="I140" s="21"/>
    </row>
    <row r="141" spans="1:9" ht="14.6" x14ac:dyDescent="0.4">
      <c r="A141" s="8" t="s">
        <v>13</v>
      </c>
      <c r="B141" s="8" t="s">
        <v>1155</v>
      </c>
      <c r="C141" s="8" t="s">
        <v>14</v>
      </c>
      <c r="D141" s="8" t="s">
        <v>1156</v>
      </c>
      <c r="E141" s="8" t="s">
        <v>15</v>
      </c>
      <c r="F141" s="8" t="s">
        <v>1584</v>
      </c>
      <c r="G141" s="8" t="s">
        <v>1768</v>
      </c>
      <c r="H141" s="8" t="s">
        <v>1874</v>
      </c>
      <c r="I141" s="21"/>
    </row>
    <row r="142" spans="1:9" ht="14.6" x14ac:dyDescent="0.4">
      <c r="A142" s="8" t="s">
        <v>13</v>
      </c>
      <c r="B142" s="8" t="s">
        <v>1163</v>
      </c>
      <c r="C142" s="8" t="s">
        <v>14</v>
      </c>
      <c r="D142" s="8" t="s">
        <v>1156</v>
      </c>
      <c r="E142" s="8" t="s">
        <v>15</v>
      </c>
      <c r="F142" s="8" t="s">
        <v>1584</v>
      </c>
      <c r="G142" s="8" t="s">
        <v>1768</v>
      </c>
      <c r="H142" s="8" t="s">
        <v>1874</v>
      </c>
      <c r="I142" s="21"/>
    </row>
    <row r="143" spans="1:9" ht="14.6" x14ac:dyDescent="0.4">
      <c r="A143" s="8" t="s">
        <v>25</v>
      </c>
      <c r="B143" s="8" t="s">
        <v>39</v>
      </c>
      <c r="C143" s="8" t="s">
        <v>26</v>
      </c>
      <c r="D143" s="8" t="s">
        <v>40</v>
      </c>
      <c r="E143" s="8" t="s">
        <v>15</v>
      </c>
      <c r="F143" s="8" t="s">
        <v>1584</v>
      </c>
      <c r="G143" s="8" t="s">
        <v>1768</v>
      </c>
      <c r="H143" s="8" t="s">
        <v>1874</v>
      </c>
      <c r="I143" s="21"/>
    </row>
    <row r="144" spans="1:9" ht="14.6" x14ac:dyDescent="0.4">
      <c r="A144" s="8" t="s">
        <v>25</v>
      </c>
      <c r="B144" s="8" t="s">
        <v>43</v>
      </c>
      <c r="C144" s="8" t="s">
        <v>26</v>
      </c>
      <c r="D144" s="8" t="s">
        <v>44</v>
      </c>
      <c r="E144" s="8" t="s">
        <v>15</v>
      </c>
      <c r="F144" s="8" t="s">
        <v>1584</v>
      </c>
      <c r="G144" s="8" t="s">
        <v>1768</v>
      </c>
      <c r="H144" s="8" t="s">
        <v>1874</v>
      </c>
      <c r="I144" s="21"/>
    </row>
    <row r="145" spans="1:9" ht="14.6" x14ac:dyDescent="0.4">
      <c r="A145" s="8" t="s">
        <v>25</v>
      </c>
      <c r="B145" s="8" t="s">
        <v>1136</v>
      </c>
      <c r="C145" s="8" t="s">
        <v>26</v>
      </c>
      <c r="D145" s="8" t="s">
        <v>1074</v>
      </c>
      <c r="E145" s="8" t="s">
        <v>15</v>
      </c>
      <c r="F145" s="8" t="s">
        <v>1584</v>
      </c>
      <c r="G145" s="8" t="s">
        <v>1768</v>
      </c>
      <c r="H145" s="8" t="s">
        <v>1874</v>
      </c>
      <c r="I145" s="21"/>
    </row>
    <row r="146" spans="1:9" ht="14.6" x14ac:dyDescent="0.4">
      <c r="A146" s="8" t="s">
        <v>25</v>
      </c>
      <c r="B146" s="8" t="s">
        <v>1137</v>
      </c>
      <c r="C146" s="8" t="s">
        <v>26</v>
      </c>
      <c r="D146" s="8" t="s">
        <v>1033</v>
      </c>
      <c r="E146" s="8" t="s">
        <v>15</v>
      </c>
      <c r="F146" s="8" t="s">
        <v>1584</v>
      </c>
      <c r="G146" s="8" t="s">
        <v>1768</v>
      </c>
      <c r="H146" s="8" t="s">
        <v>1874</v>
      </c>
      <c r="I146" s="21"/>
    </row>
    <row r="147" spans="1:9" ht="14.6" x14ac:dyDescent="0.4">
      <c r="A147" s="8" t="s">
        <v>25</v>
      </c>
      <c r="B147" s="8" t="s">
        <v>1155</v>
      </c>
      <c r="C147" s="8" t="s">
        <v>26</v>
      </c>
      <c r="D147" s="8" t="s">
        <v>1156</v>
      </c>
      <c r="E147" s="8" t="s">
        <v>15</v>
      </c>
      <c r="F147" s="8" t="s">
        <v>1584</v>
      </c>
      <c r="G147" s="8" t="s">
        <v>1768</v>
      </c>
      <c r="H147" s="8" t="s">
        <v>1874</v>
      </c>
      <c r="I147" s="21"/>
    </row>
    <row r="148" spans="1:9" ht="14.6" x14ac:dyDescent="0.4">
      <c r="A148" s="8" t="s">
        <v>25</v>
      </c>
      <c r="B148" s="8" t="s">
        <v>1163</v>
      </c>
      <c r="C148" s="8" t="s">
        <v>26</v>
      </c>
      <c r="D148" s="8" t="s">
        <v>1156</v>
      </c>
      <c r="E148" s="8" t="s">
        <v>15</v>
      </c>
      <c r="F148" s="8" t="s">
        <v>1584</v>
      </c>
      <c r="G148" s="8" t="s">
        <v>1768</v>
      </c>
      <c r="H148" s="8" t="s">
        <v>1874</v>
      </c>
      <c r="I148" s="21"/>
    </row>
    <row r="149" spans="1:9" ht="14.6" x14ac:dyDescent="0.4">
      <c r="A149" s="8" t="s">
        <v>39</v>
      </c>
      <c r="B149" s="8" t="s">
        <v>43</v>
      </c>
      <c r="C149" s="8" t="s">
        <v>40</v>
      </c>
      <c r="D149" s="8" t="s">
        <v>44</v>
      </c>
      <c r="E149" s="8" t="s">
        <v>15</v>
      </c>
      <c r="F149" s="8" t="s">
        <v>1584</v>
      </c>
      <c r="G149" s="8" t="s">
        <v>1768</v>
      </c>
      <c r="H149" s="8" t="s">
        <v>1874</v>
      </c>
      <c r="I149" s="21"/>
    </row>
    <row r="150" spans="1:9" ht="14.6" x14ac:dyDescent="0.4">
      <c r="A150" s="8" t="s">
        <v>39</v>
      </c>
      <c r="B150" s="8" t="s">
        <v>1136</v>
      </c>
      <c r="C150" s="8" t="s">
        <v>40</v>
      </c>
      <c r="D150" s="8" t="s">
        <v>1074</v>
      </c>
      <c r="E150" s="8" t="s">
        <v>15</v>
      </c>
      <c r="F150" s="8" t="s">
        <v>1584</v>
      </c>
      <c r="G150" s="8" t="s">
        <v>1768</v>
      </c>
      <c r="H150" s="8" t="s">
        <v>1874</v>
      </c>
      <c r="I150" s="21"/>
    </row>
    <row r="151" spans="1:9" ht="14.6" x14ac:dyDescent="0.4">
      <c r="A151" s="8" t="s">
        <v>39</v>
      </c>
      <c r="B151" s="8" t="s">
        <v>1137</v>
      </c>
      <c r="C151" s="8" t="s">
        <v>40</v>
      </c>
      <c r="D151" s="8" t="s">
        <v>1033</v>
      </c>
      <c r="E151" s="8" t="s">
        <v>15</v>
      </c>
      <c r="F151" s="8" t="s">
        <v>1584</v>
      </c>
      <c r="G151" s="8" t="s">
        <v>1768</v>
      </c>
      <c r="H151" s="8" t="s">
        <v>1874</v>
      </c>
      <c r="I151" s="21"/>
    </row>
    <row r="152" spans="1:9" ht="14.6" x14ac:dyDescent="0.4">
      <c r="A152" s="8" t="s">
        <v>39</v>
      </c>
      <c r="B152" s="8" t="s">
        <v>1155</v>
      </c>
      <c r="C152" s="8" t="s">
        <v>40</v>
      </c>
      <c r="D152" s="8" t="s">
        <v>1156</v>
      </c>
      <c r="E152" s="8" t="s">
        <v>15</v>
      </c>
      <c r="F152" s="8" t="s">
        <v>1584</v>
      </c>
      <c r="G152" s="8" t="s">
        <v>1768</v>
      </c>
      <c r="H152" s="8" t="s">
        <v>1874</v>
      </c>
      <c r="I152" s="21"/>
    </row>
    <row r="153" spans="1:9" ht="14.6" x14ac:dyDescent="0.4">
      <c r="A153" s="8" t="s">
        <v>39</v>
      </c>
      <c r="B153" s="8" t="s">
        <v>1163</v>
      </c>
      <c r="C153" s="8" t="s">
        <v>40</v>
      </c>
      <c r="D153" s="8" t="s">
        <v>1156</v>
      </c>
      <c r="E153" s="8" t="s">
        <v>15</v>
      </c>
      <c r="F153" s="8" t="s">
        <v>1584</v>
      </c>
      <c r="G153" s="8" t="s">
        <v>1768</v>
      </c>
      <c r="H153" s="8" t="s">
        <v>1874</v>
      </c>
      <c r="I153" s="21"/>
    </row>
    <row r="154" spans="1:9" ht="14.6" x14ac:dyDescent="0.4">
      <c r="A154" s="8" t="s">
        <v>43</v>
      </c>
      <c r="B154" s="8" t="s">
        <v>1136</v>
      </c>
      <c r="C154" s="8" t="s">
        <v>44</v>
      </c>
      <c r="D154" s="8" t="s">
        <v>1074</v>
      </c>
      <c r="E154" s="8" t="s">
        <v>15</v>
      </c>
      <c r="F154" s="8" t="s">
        <v>1584</v>
      </c>
      <c r="G154" s="8" t="s">
        <v>1768</v>
      </c>
      <c r="H154" s="8" t="s">
        <v>1874</v>
      </c>
      <c r="I154" s="21"/>
    </row>
    <row r="155" spans="1:9" ht="14.6" x14ac:dyDescent="0.4">
      <c r="A155" s="8" t="s">
        <v>43</v>
      </c>
      <c r="B155" s="8" t="s">
        <v>1137</v>
      </c>
      <c r="C155" s="8" t="s">
        <v>44</v>
      </c>
      <c r="D155" s="8" t="s">
        <v>1033</v>
      </c>
      <c r="E155" s="8" t="s">
        <v>15</v>
      </c>
      <c r="F155" s="8" t="s">
        <v>1584</v>
      </c>
      <c r="G155" s="8" t="s">
        <v>1768</v>
      </c>
      <c r="H155" s="8" t="s">
        <v>1874</v>
      </c>
      <c r="I155" s="21"/>
    </row>
    <row r="156" spans="1:9" ht="14.6" x14ac:dyDescent="0.4">
      <c r="A156" s="8" t="s">
        <v>43</v>
      </c>
      <c r="B156" s="8" t="s">
        <v>1155</v>
      </c>
      <c r="C156" s="8" t="s">
        <v>44</v>
      </c>
      <c r="D156" s="8" t="s">
        <v>1156</v>
      </c>
      <c r="E156" s="8" t="s">
        <v>15</v>
      </c>
      <c r="F156" s="8" t="s">
        <v>1584</v>
      </c>
      <c r="G156" s="8" t="s">
        <v>1768</v>
      </c>
      <c r="H156" s="8" t="s">
        <v>1874</v>
      </c>
      <c r="I156" s="21"/>
    </row>
    <row r="157" spans="1:9" ht="14.6" x14ac:dyDescent="0.4">
      <c r="A157" s="8" t="s">
        <v>43</v>
      </c>
      <c r="B157" s="8" t="s">
        <v>1163</v>
      </c>
      <c r="C157" s="8" t="s">
        <v>44</v>
      </c>
      <c r="D157" s="8" t="s">
        <v>1156</v>
      </c>
      <c r="E157" s="8" t="s">
        <v>15</v>
      </c>
      <c r="F157" s="8" t="s">
        <v>1584</v>
      </c>
      <c r="G157" s="8" t="s">
        <v>1768</v>
      </c>
      <c r="H157" s="8" t="s">
        <v>1874</v>
      </c>
      <c r="I157" s="21"/>
    </row>
    <row r="158" spans="1:9" ht="14.6" x14ac:dyDescent="0.4">
      <c r="A158" s="8" t="s">
        <v>1136</v>
      </c>
      <c r="B158" s="8" t="s">
        <v>1155</v>
      </c>
      <c r="C158" s="8" t="s">
        <v>1074</v>
      </c>
      <c r="D158" s="8" t="s">
        <v>1156</v>
      </c>
      <c r="E158" s="8" t="s">
        <v>15</v>
      </c>
      <c r="F158" s="8" t="s">
        <v>1584</v>
      </c>
      <c r="G158" s="8" t="s">
        <v>1768</v>
      </c>
      <c r="H158" s="8" t="s">
        <v>1874</v>
      </c>
      <c r="I158" s="21"/>
    </row>
    <row r="159" spans="1:9" ht="14.6" x14ac:dyDescent="0.4">
      <c r="A159" s="8" t="s">
        <v>1136</v>
      </c>
      <c r="B159" s="8" t="s">
        <v>1163</v>
      </c>
      <c r="C159" s="8" t="s">
        <v>1074</v>
      </c>
      <c r="D159" s="8" t="s">
        <v>1156</v>
      </c>
      <c r="E159" s="8" t="s">
        <v>15</v>
      </c>
      <c r="F159" s="8" t="s">
        <v>1584</v>
      </c>
      <c r="G159" s="8" t="s">
        <v>1768</v>
      </c>
      <c r="H159" s="8" t="s">
        <v>1874</v>
      </c>
      <c r="I159" s="21"/>
    </row>
    <row r="160" spans="1:9" ht="14.6" x14ac:dyDescent="0.4">
      <c r="A160" s="8" t="s">
        <v>1137</v>
      </c>
      <c r="B160" s="8" t="s">
        <v>1155</v>
      </c>
      <c r="C160" s="8" t="s">
        <v>1033</v>
      </c>
      <c r="D160" s="8" t="s">
        <v>1156</v>
      </c>
      <c r="E160" s="8" t="s">
        <v>15</v>
      </c>
      <c r="F160" s="8" t="s">
        <v>1584</v>
      </c>
      <c r="G160" s="8" t="s">
        <v>1768</v>
      </c>
      <c r="H160" s="8" t="s">
        <v>1874</v>
      </c>
      <c r="I160" s="21"/>
    </row>
    <row r="161" spans="1:9" ht="14.6" x14ac:dyDescent="0.4">
      <c r="A161" s="8" t="s">
        <v>1137</v>
      </c>
      <c r="B161" s="8" t="s">
        <v>1163</v>
      </c>
      <c r="C161" s="8" t="s">
        <v>1033</v>
      </c>
      <c r="D161" s="8" t="s">
        <v>1156</v>
      </c>
      <c r="E161" s="8" t="s">
        <v>15</v>
      </c>
      <c r="F161" s="8" t="s">
        <v>1584</v>
      </c>
      <c r="G161" s="8" t="s">
        <v>1768</v>
      </c>
      <c r="H161" s="8" t="s">
        <v>1874</v>
      </c>
      <c r="I161" s="21"/>
    </row>
    <row r="162" spans="1:9" ht="14.6" x14ac:dyDescent="0.4">
      <c r="A162" s="8" t="s">
        <v>1155</v>
      </c>
      <c r="B162" s="8" t="s">
        <v>1163</v>
      </c>
      <c r="C162" s="8" t="s">
        <v>1156</v>
      </c>
      <c r="D162" s="8" t="s">
        <v>1156</v>
      </c>
      <c r="E162" s="8" t="s">
        <v>15</v>
      </c>
      <c r="F162" s="8" t="s">
        <v>1584</v>
      </c>
      <c r="G162" s="8" t="s">
        <v>1768</v>
      </c>
      <c r="H162" s="8" t="s">
        <v>1874</v>
      </c>
      <c r="I162" s="21"/>
    </row>
    <row r="163" spans="1:9" ht="14.6" x14ac:dyDescent="0.4">
      <c r="A163" s="8" t="s">
        <v>1358</v>
      </c>
      <c r="B163" s="8" t="s">
        <v>1403</v>
      </c>
      <c r="C163" s="8" t="s">
        <v>1359</v>
      </c>
      <c r="D163" s="8" t="s">
        <v>1345</v>
      </c>
      <c r="E163" s="8" t="s">
        <v>24</v>
      </c>
      <c r="F163" s="8" t="s">
        <v>1580</v>
      </c>
      <c r="G163" s="8" t="s">
        <v>1581</v>
      </c>
      <c r="H163" s="8" t="s">
        <v>1951</v>
      </c>
      <c r="I163" s="8" t="s">
        <v>1952</v>
      </c>
    </row>
    <row r="164" spans="1:9" ht="14.6" x14ac:dyDescent="0.4">
      <c r="A164" s="8" t="s">
        <v>1398</v>
      </c>
      <c r="B164" s="8" t="s">
        <v>1403</v>
      </c>
      <c r="C164" s="8" t="s">
        <v>1359</v>
      </c>
      <c r="D164" s="8" t="s">
        <v>1345</v>
      </c>
      <c r="E164" s="8" t="s">
        <v>24</v>
      </c>
      <c r="F164" s="8" t="s">
        <v>1580</v>
      </c>
      <c r="G164" s="8" t="s">
        <v>1581</v>
      </c>
      <c r="H164" s="8" t="s">
        <v>1953</v>
      </c>
      <c r="I164" s="8" t="s">
        <v>1952</v>
      </c>
    </row>
    <row r="165" spans="1:9" ht="14.6" x14ac:dyDescent="0.4">
      <c r="A165" s="8" t="s">
        <v>22</v>
      </c>
      <c r="B165" s="8" t="s">
        <v>85</v>
      </c>
      <c r="C165" s="8" t="s">
        <v>23</v>
      </c>
      <c r="D165" s="8" t="s">
        <v>86</v>
      </c>
      <c r="E165" s="8" t="s">
        <v>24</v>
      </c>
      <c r="F165" s="8" t="s">
        <v>1584</v>
      </c>
      <c r="G165" s="8" t="s">
        <v>1768</v>
      </c>
      <c r="H165" s="8" t="s">
        <v>1874</v>
      </c>
      <c r="I165" s="21"/>
    </row>
    <row r="166" spans="1:9" ht="14.6" x14ac:dyDescent="0.4">
      <c r="A166" s="8" t="s">
        <v>22</v>
      </c>
      <c r="B166" s="8" t="s">
        <v>196</v>
      </c>
      <c r="C166" s="8" t="s">
        <v>23</v>
      </c>
      <c r="D166" s="8" t="s">
        <v>197</v>
      </c>
      <c r="E166" s="8" t="s">
        <v>24</v>
      </c>
      <c r="F166" s="8" t="s">
        <v>1584</v>
      </c>
      <c r="G166" s="8" t="s">
        <v>1768</v>
      </c>
      <c r="H166" s="8" t="s">
        <v>1874</v>
      </c>
      <c r="I166" s="21"/>
    </row>
    <row r="167" spans="1:9" ht="14.6" x14ac:dyDescent="0.4">
      <c r="A167" s="8" t="s">
        <v>22</v>
      </c>
      <c r="B167" s="8" t="s">
        <v>1368</v>
      </c>
      <c r="C167" s="8" t="s">
        <v>23</v>
      </c>
      <c r="D167" s="8" t="s">
        <v>1355</v>
      </c>
      <c r="E167" s="8" t="s">
        <v>24</v>
      </c>
      <c r="F167" s="8" t="s">
        <v>1584</v>
      </c>
      <c r="G167" s="8" t="s">
        <v>1768</v>
      </c>
      <c r="H167" s="8" t="s">
        <v>1874</v>
      </c>
      <c r="I167" s="21"/>
    </row>
    <row r="168" spans="1:9" ht="14.6" x14ac:dyDescent="0.4">
      <c r="A168" s="8" t="s">
        <v>22</v>
      </c>
      <c r="B168" s="8" t="s">
        <v>1358</v>
      </c>
      <c r="C168" s="8" t="s">
        <v>23</v>
      </c>
      <c r="D168" s="8" t="s">
        <v>1359</v>
      </c>
      <c r="E168" s="8" t="s">
        <v>24</v>
      </c>
      <c r="F168" s="8" t="s">
        <v>1584</v>
      </c>
      <c r="G168" s="8" t="s">
        <v>1768</v>
      </c>
      <c r="H168" s="8" t="s">
        <v>1874</v>
      </c>
      <c r="I168" s="21"/>
    </row>
    <row r="169" spans="1:9" ht="14.6" x14ac:dyDescent="0.4">
      <c r="A169" s="8" t="s">
        <v>22</v>
      </c>
      <c r="B169" s="8" t="s">
        <v>1398</v>
      </c>
      <c r="C169" s="8" t="s">
        <v>23</v>
      </c>
      <c r="D169" s="8" t="s">
        <v>1359</v>
      </c>
      <c r="E169" s="8" t="s">
        <v>24</v>
      </c>
      <c r="F169" s="8" t="s">
        <v>1584</v>
      </c>
      <c r="G169" s="8" t="s">
        <v>1768</v>
      </c>
      <c r="H169" s="8" t="s">
        <v>1874</v>
      </c>
      <c r="I169" s="21"/>
    </row>
    <row r="170" spans="1:9" ht="14.6" x14ac:dyDescent="0.4">
      <c r="A170" s="8" t="s">
        <v>22</v>
      </c>
      <c r="B170" s="8" t="s">
        <v>1403</v>
      </c>
      <c r="C170" s="8" t="s">
        <v>23</v>
      </c>
      <c r="D170" s="8" t="s">
        <v>1345</v>
      </c>
      <c r="E170" s="8" t="s">
        <v>24</v>
      </c>
      <c r="F170" s="8" t="s">
        <v>1584</v>
      </c>
      <c r="G170" s="8" t="s">
        <v>1768</v>
      </c>
      <c r="H170" s="8" t="s">
        <v>1874</v>
      </c>
      <c r="I170" s="21"/>
    </row>
    <row r="171" spans="1:9" ht="14.6" x14ac:dyDescent="0.4">
      <c r="A171" s="8" t="s">
        <v>85</v>
      </c>
      <c r="B171" s="8" t="s">
        <v>196</v>
      </c>
      <c r="C171" s="8" t="s">
        <v>86</v>
      </c>
      <c r="D171" s="8" t="s">
        <v>197</v>
      </c>
      <c r="E171" s="8" t="s">
        <v>24</v>
      </c>
      <c r="F171" s="8" t="s">
        <v>1584</v>
      </c>
      <c r="G171" s="8" t="s">
        <v>1768</v>
      </c>
      <c r="H171" s="8" t="s">
        <v>1874</v>
      </c>
      <c r="I171" s="21"/>
    </row>
    <row r="172" spans="1:9" ht="14.6" x14ac:dyDescent="0.4">
      <c r="A172" s="8" t="s">
        <v>85</v>
      </c>
      <c r="B172" s="8" t="s">
        <v>1368</v>
      </c>
      <c r="C172" s="8" t="s">
        <v>86</v>
      </c>
      <c r="D172" s="8" t="s">
        <v>1355</v>
      </c>
      <c r="E172" s="8" t="s">
        <v>24</v>
      </c>
      <c r="F172" s="8" t="s">
        <v>1584</v>
      </c>
      <c r="G172" s="8" t="s">
        <v>1768</v>
      </c>
      <c r="H172" s="8" t="s">
        <v>1874</v>
      </c>
      <c r="I172" s="21"/>
    </row>
    <row r="173" spans="1:9" ht="14.6" x14ac:dyDescent="0.4">
      <c r="A173" s="8" t="s">
        <v>85</v>
      </c>
      <c r="B173" s="8" t="s">
        <v>1358</v>
      </c>
      <c r="C173" s="8" t="s">
        <v>86</v>
      </c>
      <c r="D173" s="8" t="s">
        <v>1359</v>
      </c>
      <c r="E173" s="8" t="s">
        <v>24</v>
      </c>
      <c r="F173" s="8" t="s">
        <v>1584</v>
      </c>
      <c r="G173" s="8" t="s">
        <v>1768</v>
      </c>
      <c r="H173" s="8" t="s">
        <v>1874</v>
      </c>
      <c r="I173" s="21"/>
    </row>
    <row r="174" spans="1:9" ht="14.6" x14ac:dyDescent="0.4">
      <c r="A174" s="8" t="s">
        <v>85</v>
      </c>
      <c r="B174" s="8" t="s">
        <v>1398</v>
      </c>
      <c r="C174" s="8" t="s">
        <v>86</v>
      </c>
      <c r="D174" s="8" t="s">
        <v>1359</v>
      </c>
      <c r="E174" s="8" t="s">
        <v>24</v>
      </c>
      <c r="F174" s="8" t="s">
        <v>1584</v>
      </c>
      <c r="G174" s="8" t="s">
        <v>1768</v>
      </c>
      <c r="H174" s="8" t="s">
        <v>1874</v>
      </c>
      <c r="I174" s="21"/>
    </row>
    <row r="175" spans="1:9" ht="14.6" x14ac:dyDescent="0.4">
      <c r="A175" s="8" t="s">
        <v>85</v>
      </c>
      <c r="B175" s="8" t="s">
        <v>1403</v>
      </c>
      <c r="C175" s="8" t="s">
        <v>86</v>
      </c>
      <c r="D175" s="8" t="s">
        <v>1345</v>
      </c>
      <c r="E175" s="8" t="s">
        <v>24</v>
      </c>
      <c r="F175" s="8" t="s">
        <v>1584</v>
      </c>
      <c r="G175" s="8" t="s">
        <v>1768</v>
      </c>
      <c r="H175" s="8" t="s">
        <v>1874</v>
      </c>
      <c r="I175" s="21"/>
    </row>
    <row r="176" spans="1:9" ht="14.6" x14ac:dyDescent="0.4">
      <c r="A176" s="8" t="s">
        <v>196</v>
      </c>
      <c r="B176" s="8" t="s">
        <v>1368</v>
      </c>
      <c r="C176" s="8" t="s">
        <v>197</v>
      </c>
      <c r="D176" s="8" t="s">
        <v>1355</v>
      </c>
      <c r="E176" s="8" t="s">
        <v>24</v>
      </c>
      <c r="F176" s="8" t="s">
        <v>1584</v>
      </c>
      <c r="G176" s="8" t="s">
        <v>1768</v>
      </c>
      <c r="H176" s="8" t="s">
        <v>1874</v>
      </c>
      <c r="I176" s="21"/>
    </row>
    <row r="177" spans="1:9" ht="14.6" x14ac:dyDescent="0.4">
      <c r="A177" s="8" t="s">
        <v>196</v>
      </c>
      <c r="B177" s="8" t="s">
        <v>1358</v>
      </c>
      <c r="C177" s="8" t="s">
        <v>197</v>
      </c>
      <c r="D177" s="8" t="s">
        <v>1359</v>
      </c>
      <c r="E177" s="8" t="s">
        <v>24</v>
      </c>
      <c r="F177" s="8" t="s">
        <v>1584</v>
      </c>
      <c r="G177" s="8" t="s">
        <v>1768</v>
      </c>
      <c r="H177" s="8" t="s">
        <v>1874</v>
      </c>
      <c r="I177" s="21"/>
    </row>
    <row r="178" spans="1:9" ht="14.6" x14ac:dyDescent="0.4">
      <c r="A178" s="8" t="s">
        <v>196</v>
      </c>
      <c r="B178" s="8" t="s">
        <v>1398</v>
      </c>
      <c r="C178" s="8" t="s">
        <v>197</v>
      </c>
      <c r="D178" s="8" t="s">
        <v>1359</v>
      </c>
      <c r="E178" s="8" t="s">
        <v>24</v>
      </c>
      <c r="F178" s="8" t="s">
        <v>1584</v>
      </c>
      <c r="G178" s="8" t="s">
        <v>1768</v>
      </c>
      <c r="H178" s="8" t="s">
        <v>1874</v>
      </c>
      <c r="I178" s="21"/>
    </row>
    <row r="179" spans="1:9" ht="14.6" x14ac:dyDescent="0.4">
      <c r="A179" s="8" t="s">
        <v>196</v>
      </c>
      <c r="B179" s="8" t="s">
        <v>1403</v>
      </c>
      <c r="C179" s="8" t="s">
        <v>197</v>
      </c>
      <c r="D179" s="8" t="s">
        <v>1345</v>
      </c>
      <c r="E179" s="8" t="s">
        <v>24</v>
      </c>
      <c r="F179" s="8" t="s">
        <v>1584</v>
      </c>
      <c r="G179" s="8" t="s">
        <v>1768</v>
      </c>
      <c r="H179" s="8" t="s">
        <v>1874</v>
      </c>
      <c r="I179" s="21"/>
    </row>
    <row r="180" spans="1:9" ht="14.6" x14ac:dyDescent="0.4">
      <c r="A180" s="8" t="s">
        <v>1368</v>
      </c>
      <c r="B180" s="8" t="s">
        <v>1358</v>
      </c>
      <c r="C180" s="8" t="s">
        <v>1355</v>
      </c>
      <c r="D180" s="8" t="s">
        <v>1359</v>
      </c>
      <c r="E180" s="8" t="s">
        <v>24</v>
      </c>
      <c r="F180" s="8" t="s">
        <v>1584</v>
      </c>
      <c r="G180" s="8" t="s">
        <v>1768</v>
      </c>
      <c r="H180" s="8" t="s">
        <v>1874</v>
      </c>
      <c r="I180" s="21"/>
    </row>
    <row r="181" spans="1:9" ht="14.6" x14ac:dyDescent="0.4">
      <c r="A181" s="8" t="s">
        <v>1368</v>
      </c>
      <c r="B181" s="8" t="s">
        <v>1398</v>
      </c>
      <c r="C181" s="8" t="s">
        <v>1355</v>
      </c>
      <c r="D181" s="8" t="s">
        <v>1359</v>
      </c>
      <c r="E181" s="8" t="s">
        <v>24</v>
      </c>
      <c r="F181" s="8" t="s">
        <v>1584</v>
      </c>
      <c r="G181" s="8" t="s">
        <v>1768</v>
      </c>
      <c r="H181" s="8" t="s">
        <v>1874</v>
      </c>
      <c r="I181" s="21"/>
    </row>
    <row r="182" spans="1:9" ht="14.6" x14ac:dyDescent="0.4">
      <c r="A182" s="8" t="s">
        <v>1368</v>
      </c>
      <c r="B182" s="8" t="s">
        <v>1403</v>
      </c>
      <c r="C182" s="8" t="s">
        <v>1355</v>
      </c>
      <c r="D182" s="8" t="s">
        <v>1345</v>
      </c>
      <c r="E182" s="8" t="s">
        <v>24</v>
      </c>
      <c r="F182" s="8" t="s">
        <v>1584</v>
      </c>
      <c r="G182" s="8" t="s">
        <v>1768</v>
      </c>
      <c r="H182" s="8" t="s">
        <v>1874</v>
      </c>
      <c r="I182" s="21"/>
    </row>
    <row r="183" spans="1:9" ht="14.6" x14ac:dyDescent="0.4">
      <c r="A183" s="8" t="s">
        <v>1358</v>
      </c>
      <c r="B183" s="8" t="s">
        <v>1398</v>
      </c>
      <c r="C183" s="8" t="s">
        <v>1359</v>
      </c>
      <c r="D183" s="8" t="s">
        <v>1359</v>
      </c>
      <c r="E183" s="8" t="s">
        <v>24</v>
      </c>
      <c r="F183" s="8" t="s">
        <v>1584</v>
      </c>
      <c r="G183" s="8" t="s">
        <v>1768</v>
      </c>
      <c r="H183" s="8" t="s">
        <v>1874</v>
      </c>
      <c r="I183" s="21"/>
    </row>
    <row r="184" spans="1:9" ht="14.6" x14ac:dyDescent="0.4">
      <c r="A184" s="8" t="s">
        <v>1370</v>
      </c>
      <c r="B184" s="8" t="s">
        <v>1380</v>
      </c>
      <c r="C184" s="8" t="s">
        <v>1359</v>
      </c>
      <c r="D184" s="8" t="s">
        <v>1353</v>
      </c>
      <c r="E184" s="8" t="s">
        <v>52</v>
      </c>
      <c r="F184" s="8" t="s">
        <v>1580</v>
      </c>
      <c r="G184" s="8" t="s">
        <v>1581</v>
      </c>
      <c r="H184" s="8" t="s">
        <v>1954</v>
      </c>
      <c r="I184" s="8" t="s">
        <v>1955</v>
      </c>
    </row>
    <row r="185" spans="1:9" ht="14.6" x14ac:dyDescent="0.4">
      <c r="A185" s="8" t="s">
        <v>1370</v>
      </c>
      <c r="B185" s="8" t="s">
        <v>1399</v>
      </c>
      <c r="C185" s="8" t="s">
        <v>1359</v>
      </c>
      <c r="D185" s="8" t="s">
        <v>1351</v>
      </c>
      <c r="E185" s="8" t="s">
        <v>52</v>
      </c>
      <c r="F185" s="8" t="s">
        <v>1580</v>
      </c>
      <c r="G185" s="8" t="s">
        <v>1581</v>
      </c>
      <c r="H185" s="8" t="s">
        <v>1956</v>
      </c>
      <c r="I185" s="8" t="s">
        <v>1955</v>
      </c>
    </row>
    <row r="186" spans="1:9" ht="14.6" x14ac:dyDescent="0.4">
      <c r="A186" s="8" t="s">
        <v>1380</v>
      </c>
      <c r="B186" s="8" t="s">
        <v>1399</v>
      </c>
      <c r="C186" s="8" t="s">
        <v>1353</v>
      </c>
      <c r="D186" s="8" t="s">
        <v>1351</v>
      </c>
      <c r="E186" s="8" t="s">
        <v>52</v>
      </c>
      <c r="F186" s="8" t="s">
        <v>1580</v>
      </c>
      <c r="G186" s="8" t="s">
        <v>1581</v>
      </c>
      <c r="H186" s="8" t="s">
        <v>1957</v>
      </c>
      <c r="I186" s="8" t="s">
        <v>1955</v>
      </c>
    </row>
    <row r="187" spans="1:9" ht="14.6" x14ac:dyDescent="0.4">
      <c r="A187" s="8" t="s">
        <v>51</v>
      </c>
      <c r="B187" s="8" t="s">
        <v>102</v>
      </c>
      <c r="C187" s="8" t="s">
        <v>46</v>
      </c>
      <c r="D187" s="8" t="s">
        <v>103</v>
      </c>
      <c r="E187" s="8" t="s">
        <v>52</v>
      </c>
      <c r="F187" s="8" t="s">
        <v>1584</v>
      </c>
      <c r="G187" s="8" t="s">
        <v>1768</v>
      </c>
      <c r="H187" s="8" t="s">
        <v>1874</v>
      </c>
      <c r="I187" s="21"/>
    </row>
    <row r="188" spans="1:9" ht="14.6" x14ac:dyDescent="0.4">
      <c r="A188" s="8" t="s">
        <v>51</v>
      </c>
      <c r="B188" s="8" t="s">
        <v>155</v>
      </c>
      <c r="C188" s="8" t="s">
        <v>46</v>
      </c>
      <c r="D188" s="8" t="s">
        <v>156</v>
      </c>
      <c r="E188" s="8" t="s">
        <v>52</v>
      </c>
      <c r="F188" s="8" t="s">
        <v>1584</v>
      </c>
      <c r="G188" s="8" t="s">
        <v>1768</v>
      </c>
      <c r="H188" s="8" t="s">
        <v>1874</v>
      </c>
      <c r="I188" s="21"/>
    </row>
    <row r="189" spans="1:9" ht="14.6" x14ac:dyDescent="0.4">
      <c r="A189" s="8" t="s">
        <v>51</v>
      </c>
      <c r="B189" s="8" t="s">
        <v>168</v>
      </c>
      <c r="C189" s="8" t="s">
        <v>46</v>
      </c>
      <c r="D189" s="8" t="s">
        <v>169</v>
      </c>
      <c r="E189" s="8" t="s">
        <v>52</v>
      </c>
      <c r="F189" s="8" t="s">
        <v>1584</v>
      </c>
      <c r="G189" s="8" t="s">
        <v>1768</v>
      </c>
      <c r="H189" s="8" t="s">
        <v>1874</v>
      </c>
      <c r="I189" s="21"/>
    </row>
    <row r="190" spans="1:9" ht="14.6" x14ac:dyDescent="0.4">
      <c r="A190" s="8" t="s">
        <v>51</v>
      </c>
      <c r="B190" s="8" t="s">
        <v>1370</v>
      </c>
      <c r="C190" s="8" t="s">
        <v>46</v>
      </c>
      <c r="D190" s="8" t="s">
        <v>1359</v>
      </c>
      <c r="E190" s="8" t="s">
        <v>52</v>
      </c>
      <c r="F190" s="8" t="s">
        <v>1584</v>
      </c>
      <c r="G190" s="8" t="s">
        <v>1768</v>
      </c>
      <c r="H190" s="8" t="s">
        <v>1874</v>
      </c>
      <c r="I190" s="21"/>
    </row>
    <row r="191" spans="1:9" ht="14.6" x14ac:dyDescent="0.4">
      <c r="A191" s="8" t="s">
        <v>51</v>
      </c>
      <c r="B191" s="8" t="s">
        <v>1380</v>
      </c>
      <c r="C191" s="8" t="s">
        <v>46</v>
      </c>
      <c r="D191" s="8" t="s">
        <v>1353</v>
      </c>
      <c r="E191" s="8" t="s">
        <v>52</v>
      </c>
      <c r="F191" s="8" t="s">
        <v>1584</v>
      </c>
      <c r="G191" s="8" t="s">
        <v>1768</v>
      </c>
      <c r="H191" s="8" t="s">
        <v>1874</v>
      </c>
      <c r="I191" s="21"/>
    </row>
    <row r="192" spans="1:9" ht="14.6" x14ac:dyDescent="0.4">
      <c r="A192" s="8" t="s">
        <v>51</v>
      </c>
      <c r="B192" s="8" t="s">
        <v>1399</v>
      </c>
      <c r="C192" s="8" t="s">
        <v>46</v>
      </c>
      <c r="D192" s="8" t="s">
        <v>1351</v>
      </c>
      <c r="E192" s="8" t="s">
        <v>52</v>
      </c>
      <c r="F192" s="8" t="s">
        <v>1584</v>
      </c>
      <c r="G192" s="8" t="s">
        <v>1768</v>
      </c>
      <c r="H192" s="8" t="s">
        <v>1874</v>
      </c>
      <c r="I192" s="21"/>
    </row>
    <row r="193" spans="1:9" ht="14.6" x14ac:dyDescent="0.4">
      <c r="A193" s="8" t="s">
        <v>51</v>
      </c>
      <c r="B193" s="8" t="s">
        <v>1044</v>
      </c>
      <c r="C193" s="8" t="s">
        <v>46</v>
      </c>
      <c r="D193" s="8" t="s">
        <v>1045</v>
      </c>
      <c r="E193" s="8" t="s">
        <v>52</v>
      </c>
      <c r="F193" s="8" t="s">
        <v>1584</v>
      </c>
      <c r="G193" s="8" t="s">
        <v>1768</v>
      </c>
      <c r="H193" s="8" t="s">
        <v>1874</v>
      </c>
      <c r="I193" s="21"/>
    </row>
    <row r="194" spans="1:9" ht="14.6" x14ac:dyDescent="0.4">
      <c r="A194" s="8" t="s">
        <v>102</v>
      </c>
      <c r="B194" s="8" t="s">
        <v>155</v>
      </c>
      <c r="C194" s="8" t="s">
        <v>103</v>
      </c>
      <c r="D194" s="8" t="s">
        <v>156</v>
      </c>
      <c r="E194" s="8" t="s">
        <v>52</v>
      </c>
      <c r="F194" s="8" t="s">
        <v>1584</v>
      </c>
      <c r="G194" s="8" t="s">
        <v>1768</v>
      </c>
      <c r="H194" s="8" t="s">
        <v>1874</v>
      </c>
      <c r="I194" s="21"/>
    </row>
    <row r="195" spans="1:9" ht="14.6" x14ac:dyDescent="0.4">
      <c r="A195" s="8" t="s">
        <v>102</v>
      </c>
      <c r="B195" s="8" t="s">
        <v>168</v>
      </c>
      <c r="C195" s="8" t="s">
        <v>103</v>
      </c>
      <c r="D195" s="8" t="s">
        <v>169</v>
      </c>
      <c r="E195" s="8" t="s">
        <v>52</v>
      </c>
      <c r="F195" s="8" t="s">
        <v>1584</v>
      </c>
      <c r="G195" s="8" t="s">
        <v>1768</v>
      </c>
      <c r="H195" s="8" t="s">
        <v>1874</v>
      </c>
      <c r="I195" s="21"/>
    </row>
    <row r="196" spans="1:9" ht="14.6" x14ac:dyDescent="0.4">
      <c r="A196" s="8" t="s">
        <v>102</v>
      </c>
      <c r="B196" s="8" t="s">
        <v>1370</v>
      </c>
      <c r="C196" s="8" t="s">
        <v>103</v>
      </c>
      <c r="D196" s="8" t="s">
        <v>1359</v>
      </c>
      <c r="E196" s="8" t="s">
        <v>52</v>
      </c>
      <c r="F196" s="8" t="s">
        <v>1584</v>
      </c>
      <c r="G196" s="8" t="s">
        <v>1768</v>
      </c>
      <c r="H196" s="8" t="s">
        <v>1874</v>
      </c>
      <c r="I196" s="21"/>
    </row>
    <row r="197" spans="1:9" ht="14.6" x14ac:dyDescent="0.4">
      <c r="A197" s="8" t="s">
        <v>102</v>
      </c>
      <c r="B197" s="8" t="s">
        <v>1380</v>
      </c>
      <c r="C197" s="8" t="s">
        <v>103</v>
      </c>
      <c r="D197" s="8" t="s">
        <v>1353</v>
      </c>
      <c r="E197" s="8" t="s">
        <v>52</v>
      </c>
      <c r="F197" s="8" t="s">
        <v>1584</v>
      </c>
      <c r="G197" s="8" t="s">
        <v>1768</v>
      </c>
      <c r="H197" s="8" t="s">
        <v>1874</v>
      </c>
      <c r="I197" s="21"/>
    </row>
    <row r="198" spans="1:9" ht="14.6" x14ac:dyDescent="0.4">
      <c r="A198" s="8" t="s">
        <v>102</v>
      </c>
      <c r="B198" s="8" t="s">
        <v>1399</v>
      </c>
      <c r="C198" s="8" t="s">
        <v>103</v>
      </c>
      <c r="D198" s="8" t="s">
        <v>1351</v>
      </c>
      <c r="E198" s="8" t="s">
        <v>52</v>
      </c>
      <c r="F198" s="8" t="s">
        <v>1584</v>
      </c>
      <c r="G198" s="8" t="s">
        <v>1768</v>
      </c>
      <c r="H198" s="8" t="s">
        <v>1874</v>
      </c>
      <c r="I198" s="21"/>
    </row>
    <row r="199" spans="1:9" ht="14.6" x14ac:dyDescent="0.4">
      <c r="A199" s="8" t="s">
        <v>102</v>
      </c>
      <c r="B199" s="8" t="s">
        <v>1044</v>
      </c>
      <c r="C199" s="8" t="s">
        <v>103</v>
      </c>
      <c r="D199" s="8" t="s">
        <v>1045</v>
      </c>
      <c r="E199" s="8" t="s">
        <v>52</v>
      </c>
      <c r="F199" s="8" t="s">
        <v>1584</v>
      </c>
      <c r="G199" s="8" t="s">
        <v>1768</v>
      </c>
      <c r="H199" s="8" t="s">
        <v>1874</v>
      </c>
      <c r="I199" s="21"/>
    </row>
    <row r="200" spans="1:9" ht="14.6" x14ac:dyDescent="0.4">
      <c r="A200" s="8" t="s">
        <v>155</v>
      </c>
      <c r="B200" s="8" t="s">
        <v>168</v>
      </c>
      <c r="C200" s="8" t="s">
        <v>156</v>
      </c>
      <c r="D200" s="8" t="s">
        <v>169</v>
      </c>
      <c r="E200" s="8" t="s">
        <v>52</v>
      </c>
      <c r="F200" s="8" t="s">
        <v>1584</v>
      </c>
      <c r="G200" s="8" t="s">
        <v>1768</v>
      </c>
      <c r="H200" s="8" t="s">
        <v>1874</v>
      </c>
      <c r="I200" s="21"/>
    </row>
    <row r="201" spans="1:9" ht="14.6" x14ac:dyDescent="0.4">
      <c r="A201" s="8" t="s">
        <v>155</v>
      </c>
      <c r="B201" s="8" t="s">
        <v>1370</v>
      </c>
      <c r="C201" s="8" t="s">
        <v>156</v>
      </c>
      <c r="D201" s="8" t="s">
        <v>1359</v>
      </c>
      <c r="E201" s="8" t="s">
        <v>52</v>
      </c>
      <c r="F201" s="8" t="s">
        <v>1584</v>
      </c>
      <c r="G201" s="8" t="s">
        <v>1768</v>
      </c>
      <c r="H201" s="8" t="s">
        <v>1874</v>
      </c>
      <c r="I201" s="21"/>
    </row>
    <row r="202" spans="1:9" ht="14.6" x14ac:dyDescent="0.4">
      <c r="A202" s="8" t="s">
        <v>155</v>
      </c>
      <c r="B202" s="8" t="s">
        <v>1380</v>
      </c>
      <c r="C202" s="8" t="s">
        <v>156</v>
      </c>
      <c r="D202" s="8" t="s">
        <v>1353</v>
      </c>
      <c r="E202" s="8" t="s">
        <v>52</v>
      </c>
      <c r="F202" s="8" t="s">
        <v>1584</v>
      </c>
      <c r="G202" s="8" t="s">
        <v>1768</v>
      </c>
      <c r="H202" s="8" t="s">
        <v>1874</v>
      </c>
      <c r="I202" s="21"/>
    </row>
    <row r="203" spans="1:9" ht="14.6" x14ac:dyDescent="0.4">
      <c r="A203" s="8" t="s">
        <v>155</v>
      </c>
      <c r="B203" s="8" t="s">
        <v>1399</v>
      </c>
      <c r="C203" s="8" t="s">
        <v>156</v>
      </c>
      <c r="D203" s="8" t="s">
        <v>1351</v>
      </c>
      <c r="E203" s="8" t="s">
        <v>52</v>
      </c>
      <c r="F203" s="8" t="s">
        <v>1584</v>
      </c>
      <c r="G203" s="8" t="s">
        <v>1768</v>
      </c>
      <c r="H203" s="8" t="s">
        <v>1874</v>
      </c>
      <c r="I203" s="21"/>
    </row>
    <row r="204" spans="1:9" ht="14.6" x14ac:dyDescent="0.4">
      <c r="A204" s="8" t="s">
        <v>155</v>
      </c>
      <c r="B204" s="8" t="s">
        <v>1044</v>
      </c>
      <c r="C204" s="8" t="s">
        <v>156</v>
      </c>
      <c r="D204" s="8" t="s">
        <v>1045</v>
      </c>
      <c r="E204" s="8" t="s">
        <v>52</v>
      </c>
      <c r="F204" s="8" t="s">
        <v>1584</v>
      </c>
      <c r="G204" s="8" t="s">
        <v>1768</v>
      </c>
      <c r="H204" s="8" t="s">
        <v>1874</v>
      </c>
      <c r="I204" s="21"/>
    </row>
    <row r="205" spans="1:9" ht="14.6" x14ac:dyDescent="0.4">
      <c r="A205" s="8" t="s">
        <v>168</v>
      </c>
      <c r="B205" s="8" t="s">
        <v>1370</v>
      </c>
      <c r="C205" s="8" t="s">
        <v>169</v>
      </c>
      <c r="D205" s="8" t="s">
        <v>1359</v>
      </c>
      <c r="E205" s="8" t="s">
        <v>52</v>
      </c>
      <c r="F205" s="8" t="s">
        <v>1584</v>
      </c>
      <c r="G205" s="8" t="s">
        <v>1768</v>
      </c>
      <c r="H205" s="8" t="s">
        <v>1874</v>
      </c>
      <c r="I205" s="21"/>
    </row>
    <row r="206" spans="1:9" ht="14.6" x14ac:dyDescent="0.4">
      <c r="A206" s="8" t="s">
        <v>168</v>
      </c>
      <c r="B206" s="8" t="s">
        <v>1380</v>
      </c>
      <c r="C206" s="8" t="s">
        <v>169</v>
      </c>
      <c r="D206" s="8" t="s">
        <v>1353</v>
      </c>
      <c r="E206" s="8" t="s">
        <v>52</v>
      </c>
      <c r="F206" s="8" t="s">
        <v>1584</v>
      </c>
      <c r="G206" s="8" t="s">
        <v>1768</v>
      </c>
      <c r="H206" s="8" t="s">
        <v>1874</v>
      </c>
      <c r="I206" s="22"/>
    </row>
    <row r="207" spans="1:9" ht="14.6" x14ac:dyDescent="0.4">
      <c r="A207" s="8" t="s">
        <v>168</v>
      </c>
      <c r="B207" s="8" t="s">
        <v>1399</v>
      </c>
      <c r="C207" s="8" t="s">
        <v>169</v>
      </c>
      <c r="D207" s="8" t="s">
        <v>1351</v>
      </c>
      <c r="E207" s="8" t="s">
        <v>52</v>
      </c>
      <c r="F207" s="8" t="s">
        <v>1584</v>
      </c>
      <c r="G207" s="8" t="s">
        <v>1768</v>
      </c>
      <c r="H207" s="8" t="s">
        <v>1874</v>
      </c>
      <c r="I207" s="22"/>
    </row>
    <row r="208" spans="1:9" ht="14.6" x14ac:dyDescent="0.4">
      <c r="A208" s="8" t="s">
        <v>168</v>
      </c>
      <c r="B208" s="8" t="s">
        <v>1044</v>
      </c>
      <c r="C208" s="8" t="s">
        <v>169</v>
      </c>
      <c r="D208" s="8" t="s">
        <v>1045</v>
      </c>
      <c r="E208" s="8" t="s">
        <v>52</v>
      </c>
      <c r="F208" s="8" t="s">
        <v>1584</v>
      </c>
      <c r="G208" s="8" t="s">
        <v>1768</v>
      </c>
      <c r="H208" s="8" t="s">
        <v>1874</v>
      </c>
      <c r="I208" s="22"/>
    </row>
    <row r="209" spans="1:9" ht="14.6" x14ac:dyDescent="0.4">
      <c r="A209" s="8" t="s">
        <v>1370</v>
      </c>
      <c r="B209" s="8" t="s">
        <v>1044</v>
      </c>
      <c r="C209" s="8" t="s">
        <v>1359</v>
      </c>
      <c r="D209" s="8" t="s">
        <v>1045</v>
      </c>
      <c r="E209" s="8" t="s">
        <v>52</v>
      </c>
      <c r="F209" s="8" t="s">
        <v>1584</v>
      </c>
      <c r="G209" s="8" t="s">
        <v>1768</v>
      </c>
      <c r="H209" s="8" t="s">
        <v>1874</v>
      </c>
      <c r="I209" s="22"/>
    </row>
    <row r="210" spans="1:9" ht="14.6" x14ac:dyDescent="0.4">
      <c r="A210" s="8" t="s">
        <v>1380</v>
      </c>
      <c r="B210" s="8" t="s">
        <v>1044</v>
      </c>
      <c r="C210" s="8" t="s">
        <v>1353</v>
      </c>
      <c r="D210" s="8" t="s">
        <v>1045</v>
      </c>
      <c r="E210" s="8" t="s">
        <v>52</v>
      </c>
      <c r="F210" s="8" t="s">
        <v>1584</v>
      </c>
      <c r="G210" s="8" t="s">
        <v>1768</v>
      </c>
      <c r="H210" s="8" t="s">
        <v>1874</v>
      </c>
      <c r="I210" s="22"/>
    </row>
    <row r="211" spans="1:9" ht="14.6" x14ac:dyDescent="0.4">
      <c r="A211" s="8" t="s">
        <v>1399</v>
      </c>
      <c r="B211" s="8" t="s">
        <v>1044</v>
      </c>
      <c r="C211" s="8" t="s">
        <v>1351</v>
      </c>
      <c r="D211" s="8" t="s">
        <v>1045</v>
      </c>
      <c r="E211" s="8" t="s">
        <v>52</v>
      </c>
      <c r="F211" s="8" t="s">
        <v>1584</v>
      </c>
      <c r="G211" s="8" t="s">
        <v>1768</v>
      </c>
      <c r="H211" s="8" t="s">
        <v>1874</v>
      </c>
      <c r="I211" s="22"/>
    </row>
    <row r="212" spans="1:9" ht="14.6" x14ac:dyDescent="0.4">
      <c r="A212" s="8" t="s">
        <v>1026</v>
      </c>
      <c r="B212" s="8" t="s">
        <v>1043</v>
      </c>
      <c r="C212" s="8" t="s">
        <v>1027</v>
      </c>
      <c r="D212" s="8" t="s">
        <v>1031</v>
      </c>
      <c r="E212" s="8" t="s">
        <v>6</v>
      </c>
      <c r="F212" s="8" t="s">
        <v>1580</v>
      </c>
      <c r="G212" s="8" t="s">
        <v>1581</v>
      </c>
      <c r="H212" s="8" t="s">
        <v>1958</v>
      </c>
      <c r="I212" s="8" t="s">
        <v>1959</v>
      </c>
    </row>
    <row r="213" spans="1:9" ht="14.6" x14ac:dyDescent="0.4">
      <c r="A213" s="8" t="s">
        <v>1026</v>
      </c>
      <c r="B213" s="8" t="s">
        <v>1053</v>
      </c>
      <c r="C213" s="8" t="s">
        <v>1027</v>
      </c>
      <c r="D213" s="8" t="s">
        <v>1054</v>
      </c>
      <c r="E213" s="8" t="s">
        <v>6</v>
      </c>
      <c r="F213" s="8" t="s">
        <v>1580</v>
      </c>
      <c r="G213" s="8" t="s">
        <v>1581</v>
      </c>
      <c r="H213" s="8" t="s">
        <v>1960</v>
      </c>
      <c r="I213" s="8" t="s">
        <v>1961</v>
      </c>
    </row>
    <row r="214" spans="1:9" ht="14.6" x14ac:dyDescent="0.4">
      <c r="A214" s="8" t="s">
        <v>1026</v>
      </c>
      <c r="B214" s="8" t="s">
        <v>1122</v>
      </c>
      <c r="C214" s="8" t="s">
        <v>1027</v>
      </c>
      <c r="D214" s="8" t="s">
        <v>1054</v>
      </c>
      <c r="E214" s="8" t="s">
        <v>6</v>
      </c>
      <c r="F214" s="8" t="s">
        <v>1580</v>
      </c>
      <c r="G214" s="8" t="s">
        <v>1581</v>
      </c>
      <c r="H214" s="8" t="s">
        <v>1962</v>
      </c>
      <c r="I214" s="8" t="s">
        <v>1963</v>
      </c>
    </row>
    <row r="215" spans="1:9" ht="14.6" x14ac:dyDescent="0.4">
      <c r="A215" s="8" t="s">
        <v>1043</v>
      </c>
      <c r="B215" s="8" t="s">
        <v>1053</v>
      </c>
      <c r="C215" s="8" t="s">
        <v>1031</v>
      </c>
      <c r="D215" s="8" t="s">
        <v>1054</v>
      </c>
      <c r="E215" s="8" t="s">
        <v>6</v>
      </c>
      <c r="F215" s="8" t="s">
        <v>1580</v>
      </c>
      <c r="G215" s="8" t="s">
        <v>1581</v>
      </c>
      <c r="H215" s="8" t="s">
        <v>1964</v>
      </c>
      <c r="I215" s="8" t="s">
        <v>1965</v>
      </c>
    </row>
    <row r="216" spans="1:9" ht="14.6" x14ac:dyDescent="0.4">
      <c r="A216" s="8" t="s">
        <v>1043</v>
      </c>
      <c r="B216" s="8" t="s">
        <v>1122</v>
      </c>
      <c r="C216" s="8" t="s">
        <v>1031</v>
      </c>
      <c r="D216" s="8" t="s">
        <v>1054</v>
      </c>
      <c r="E216" s="8" t="s">
        <v>6</v>
      </c>
      <c r="F216" s="8" t="s">
        <v>1580</v>
      </c>
      <c r="G216" s="8" t="s">
        <v>1581</v>
      </c>
      <c r="H216" s="8" t="s">
        <v>1966</v>
      </c>
      <c r="I216" s="8" t="s">
        <v>1967</v>
      </c>
    </row>
    <row r="217" spans="1:9" ht="14.6" x14ac:dyDescent="0.4">
      <c r="A217" s="8" t="s">
        <v>4</v>
      </c>
      <c r="B217" s="8" t="s">
        <v>99</v>
      </c>
      <c r="C217" s="8" t="s">
        <v>5</v>
      </c>
      <c r="D217" s="8" t="s">
        <v>98</v>
      </c>
      <c r="E217" s="8" t="s">
        <v>6</v>
      </c>
      <c r="F217" s="8" t="s">
        <v>1584</v>
      </c>
      <c r="G217" s="8" t="s">
        <v>1768</v>
      </c>
      <c r="H217" s="8" t="s">
        <v>1874</v>
      </c>
      <c r="I217" s="22"/>
    </row>
    <row r="218" spans="1:9" ht="14.6" x14ac:dyDescent="0.4">
      <c r="A218" s="8" t="s">
        <v>4</v>
      </c>
      <c r="B218" s="8" t="s">
        <v>130</v>
      </c>
      <c r="C218" s="8" t="s">
        <v>5</v>
      </c>
      <c r="D218" s="8" t="s">
        <v>131</v>
      </c>
      <c r="E218" s="8" t="s">
        <v>6</v>
      </c>
      <c r="F218" s="8" t="s">
        <v>1584</v>
      </c>
      <c r="G218" s="8" t="s">
        <v>1768</v>
      </c>
      <c r="H218" s="8" t="s">
        <v>1874</v>
      </c>
      <c r="I218" s="22"/>
    </row>
    <row r="219" spans="1:9" ht="14.6" x14ac:dyDescent="0.4">
      <c r="A219" s="8" t="s">
        <v>4</v>
      </c>
      <c r="B219" s="8" t="s">
        <v>140</v>
      </c>
      <c r="C219" s="8" t="s">
        <v>5</v>
      </c>
      <c r="D219" s="8" t="s">
        <v>141</v>
      </c>
      <c r="E219" s="8" t="s">
        <v>6</v>
      </c>
      <c r="F219" s="8" t="s">
        <v>1584</v>
      </c>
      <c r="G219" s="8" t="s">
        <v>1768</v>
      </c>
      <c r="H219" s="8" t="s">
        <v>1874</v>
      </c>
      <c r="I219" s="22"/>
    </row>
    <row r="220" spans="1:9" ht="14.6" x14ac:dyDescent="0.4">
      <c r="A220" s="8" t="s">
        <v>4</v>
      </c>
      <c r="B220" s="8" t="s">
        <v>1026</v>
      </c>
      <c r="C220" s="8" t="s">
        <v>5</v>
      </c>
      <c r="D220" s="8" t="s">
        <v>1027</v>
      </c>
      <c r="E220" s="8" t="s">
        <v>6</v>
      </c>
      <c r="F220" s="8" t="s">
        <v>1584</v>
      </c>
      <c r="G220" s="8" t="s">
        <v>1768</v>
      </c>
      <c r="H220" s="8" t="s">
        <v>1874</v>
      </c>
      <c r="I220" s="22"/>
    </row>
    <row r="221" spans="1:9" ht="14.6" x14ac:dyDescent="0.4">
      <c r="A221" s="8" t="s">
        <v>4</v>
      </c>
      <c r="B221" s="8" t="s">
        <v>1043</v>
      </c>
      <c r="C221" s="8" t="s">
        <v>5</v>
      </c>
      <c r="D221" s="8" t="s">
        <v>1031</v>
      </c>
      <c r="E221" s="8" t="s">
        <v>6</v>
      </c>
      <c r="F221" s="8" t="s">
        <v>1584</v>
      </c>
      <c r="G221" s="8" t="s">
        <v>1768</v>
      </c>
      <c r="H221" s="8" t="s">
        <v>1874</v>
      </c>
      <c r="I221" s="22"/>
    </row>
    <row r="222" spans="1:9" ht="14.6" x14ac:dyDescent="0.4">
      <c r="A222" s="8" t="s">
        <v>4</v>
      </c>
      <c r="B222" s="8" t="s">
        <v>1053</v>
      </c>
      <c r="C222" s="8" t="s">
        <v>5</v>
      </c>
      <c r="D222" s="8" t="s">
        <v>1054</v>
      </c>
      <c r="E222" s="8" t="s">
        <v>6</v>
      </c>
      <c r="F222" s="8" t="s">
        <v>1584</v>
      </c>
      <c r="G222" s="8" t="s">
        <v>1768</v>
      </c>
      <c r="H222" s="8" t="s">
        <v>1874</v>
      </c>
      <c r="I222" s="22"/>
    </row>
    <row r="223" spans="1:9" ht="14.6" x14ac:dyDescent="0.4">
      <c r="A223" s="8" t="s">
        <v>4</v>
      </c>
      <c r="B223" s="8" t="s">
        <v>1122</v>
      </c>
      <c r="C223" s="8" t="s">
        <v>5</v>
      </c>
      <c r="D223" s="8" t="s">
        <v>1054</v>
      </c>
      <c r="E223" s="8" t="s">
        <v>6</v>
      </c>
      <c r="F223" s="8" t="s">
        <v>1584</v>
      </c>
      <c r="G223" s="8" t="s">
        <v>1768</v>
      </c>
      <c r="H223" s="8" t="s">
        <v>1874</v>
      </c>
      <c r="I223" s="22"/>
    </row>
    <row r="224" spans="1:9" ht="14.6" x14ac:dyDescent="0.4">
      <c r="A224" s="8" t="s">
        <v>99</v>
      </c>
      <c r="B224" s="8" t="s">
        <v>130</v>
      </c>
      <c r="C224" s="8" t="s">
        <v>98</v>
      </c>
      <c r="D224" s="8" t="s">
        <v>131</v>
      </c>
      <c r="E224" s="8" t="s">
        <v>6</v>
      </c>
      <c r="F224" s="8" t="s">
        <v>1584</v>
      </c>
      <c r="G224" s="8" t="s">
        <v>1768</v>
      </c>
      <c r="H224" s="8" t="s">
        <v>1874</v>
      </c>
      <c r="I224" s="22"/>
    </row>
    <row r="225" spans="1:9" ht="14.6" x14ac:dyDescent="0.4">
      <c r="A225" s="8" t="s">
        <v>99</v>
      </c>
      <c r="B225" s="8" t="s">
        <v>140</v>
      </c>
      <c r="C225" s="8" t="s">
        <v>98</v>
      </c>
      <c r="D225" s="8" t="s">
        <v>141</v>
      </c>
      <c r="E225" s="8" t="s">
        <v>6</v>
      </c>
      <c r="F225" s="8" t="s">
        <v>1584</v>
      </c>
      <c r="G225" s="8" t="s">
        <v>1768</v>
      </c>
      <c r="H225" s="8" t="s">
        <v>1874</v>
      </c>
      <c r="I225" s="22"/>
    </row>
    <row r="226" spans="1:9" ht="14.6" x14ac:dyDescent="0.4">
      <c r="A226" s="8" t="s">
        <v>99</v>
      </c>
      <c r="B226" s="8" t="s">
        <v>1026</v>
      </c>
      <c r="C226" s="8" t="s">
        <v>98</v>
      </c>
      <c r="D226" s="8" t="s">
        <v>1027</v>
      </c>
      <c r="E226" s="8" t="s">
        <v>6</v>
      </c>
      <c r="F226" s="8" t="s">
        <v>1584</v>
      </c>
      <c r="G226" s="8" t="s">
        <v>1768</v>
      </c>
      <c r="H226" s="8" t="s">
        <v>1874</v>
      </c>
      <c r="I226" s="22"/>
    </row>
    <row r="227" spans="1:9" ht="14.6" x14ac:dyDescent="0.4">
      <c r="A227" s="8" t="s">
        <v>99</v>
      </c>
      <c r="B227" s="8" t="s">
        <v>1043</v>
      </c>
      <c r="C227" s="8" t="s">
        <v>98</v>
      </c>
      <c r="D227" s="8" t="s">
        <v>1031</v>
      </c>
      <c r="E227" s="8" t="s">
        <v>6</v>
      </c>
      <c r="F227" s="8" t="s">
        <v>1584</v>
      </c>
      <c r="G227" s="8" t="s">
        <v>1768</v>
      </c>
      <c r="H227" s="8" t="s">
        <v>1874</v>
      </c>
      <c r="I227" s="22"/>
    </row>
    <row r="228" spans="1:9" ht="14.6" x14ac:dyDescent="0.4">
      <c r="A228" s="8" t="s">
        <v>99</v>
      </c>
      <c r="B228" s="8" t="s">
        <v>1053</v>
      </c>
      <c r="C228" s="8" t="s">
        <v>98</v>
      </c>
      <c r="D228" s="8" t="s">
        <v>1054</v>
      </c>
      <c r="E228" s="8" t="s">
        <v>6</v>
      </c>
      <c r="F228" s="8" t="s">
        <v>1584</v>
      </c>
      <c r="G228" s="8" t="s">
        <v>1768</v>
      </c>
      <c r="H228" s="8" t="s">
        <v>1874</v>
      </c>
      <c r="I228" s="22"/>
    </row>
    <row r="229" spans="1:9" ht="14.6" x14ac:dyDescent="0.4">
      <c r="A229" s="8" t="s">
        <v>99</v>
      </c>
      <c r="B229" s="8" t="s">
        <v>1122</v>
      </c>
      <c r="C229" s="8" t="s">
        <v>98</v>
      </c>
      <c r="D229" s="8" t="s">
        <v>1054</v>
      </c>
      <c r="E229" s="8" t="s">
        <v>6</v>
      </c>
      <c r="F229" s="8" t="s">
        <v>1584</v>
      </c>
      <c r="G229" s="8" t="s">
        <v>1768</v>
      </c>
      <c r="H229" s="8" t="s">
        <v>1874</v>
      </c>
      <c r="I229" s="22"/>
    </row>
    <row r="230" spans="1:9" ht="14.6" x14ac:dyDescent="0.4">
      <c r="A230" s="8" t="s">
        <v>130</v>
      </c>
      <c r="B230" s="8" t="s">
        <v>140</v>
      </c>
      <c r="C230" s="8" t="s">
        <v>131</v>
      </c>
      <c r="D230" s="8" t="s">
        <v>141</v>
      </c>
      <c r="E230" s="8" t="s">
        <v>6</v>
      </c>
      <c r="F230" s="8" t="s">
        <v>1584</v>
      </c>
      <c r="G230" s="8" t="s">
        <v>1768</v>
      </c>
      <c r="H230" s="8" t="s">
        <v>1874</v>
      </c>
      <c r="I230" s="22"/>
    </row>
    <row r="231" spans="1:9" ht="14.6" x14ac:dyDescent="0.4">
      <c r="A231" s="8" t="s">
        <v>130</v>
      </c>
      <c r="B231" s="8" t="s">
        <v>1026</v>
      </c>
      <c r="C231" s="8" t="s">
        <v>131</v>
      </c>
      <c r="D231" s="8" t="s">
        <v>1027</v>
      </c>
      <c r="E231" s="8" t="s">
        <v>6</v>
      </c>
      <c r="F231" s="8" t="s">
        <v>1584</v>
      </c>
      <c r="G231" s="8" t="s">
        <v>1768</v>
      </c>
      <c r="H231" s="8" t="s">
        <v>1874</v>
      </c>
      <c r="I231" s="22"/>
    </row>
    <row r="232" spans="1:9" ht="14.6" x14ac:dyDescent="0.4">
      <c r="A232" s="8" t="s">
        <v>130</v>
      </c>
      <c r="B232" s="8" t="s">
        <v>1043</v>
      </c>
      <c r="C232" s="8" t="s">
        <v>131</v>
      </c>
      <c r="D232" s="8" t="s">
        <v>1031</v>
      </c>
      <c r="E232" s="8" t="s">
        <v>6</v>
      </c>
      <c r="F232" s="8" t="s">
        <v>1584</v>
      </c>
      <c r="G232" s="8" t="s">
        <v>1768</v>
      </c>
      <c r="H232" s="8" t="s">
        <v>1874</v>
      </c>
      <c r="I232" s="22"/>
    </row>
    <row r="233" spans="1:9" ht="14.6" x14ac:dyDescent="0.4">
      <c r="A233" s="8" t="s">
        <v>130</v>
      </c>
      <c r="B233" s="8" t="s">
        <v>1053</v>
      </c>
      <c r="C233" s="8" t="s">
        <v>131</v>
      </c>
      <c r="D233" s="8" t="s">
        <v>1054</v>
      </c>
      <c r="E233" s="8" t="s">
        <v>6</v>
      </c>
      <c r="F233" s="8" t="s">
        <v>1584</v>
      </c>
      <c r="G233" s="8" t="s">
        <v>1768</v>
      </c>
      <c r="H233" s="8" t="s">
        <v>1874</v>
      </c>
      <c r="I233" s="22"/>
    </row>
    <row r="234" spans="1:9" ht="14.6" x14ac:dyDescent="0.4">
      <c r="A234" s="8" t="s">
        <v>130</v>
      </c>
      <c r="B234" s="8" t="s">
        <v>1122</v>
      </c>
      <c r="C234" s="8" t="s">
        <v>131</v>
      </c>
      <c r="D234" s="8" t="s">
        <v>1054</v>
      </c>
      <c r="E234" s="8" t="s">
        <v>6</v>
      </c>
      <c r="F234" s="8" t="s">
        <v>1584</v>
      </c>
      <c r="G234" s="8" t="s">
        <v>1768</v>
      </c>
      <c r="H234" s="8" t="s">
        <v>1874</v>
      </c>
      <c r="I234" s="22"/>
    </row>
    <row r="235" spans="1:9" ht="14.6" x14ac:dyDescent="0.4">
      <c r="A235" s="8" t="s">
        <v>140</v>
      </c>
      <c r="B235" s="8" t="s">
        <v>1026</v>
      </c>
      <c r="C235" s="8" t="s">
        <v>141</v>
      </c>
      <c r="D235" s="8" t="s">
        <v>1027</v>
      </c>
      <c r="E235" s="8" t="s">
        <v>6</v>
      </c>
      <c r="F235" s="8" t="s">
        <v>1584</v>
      </c>
      <c r="G235" s="8" t="s">
        <v>1768</v>
      </c>
      <c r="H235" s="8" t="s">
        <v>1874</v>
      </c>
      <c r="I235" s="22"/>
    </row>
    <row r="236" spans="1:9" ht="14.6" x14ac:dyDescent="0.4">
      <c r="A236" s="8" t="s">
        <v>140</v>
      </c>
      <c r="B236" s="8" t="s">
        <v>1043</v>
      </c>
      <c r="C236" s="8" t="s">
        <v>141</v>
      </c>
      <c r="D236" s="8" t="s">
        <v>1031</v>
      </c>
      <c r="E236" s="8" t="s">
        <v>6</v>
      </c>
      <c r="F236" s="8" t="s">
        <v>1584</v>
      </c>
      <c r="G236" s="8" t="s">
        <v>1768</v>
      </c>
      <c r="H236" s="8" t="s">
        <v>1874</v>
      </c>
      <c r="I236" s="22"/>
    </row>
    <row r="237" spans="1:9" ht="14.6" x14ac:dyDescent="0.4">
      <c r="A237" s="8" t="s">
        <v>140</v>
      </c>
      <c r="B237" s="8" t="s">
        <v>1053</v>
      </c>
      <c r="C237" s="8" t="s">
        <v>141</v>
      </c>
      <c r="D237" s="8" t="s">
        <v>1054</v>
      </c>
      <c r="E237" s="8" t="s">
        <v>6</v>
      </c>
      <c r="F237" s="8" t="s">
        <v>1584</v>
      </c>
      <c r="G237" s="8" t="s">
        <v>1768</v>
      </c>
      <c r="H237" s="8" t="s">
        <v>1874</v>
      </c>
      <c r="I237" s="22"/>
    </row>
    <row r="238" spans="1:9" ht="14.6" x14ac:dyDescent="0.4">
      <c r="A238" s="8" t="s">
        <v>140</v>
      </c>
      <c r="B238" s="8" t="s">
        <v>1122</v>
      </c>
      <c r="C238" s="8" t="s">
        <v>141</v>
      </c>
      <c r="D238" s="8" t="s">
        <v>1054</v>
      </c>
      <c r="E238" s="8" t="s">
        <v>6</v>
      </c>
      <c r="F238" s="8" t="s">
        <v>1584</v>
      </c>
      <c r="G238" s="8" t="s">
        <v>1768</v>
      </c>
      <c r="H238" s="8" t="s">
        <v>1874</v>
      </c>
      <c r="I238" s="22"/>
    </row>
    <row r="239" spans="1:9" ht="14.6" x14ac:dyDescent="0.4">
      <c r="A239" s="8" t="s">
        <v>1053</v>
      </c>
      <c r="B239" s="8" t="s">
        <v>1122</v>
      </c>
      <c r="C239" s="8" t="s">
        <v>1054</v>
      </c>
      <c r="D239" s="8" t="s">
        <v>1054</v>
      </c>
      <c r="E239" s="8" t="s">
        <v>6</v>
      </c>
      <c r="F239" s="8" t="s">
        <v>1584</v>
      </c>
      <c r="G239" s="8" t="s">
        <v>1768</v>
      </c>
      <c r="H239" s="8" t="s">
        <v>1874</v>
      </c>
      <c r="I239" s="22"/>
    </row>
    <row r="240" spans="1:9" ht="14.6" x14ac:dyDescent="0.4">
      <c r="A240" s="8" t="s">
        <v>1028</v>
      </c>
      <c r="B240" s="8" t="s">
        <v>1036</v>
      </c>
      <c r="C240" s="8" t="s">
        <v>1029</v>
      </c>
      <c r="D240" s="8" t="s">
        <v>1035</v>
      </c>
      <c r="E240" s="8" t="s">
        <v>55</v>
      </c>
      <c r="F240" s="8" t="s">
        <v>1580</v>
      </c>
      <c r="G240" s="8" t="s">
        <v>1581</v>
      </c>
      <c r="H240" s="8" t="s">
        <v>1968</v>
      </c>
      <c r="I240" s="8" t="s">
        <v>1969</v>
      </c>
    </row>
    <row r="241" spans="1:9" ht="14.6" x14ac:dyDescent="0.4">
      <c r="A241" s="8" t="s">
        <v>1028</v>
      </c>
      <c r="B241" s="8" t="s">
        <v>1093</v>
      </c>
      <c r="C241" s="8" t="s">
        <v>1029</v>
      </c>
      <c r="D241" s="8" t="s">
        <v>1051</v>
      </c>
      <c r="E241" s="8" t="s">
        <v>55</v>
      </c>
      <c r="F241" s="8" t="s">
        <v>1580</v>
      </c>
      <c r="G241" s="8" t="s">
        <v>1581</v>
      </c>
      <c r="H241" s="8" t="s">
        <v>1970</v>
      </c>
      <c r="I241" s="8" t="s">
        <v>1971</v>
      </c>
    </row>
    <row r="242" spans="1:9" ht="14.6" x14ac:dyDescent="0.4">
      <c r="A242" s="8" t="s">
        <v>1036</v>
      </c>
      <c r="B242" s="8" t="s">
        <v>1093</v>
      </c>
      <c r="C242" s="8" t="s">
        <v>1035</v>
      </c>
      <c r="D242" s="8" t="s">
        <v>1051</v>
      </c>
      <c r="E242" s="8" t="s">
        <v>55</v>
      </c>
      <c r="F242" s="8" t="s">
        <v>1580</v>
      </c>
      <c r="G242" s="8" t="s">
        <v>1581</v>
      </c>
      <c r="H242" s="8" t="s">
        <v>1972</v>
      </c>
      <c r="I242" s="8" t="s">
        <v>1973</v>
      </c>
    </row>
    <row r="243" spans="1:9" ht="14.6" x14ac:dyDescent="0.4">
      <c r="A243" s="8" t="s">
        <v>53</v>
      </c>
      <c r="B243" s="8" t="s">
        <v>77</v>
      </c>
      <c r="C243" s="8" t="s">
        <v>54</v>
      </c>
      <c r="D243" s="8" t="s">
        <v>78</v>
      </c>
      <c r="E243" s="8" t="s">
        <v>55</v>
      </c>
      <c r="F243" s="8" t="s">
        <v>1584</v>
      </c>
      <c r="G243" s="8" t="s">
        <v>1768</v>
      </c>
      <c r="H243" s="8" t="s">
        <v>1874</v>
      </c>
      <c r="I243" s="22"/>
    </row>
    <row r="244" spans="1:9" ht="14.6" x14ac:dyDescent="0.4">
      <c r="A244" s="8" t="s">
        <v>53</v>
      </c>
      <c r="B244" s="8" t="s">
        <v>79</v>
      </c>
      <c r="C244" s="8" t="s">
        <v>54</v>
      </c>
      <c r="D244" s="8" t="s">
        <v>80</v>
      </c>
      <c r="E244" s="8" t="s">
        <v>55</v>
      </c>
      <c r="F244" s="8" t="s">
        <v>1584</v>
      </c>
      <c r="G244" s="8" t="s">
        <v>1768</v>
      </c>
      <c r="H244" s="8" t="s">
        <v>1874</v>
      </c>
      <c r="I244" s="22"/>
    </row>
    <row r="245" spans="1:9" ht="14.6" x14ac:dyDescent="0.4">
      <c r="A245" s="8" t="s">
        <v>53</v>
      </c>
      <c r="B245" s="8" t="s">
        <v>115</v>
      </c>
      <c r="C245" s="8" t="s">
        <v>54</v>
      </c>
      <c r="D245" s="8" t="s">
        <v>116</v>
      </c>
      <c r="E245" s="8" t="s">
        <v>55</v>
      </c>
      <c r="F245" s="8" t="s">
        <v>1584</v>
      </c>
      <c r="G245" s="8" t="s">
        <v>1768</v>
      </c>
      <c r="H245" s="8" t="s">
        <v>1874</v>
      </c>
      <c r="I245" s="22"/>
    </row>
    <row r="246" spans="1:9" ht="14.6" x14ac:dyDescent="0.4">
      <c r="A246" s="8" t="s">
        <v>53</v>
      </c>
      <c r="B246" s="8" t="s">
        <v>1390</v>
      </c>
      <c r="C246" s="8" t="s">
        <v>54</v>
      </c>
      <c r="D246" s="8" t="s">
        <v>1353</v>
      </c>
      <c r="E246" s="8" t="s">
        <v>55</v>
      </c>
      <c r="F246" s="8" t="s">
        <v>1584</v>
      </c>
      <c r="G246" s="8" t="s">
        <v>1768</v>
      </c>
      <c r="H246" s="8" t="s">
        <v>1874</v>
      </c>
      <c r="I246" s="22"/>
    </row>
    <row r="247" spans="1:9" ht="14.6" x14ac:dyDescent="0.4">
      <c r="A247" s="8" t="s">
        <v>53</v>
      </c>
      <c r="B247" s="8" t="s">
        <v>1028</v>
      </c>
      <c r="C247" s="8" t="s">
        <v>54</v>
      </c>
      <c r="D247" s="8" t="s">
        <v>1029</v>
      </c>
      <c r="E247" s="8" t="s">
        <v>55</v>
      </c>
      <c r="F247" s="8" t="s">
        <v>1584</v>
      </c>
      <c r="G247" s="8" t="s">
        <v>1768</v>
      </c>
      <c r="H247" s="8" t="s">
        <v>1874</v>
      </c>
      <c r="I247" s="22"/>
    </row>
    <row r="248" spans="1:9" ht="14.6" x14ac:dyDescent="0.4">
      <c r="A248" s="8" t="s">
        <v>53</v>
      </c>
      <c r="B248" s="8" t="s">
        <v>1036</v>
      </c>
      <c r="C248" s="8" t="s">
        <v>54</v>
      </c>
      <c r="D248" s="8" t="s">
        <v>1035</v>
      </c>
      <c r="E248" s="8" t="s">
        <v>55</v>
      </c>
      <c r="F248" s="8" t="s">
        <v>1584</v>
      </c>
      <c r="G248" s="8" t="s">
        <v>1768</v>
      </c>
      <c r="H248" s="8" t="s">
        <v>1874</v>
      </c>
      <c r="I248" s="22"/>
    </row>
    <row r="249" spans="1:9" ht="14.6" x14ac:dyDescent="0.4">
      <c r="A249" s="8" t="s">
        <v>53</v>
      </c>
      <c r="B249" s="8" t="s">
        <v>1093</v>
      </c>
      <c r="C249" s="8" t="s">
        <v>54</v>
      </c>
      <c r="D249" s="8" t="s">
        <v>1051</v>
      </c>
      <c r="E249" s="8" t="s">
        <v>55</v>
      </c>
      <c r="F249" s="8" t="s">
        <v>1584</v>
      </c>
      <c r="G249" s="8" t="s">
        <v>1768</v>
      </c>
      <c r="H249" s="8" t="s">
        <v>1874</v>
      </c>
      <c r="I249" s="22"/>
    </row>
    <row r="250" spans="1:9" ht="14.6" x14ac:dyDescent="0.4">
      <c r="A250" s="8" t="s">
        <v>77</v>
      </c>
      <c r="B250" s="8" t="s">
        <v>79</v>
      </c>
      <c r="C250" s="8" t="s">
        <v>78</v>
      </c>
      <c r="D250" s="8" t="s">
        <v>80</v>
      </c>
      <c r="E250" s="8" t="s">
        <v>55</v>
      </c>
      <c r="F250" s="8" t="s">
        <v>1584</v>
      </c>
      <c r="G250" s="8" t="s">
        <v>1768</v>
      </c>
      <c r="H250" s="8" t="s">
        <v>1874</v>
      </c>
      <c r="I250" s="22"/>
    </row>
    <row r="251" spans="1:9" ht="14.6" x14ac:dyDescent="0.4">
      <c r="A251" s="8" t="s">
        <v>77</v>
      </c>
      <c r="B251" s="8" t="s">
        <v>115</v>
      </c>
      <c r="C251" s="8" t="s">
        <v>78</v>
      </c>
      <c r="D251" s="8" t="s">
        <v>116</v>
      </c>
      <c r="E251" s="8" t="s">
        <v>55</v>
      </c>
      <c r="F251" s="8" t="s">
        <v>1584</v>
      </c>
      <c r="G251" s="8" t="s">
        <v>1768</v>
      </c>
      <c r="H251" s="8" t="s">
        <v>1874</v>
      </c>
      <c r="I251" s="22"/>
    </row>
    <row r="252" spans="1:9" ht="14.6" x14ac:dyDescent="0.4">
      <c r="A252" s="8" t="s">
        <v>77</v>
      </c>
      <c r="B252" s="8" t="s">
        <v>1390</v>
      </c>
      <c r="C252" s="8" t="s">
        <v>78</v>
      </c>
      <c r="D252" s="8" t="s">
        <v>1353</v>
      </c>
      <c r="E252" s="8" t="s">
        <v>55</v>
      </c>
      <c r="F252" s="8" t="s">
        <v>1584</v>
      </c>
      <c r="G252" s="8" t="s">
        <v>1768</v>
      </c>
      <c r="H252" s="8" t="s">
        <v>1874</v>
      </c>
      <c r="I252" s="22"/>
    </row>
    <row r="253" spans="1:9" ht="14.6" x14ac:dyDescent="0.4">
      <c r="A253" s="8" t="s">
        <v>77</v>
      </c>
      <c r="B253" s="8" t="s">
        <v>1028</v>
      </c>
      <c r="C253" s="8" t="s">
        <v>78</v>
      </c>
      <c r="D253" s="8" t="s">
        <v>1029</v>
      </c>
      <c r="E253" s="8" t="s">
        <v>55</v>
      </c>
      <c r="F253" s="8" t="s">
        <v>1584</v>
      </c>
      <c r="G253" s="8" t="s">
        <v>1768</v>
      </c>
      <c r="H253" s="8" t="s">
        <v>1874</v>
      </c>
      <c r="I253" s="22"/>
    </row>
    <row r="254" spans="1:9" ht="14.6" x14ac:dyDescent="0.4">
      <c r="A254" s="8" t="s">
        <v>77</v>
      </c>
      <c r="B254" s="8" t="s">
        <v>1036</v>
      </c>
      <c r="C254" s="8" t="s">
        <v>78</v>
      </c>
      <c r="D254" s="8" t="s">
        <v>1035</v>
      </c>
      <c r="E254" s="8" t="s">
        <v>55</v>
      </c>
      <c r="F254" s="8" t="s">
        <v>1584</v>
      </c>
      <c r="G254" s="8" t="s">
        <v>1768</v>
      </c>
      <c r="H254" s="8" t="s">
        <v>1874</v>
      </c>
      <c r="I254" s="22"/>
    </row>
    <row r="255" spans="1:9" ht="14.6" x14ac:dyDescent="0.4">
      <c r="A255" s="8" t="s">
        <v>77</v>
      </c>
      <c r="B255" s="8" t="s">
        <v>1093</v>
      </c>
      <c r="C255" s="8" t="s">
        <v>78</v>
      </c>
      <c r="D255" s="8" t="s">
        <v>1051</v>
      </c>
      <c r="E255" s="8" t="s">
        <v>55</v>
      </c>
      <c r="F255" s="8" t="s">
        <v>1584</v>
      </c>
      <c r="G255" s="8" t="s">
        <v>1768</v>
      </c>
      <c r="H255" s="8" t="s">
        <v>1874</v>
      </c>
      <c r="I255" s="22"/>
    </row>
    <row r="256" spans="1:9" ht="14.6" x14ac:dyDescent="0.4">
      <c r="A256" s="8" t="s">
        <v>79</v>
      </c>
      <c r="B256" s="8" t="s">
        <v>115</v>
      </c>
      <c r="C256" s="8" t="s">
        <v>80</v>
      </c>
      <c r="D256" s="8" t="s">
        <v>116</v>
      </c>
      <c r="E256" s="8" t="s">
        <v>55</v>
      </c>
      <c r="F256" s="8" t="s">
        <v>1584</v>
      </c>
      <c r="G256" s="8" t="s">
        <v>1768</v>
      </c>
      <c r="H256" s="8" t="s">
        <v>1874</v>
      </c>
      <c r="I256" s="22"/>
    </row>
    <row r="257" spans="1:9" ht="14.6" x14ac:dyDescent="0.4">
      <c r="A257" s="8" t="s">
        <v>79</v>
      </c>
      <c r="B257" s="8" t="s">
        <v>1390</v>
      </c>
      <c r="C257" s="8" t="s">
        <v>80</v>
      </c>
      <c r="D257" s="8" t="s">
        <v>1353</v>
      </c>
      <c r="E257" s="8" t="s">
        <v>55</v>
      </c>
      <c r="F257" s="8" t="s">
        <v>1584</v>
      </c>
      <c r="G257" s="8" t="s">
        <v>1768</v>
      </c>
      <c r="H257" s="8" t="s">
        <v>1874</v>
      </c>
      <c r="I257" s="22"/>
    </row>
    <row r="258" spans="1:9" ht="14.6" x14ac:dyDescent="0.4">
      <c r="A258" s="8" t="s">
        <v>79</v>
      </c>
      <c r="B258" s="8" t="s">
        <v>1028</v>
      </c>
      <c r="C258" s="8" t="s">
        <v>80</v>
      </c>
      <c r="D258" s="8" t="s">
        <v>1029</v>
      </c>
      <c r="E258" s="8" t="s">
        <v>55</v>
      </c>
      <c r="F258" s="8" t="s">
        <v>1584</v>
      </c>
      <c r="G258" s="8" t="s">
        <v>1768</v>
      </c>
      <c r="H258" s="8" t="s">
        <v>1874</v>
      </c>
      <c r="I258" s="22"/>
    </row>
    <row r="259" spans="1:9" ht="14.6" x14ac:dyDescent="0.4">
      <c r="A259" s="8" t="s">
        <v>79</v>
      </c>
      <c r="B259" s="8" t="s">
        <v>1036</v>
      </c>
      <c r="C259" s="8" t="s">
        <v>80</v>
      </c>
      <c r="D259" s="8" t="s">
        <v>1035</v>
      </c>
      <c r="E259" s="8" t="s">
        <v>55</v>
      </c>
      <c r="F259" s="8" t="s">
        <v>1584</v>
      </c>
      <c r="G259" s="8" t="s">
        <v>1768</v>
      </c>
      <c r="H259" s="8" t="s">
        <v>1874</v>
      </c>
      <c r="I259" s="22"/>
    </row>
    <row r="260" spans="1:9" ht="14.6" x14ac:dyDescent="0.4">
      <c r="A260" s="8" t="s">
        <v>79</v>
      </c>
      <c r="B260" s="8" t="s">
        <v>1093</v>
      </c>
      <c r="C260" s="8" t="s">
        <v>80</v>
      </c>
      <c r="D260" s="8" t="s">
        <v>1051</v>
      </c>
      <c r="E260" s="8" t="s">
        <v>55</v>
      </c>
      <c r="F260" s="8" t="s">
        <v>1584</v>
      </c>
      <c r="G260" s="8" t="s">
        <v>1768</v>
      </c>
      <c r="H260" s="8" t="s">
        <v>1874</v>
      </c>
      <c r="I260" s="22"/>
    </row>
    <row r="261" spans="1:9" ht="14.6" x14ac:dyDescent="0.4">
      <c r="A261" s="8" t="s">
        <v>115</v>
      </c>
      <c r="B261" s="8" t="s">
        <v>1390</v>
      </c>
      <c r="C261" s="8" t="s">
        <v>116</v>
      </c>
      <c r="D261" s="8" t="s">
        <v>1353</v>
      </c>
      <c r="E261" s="8" t="s">
        <v>55</v>
      </c>
      <c r="F261" s="8" t="s">
        <v>1584</v>
      </c>
      <c r="G261" s="8" t="s">
        <v>1768</v>
      </c>
      <c r="H261" s="8" t="s">
        <v>1874</v>
      </c>
      <c r="I261" s="22"/>
    </row>
    <row r="262" spans="1:9" ht="14.6" x14ac:dyDescent="0.4">
      <c r="A262" s="8" t="s">
        <v>115</v>
      </c>
      <c r="B262" s="8" t="s">
        <v>1028</v>
      </c>
      <c r="C262" s="8" t="s">
        <v>116</v>
      </c>
      <c r="D262" s="8" t="s">
        <v>1029</v>
      </c>
      <c r="E262" s="8" t="s">
        <v>55</v>
      </c>
      <c r="F262" s="8" t="s">
        <v>1584</v>
      </c>
      <c r="G262" s="8" t="s">
        <v>1768</v>
      </c>
      <c r="H262" s="8" t="s">
        <v>1874</v>
      </c>
      <c r="I262" s="22"/>
    </row>
    <row r="263" spans="1:9" ht="14.6" x14ac:dyDescent="0.4">
      <c r="A263" s="8" t="s">
        <v>115</v>
      </c>
      <c r="B263" s="8" t="s">
        <v>1036</v>
      </c>
      <c r="C263" s="8" t="s">
        <v>116</v>
      </c>
      <c r="D263" s="8" t="s">
        <v>1035</v>
      </c>
      <c r="E263" s="8" t="s">
        <v>55</v>
      </c>
      <c r="F263" s="8" t="s">
        <v>1584</v>
      </c>
      <c r="G263" s="8" t="s">
        <v>1768</v>
      </c>
      <c r="H263" s="8" t="s">
        <v>1874</v>
      </c>
      <c r="I263" s="22"/>
    </row>
    <row r="264" spans="1:9" ht="14.6" x14ac:dyDescent="0.4">
      <c r="A264" s="8" t="s">
        <v>115</v>
      </c>
      <c r="B264" s="8" t="s">
        <v>1093</v>
      </c>
      <c r="C264" s="8" t="s">
        <v>116</v>
      </c>
      <c r="D264" s="8" t="s">
        <v>1051</v>
      </c>
      <c r="E264" s="8" t="s">
        <v>55</v>
      </c>
      <c r="F264" s="8" t="s">
        <v>1584</v>
      </c>
      <c r="G264" s="8" t="s">
        <v>1768</v>
      </c>
      <c r="H264" s="8" t="s">
        <v>1874</v>
      </c>
      <c r="I264" s="22"/>
    </row>
    <row r="265" spans="1:9" ht="14.6" x14ac:dyDescent="0.4">
      <c r="A265" s="8" t="s">
        <v>1390</v>
      </c>
      <c r="B265" s="8" t="s">
        <v>1028</v>
      </c>
      <c r="C265" s="8" t="s">
        <v>1353</v>
      </c>
      <c r="D265" s="8" t="s">
        <v>1029</v>
      </c>
      <c r="E265" s="8" t="s">
        <v>55</v>
      </c>
      <c r="F265" s="8" t="s">
        <v>1584</v>
      </c>
      <c r="G265" s="8" t="s">
        <v>1768</v>
      </c>
      <c r="H265" s="8" t="s">
        <v>1874</v>
      </c>
      <c r="I265" s="22"/>
    </row>
    <row r="266" spans="1:9" ht="14.6" x14ac:dyDescent="0.4">
      <c r="A266" s="8" t="s">
        <v>1390</v>
      </c>
      <c r="B266" s="8" t="s">
        <v>1036</v>
      </c>
      <c r="C266" s="8" t="s">
        <v>1353</v>
      </c>
      <c r="D266" s="8" t="s">
        <v>1035</v>
      </c>
      <c r="E266" s="8" t="s">
        <v>55</v>
      </c>
      <c r="F266" s="8" t="s">
        <v>1584</v>
      </c>
      <c r="G266" s="8" t="s">
        <v>1768</v>
      </c>
      <c r="H266" s="8" t="s">
        <v>1874</v>
      </c>
      <c r="I266" s="22"/>
    </row>
    <row r="267" spans="1:9" ht="14.6" x14ac:dyDescent="0.4">
      <c r="A267" s="8" t="s">
        <v>1390</v>
      </c>
      <c r="B267" s="8" t="s">
        <v>1093</v>
      </c>
      <c r="C267" s="8" t="s">
        <v>1353</v>
      </c>
      <c r="D267" s="8" t="s">
        <v>1051</v>
      </c>
      <c r="E267" s="8" t="s">
        <v>55</v>
      </c>
      <c r="F267" s="8" t="s">
        <v>1584</v>
      </c>
      <c r="G267" s="8" t="s">
        <v>1768</v>
      </c>
      <c r="H267" s="8" t="s">
        <v>1874</v>
      </c>
      <c r="I267" s="22"/>
    </row>
    <row r="268" spans="1:9" ht="14.6" x14ac:dyDescent="0.4">
      <c r="A268" s="8" t="s">
        <v>1050</v>
      </c>
      <c r="B268" s="8" t="s">
        <v>1088</v>
      </c>
      <c r="C268" s="8" t="s">
        <v>1051</v>
      </c>
      <c r="D268" s="8" t="s">
        <v>1029</v>
      </c>
      <c r="E268" s="8" t="s">
        <v>34</v>
      </c>
      <c r="F268" s="8" t="s">
        <v>1580</v>
      </c>
      <c r="G268" s="8" t="s">
        <v>1581</v>
      </c>
      <c r="H268" s="8" t="s">
        <v>1974</v>
      </c>
      <c r="I268" s="8" t="s">
        <v>1975</v>
      </c>
    </row>
    <row r="269" spans="1:9" ht="14.6" x14ac:dyDescent="0.4">
      <c r="A269" s="8" t="s">
        <v>1050</v>
      </c>
      <c r="B269" s="8" t="s">
        <v>1116</v>
      </c>
      <c r="C269" s="8" t="s">
        <v>1051</v>
      </c>
      <c r="D269" s="8" t="s">
        <v>1080</v>
      </c>
      <c r="E269" s="8" t="s">
        <v>34</v>
      </c>
      <c r="F269" s="8" t="s">
        <v>1580</v>
      </c>
      <c r="G269" s="8" t="s">
        <v>1581</v>
      </c>
      <c r="H269" s="8" t="s">
        <v>1976</v>
      </c>
      <c r="I269" s="8" t="s">
        <v>1977</v>
      </c>
    </row>
    <row r="270" spans="1:9" ht="14.6" x14ac:dyDescent="0.4">
      <c r="A270" s="8" t="s">
        <v>1088</v>
      </c>
      <c r="B270" s="8" t="s">
        <v>1116</v>
      </c>
      <c r="C270" s="8" t="s">
        <v>1029</v>
      </c>
      <c r="D270" s="8" t="s">
        <v>1080</v>
      </c>
      <c r="E270" s="8" t="s">
        <v>34</v>
      </c>
      <c r="F270" s="8" t="s">
        <v>1580</v>
      </c>
      <c r="G270" s="8" t="s">
        <v>1581</v>
      </c>
      <c r="H270" s="8" t="s">
        <v>1978</v>
      </c>
      <c r="I270" s="8" t="s">
        <v>1979</v>
      </c>
    </row>
    <row r="271" spans="1:9" ht="14.6" x14ac:dyDescent="0.4">
      <c r="A271" s="8" t="s">
        <v>32</v>
      </c>
      <c r="B271" s="8" t="s">
        <v>41</v>
      </c>
      <c r="C271" s="8" t="s">
        <v>33</v>
      </c>
      <c r="D271" s="8" t="s">
        <v>42</v>
      </c>
      <c r="E271" s="8" t="s">
        <v>34</v>
      </c>
      <c r="F271" s="8" t="s">
        <v>1584</v>
      </c>
      <c r="G271" s="8" t="s">
        <v>1768</v>
      </c>
      <c r="H271" s="8" t="s">
        <v>1874</v>
      </c>
      <c r="I271" s="22"/>
    </row>
    <row r="272" spans="1:9" ht="14.6" x14ac:dyDescent="0.4">
      <c r="A272" s="8" t="s">
        <v>32</v>
      </c>
      <c r="B272" s="8" t="s">
        <v>50</v>
      </c>
      <c r="C272" s="8" t="s">
        <v>33</v>
      </c>
      <c r="D272" s="8" t="s">
        <v>40</v>
      </c>
      <c r="E272" s="8" t="s">
        <v>34</v>
      </c>
      <c r="F272" s="8" t="s">
        <v>1584</v>
      </c>
      <c r="G272" s="8" t="s">
        <v>1768</v>
      </c>
      <c r="H272" s="8" t="s">
        <v>1874</v>
      </c>
      <c r="I272" s="22"/>
    </row>
    <row r="273" spans="1:9" ht="14.6" x14ac:dyDescent="0.4">
      <c r="A273" s="8" t="s">
        <v>32</v>
      </c>
      <c r="B273" s="8" t="s">
        <v>106</v>
      </c>
      <c r="C273" s="8" t="s">
        <v>33</v>
      </c>
      <c r="D273" s="8" t="s">
        <v>82</v>
      </c>
      <c r="E273" s="8" t="s">
        <v>34</v>
      </c>
      <c r="F273" s="8" t="s">
        <v>1584</v>
      </c>
      <c r="G273" s="8" t="s">
        <v>1768</v>
      </c>
      <c r="H273" s="8" t="s">
        <v>1874</v>
      </c>
      <c r="I273" s="22"/>
    </row>
    <row r="274" spans="1:9" ht="14.6" x14ac:dyDescent="0.4">
      <c r="A274" s="8" t="s">
        <v>32</v>
      </c>
      <c r="B274" s="8" t="s">
        <v>1050</v>
      </c>
      <c r="C274" s="8" t="s">
        <v>33</v>
      </c>
      <c r="D274" s="8" t="s">
        <v>1051</v>
      </c>
      <c r="E274" s="8" t="s">
        <v>34</v>
      </c>
      <c r="F274" s="8" t="s">
        <v>1584</v>
      </c>
      <c r="G274" s="8" t="s">
        <v>1768</v>
      </c>
      <c r="H274" s="8" t="s">
        <v>1874</v>
      </c>
      <c r="I274" s="22"/>
    </row>
    <row r="275" spans="1:9" ht="14.6" x14ac:dyDescent="0.4">
      <c r="A275" s="8" t="s">
        <v>32</v>
      </c>
      <c r="B275" s="8" t="s">
        <v>1088</v>
      </c>
      <c r="C275" s="8" t="s">
        <v>33</v>
      </c>
      <c r="D275" s="8" t="s">
        <v>1029</v>
      </c>
      <c r="E275" s="8" t="s">
        <v>34</v>
      </c>
      <c r="F275" s="8" t="s">
        <v>1584</v>
      </c>
      <c r="G275" s="8" t="s">
        <v>1768</v>
      </c>
      <c r="H275" s="8" t="s">
        <v>1874</v>
      </c>
      <c r="I275" s="22"/>
    </row>
    <row r="276" spans="1:9" ht="14.6" x14ac:dyDescent="0.4">
      <c r="A276" s="8" t="s">
        <v>32</v>
      </c>
      <c r="B276" s="8" t="s">
        <v>1116</v>
      </c>
      <c r="C276" s="8" t="s">
        <v>33</v>
      </c>
      <c r="D276" s="8" t="s">
        <v>1080</v>
      </c>
      <c r="E276" s="8" t="s">
        <v>34</v>
      </c>
      <c r="F276" s="8" t="s">
        <v>1584</v>
      </c>
      <c r="G276" s="8" t="s">
        <v>1768</v>
      </c>
      <c r="H276" s="8" t="s">
        <v>1874</v>
      </c>
      <c r="I276" s="22"/>
    </row>
    <row r="277" spans="1:9" ht="14.6" x14ac:dyDescent="0.4">
      <c r="A277" s="8" t="s">
        <v>41</v>
      </c>
      <c r="B277" s="8" t="s">
        <v>50</v>
      </c>
      <c r="C277" s="8" t="s">
        <v>42</v>
      </c>
      <c r="D277" s="8" t="s">
        <v>40</v>
      </c>
      <c r="E277" s="8" t="s">
        <v>34</v>
      </c>
      <c r="F277" s="8" t="s">
        <v>1584</v>
      </c>
      <c r="G277" s="8" t="s">
        <v>1768</v>
      </c>
      <c r="H277" s="8" t="s">
        <v>1874</v>
      </c>
      <c r="I277" s="22"/>
    </row>
    <row r="278" spans="1:9" ht="14.6" x14ac:dyDescent="0.4">
      <c r="A278" s="8" t="s">
        <v>41</v>
      </c>
      <c r="B278" s="8" t="s">
        <v>106</v>
      </c>
      <c r="C278" s="8" t="s">
        <v>42</v>
      </c>
      <c r="D278" s="8" t="s">
        <v>82</v>
      </c>
      <c r="E278" s="8" t="s">
        <v>34</v>
      </c>
      <c r="F278" s="8" t="s">
        <v>1584</v>
      </c>
      <c r="G278" s="8" t="s">
        <v>1768</v>
      </c>
      <c r="H278" s="8" t="s">
        <v>1874</v>
      </c>
      <c r="I278" s="22"/>
    </row>
    <row r="279" spans="1:9" ht="14.6" x14ac:dyDescent="0.4">
      <c r="A279" s="8" t="s">
        <v>41</v>
      </c>
      <c r="B279" s="8" t="s">
        <v>1050</v>
      </c>
      <c r="C279" s="8" t="s">
        <v>42</v>
      </c>
      <c r="D279" s="8" t="s">
        <v>1051</v>
      </c>
      <c r="E279" s="8" t="s">
        <v>34</v>
      </c>
      <c r="F279" s="8" t="s">
        <v>1584</v>
      </c>
      <c r="G279" s="8" t="s">
        <v>1768</v>
      </c>
      <c r="H279" s="8" t="s">
        <v>1874</v>
      </c>
      <c r="I279" s="22"/>
    </row>
    <row r="280" spans="1:9" ht="14.6" x14ac:dyDescent="0.4">
      <c r="A280" s="8" t="s">
        <v>41</v>
      </c>
      <c r="B280" s="8" t="s">
        <v>1088</v>
      </c>
      <c r="C280" s="8" t="s">
        <v>42</v>
      </c>
      <c r="D280" s="8" t="s">
        <v>1029</v>
      </c>
      <c r="E280" s="8" t="s">
        <v>34</v>
      </c>
      <c r="F280" s="8" t="s">
        <v>1584</v>
      </c>
      <c r="G280" s="8" t="s">
        <v>1768</v>
      </c>
      <c r="H280" s="8" t="s">
        <v>1874</v>
      </c>
      <c r="I280" s="22"/>
    </row>
    <row r="281" spans="1:9" ht="14.6" x14ac:dyDescent="0.4">
      <c r="A281" s="8" t="s">
        <v>41</v>
      </c>
      <c r="B281" s="8" t="s">
        <v>1116</v>
      </c>
      <c r="C281" s="8" t="s">
        <v>42</v>
      </c>
      <c r="D281" s="8" t="s">
        <v>1080</v>
      </c>
      <c r="E281" s="8" t="s">
        <v>34</v>
      </c>
      <c r="F281" s="8" t="s">
        <v>1584</v>
      </c>
      <c r="G281" s="8" t="s">
        <v>1768</v>
      </c>
      <c r="H281" s="8" t="s">
        <v>1874</v>
      </c>
      <c r="I281" s="22"/>
    </row>
    <row r="282" spans="1:9" ht="14.6" x14ac:dyDescent="0.4">
      <c r="A282" s="8" t="s">
        <v>50</v>
      </c>
      <c r="B282" s="8" t="s">
        <v>106</v>
      </c>
      <c r="C282" s="8" t="s">
        <v>40</v>
      </c>
      <c r="D282" s="8" t="s">
        <v>82</v>
      </c>
      <c r="E282" s="8" t="s">
        <v>34</v>
      </c>
      <c r="F282" s="8" t="s">
        <v>1584</v>
      </c>
      <c r="G282" s="8" t="s">
        <v>1768</v>
      </c>
      <c r="H282" s="8" t="s">
        <v>1874</v>
      </c>
      <c r="I282" s="22"/>
    </row>
    <row r="283" spans="1:9" ht="14.6" x14ac:dyDescent="0.4">
      <c r="A283" s="8" t="s">
        <v>50</v>
      </c>
      <c r="B283" s="8" t="s">
        <v>1050</v>
      </c>
      <c r="C283" s="8" t="s">
        <v>40</v>
      </c>
      <c r="D283" s="8" t="s">
        <v>1051</v>
      </c>
      <c r="E283" s="8" t="s">
        <v>34</v>
      </c>
      <c r="F283" s="8" t="s">
        <v>1584</v>
      </c>
      <c r="G283" s="8" t="s">
        <v>1768</v>
      </c>
      <c r="H283" s="8" t="s">
        <v>1874</v>
      </c>
      <c r="I283" s="22"/>
    </row>
    <row r="284" spans="1:9" ht="14.6" x14ac:dyDescent="0.4">
      <c r="A284" s="8" t="s">
        <v>50</v>
      </c>
      <c r="B284" s="8" t="s">
        <v>1088</v>
      </c>
      <c r="C284" s="8" t="s">
        <v>40</v>
      </c>
      <c r="D284" s="8" t="s">
        <v>1029</v>
      </c>
      <c r="E284" s="8" t="s">
        <v>34</v>
      </c>
      <c r="F284" s="8" t="s">
        <v>1584</v>
      </c>
      <c r="G284" s="8" t="s">
        <v>1768</v>
      </c>
      <c r="H284" s="8" t="s">
        <v>1874</v>
      </c>
      <c r="I284" s="22"/>
    </row>
    <row r="285" spans="1:9" ht="14.6" x14ac:dyDescent="0.4">
      <c r="A285" s="8" t="s">
        <v>50</v>
      </c>
      <c r="B285" s="8" t="s">
        <v>1116</v>
      </c>
      <c r="C285" s="8" t="s">
        <v>40</v>
      </c>
      <c r="D285" s="8" t="s">
        <v>1080</v>
      </c>
      <c r="E285" s="8" t="s">
        <v>34</v>
      </c>
      <c r="F285" s="8" t="s">
        <v>1584</v>
      </c>
      <c r="G285" s="8" t="s">
        <v>1768</v>
      </c>
      <c r="H285" s="8" t="s">
        <v>1874</v>
      </c>
      <c r="I285" s="22"/>
    </row>
    <row r="286" spans="1:9" ht="14.6" x14ac:dyDescent="0.4">
      <c r="A286" s="8" t="s">
        <v>106</v>
      </c>
      <c r="B286" s="8" t="s">
        <v>1050</v>
      </c>
      <c r="C286" s="8" t="s">
        <v>82</v>
      </c>
      <c r="D286" s="8" t="s">
        <v>1051</v>
      </c>
      <c r="E286" s="8" t="s">
        <v>34</v>
      </c>
      <c r="F286" s="8" t="s">
        <v>1584</v>
      </c>
      <c r="G286" s="8" t="s">
        <v>1768</v>
      </c>
      <c r="H286" s="8" t="s">
        <v>1874</v>
      </c>
      <c r="I286" s="22"/>
    </row>
    <row r="287" spans="1:9" ht="14.6" x14ac:dyDescent="0.4">
      <c r="A287" s="8" t="s">
        <v>106</v>
      </c>
      <c r="B287" s="8" t="s">
        <v>1088</v>
      </c>
      <c r="C287" s="8" t="s">
        <v>82</v>
      </c>
      <c r="D287" s="8" t="s">
        <v>1029</v>
      </c>
      <c r="E287" s="8" t="s">
        <v>34</v>
      </c>
      <c r="F287" s="8" t="s">
        <v>1584</v>
      </c>
      <c r="G287" s="8" t="s">
        <v>1768</v>
      </c>
      <c r="H287" s="8" t="s">
        <v>1874</v>
      </c>
      <c r="I287" s="22"/>
    </row>
    <row r="288" spans="1:9" ht="14.6" x14ac:dyDescent="0.4">
      <c r="A288" s="8" t="s">
        <v>106</v>
      </c>
      <c r="B288" s="8" t="s">
        <v>1116</v>
      </c>
      <c r="C288" s="8" t="s">
        <v>82</v>
      </c>
      <c r="D288" s="8" t="s">
        <v>1080</v>
      </c>
      <c r="E288" s="8" t="s">
        <v>34</v>
      </c>
      <c r="F288" s="8" t="s">
        <v>1584</v>
      </c>
      <c r="G288" s="8" t="s">
        <v>1768</v>
      </c>
      <c r="H288" s="8" t="s">
        <v>1874</v>
      </c>
      <c r="I288" s="22"/>
    </row>
    <row r="289" spans="1:9" ht="14.6" x14ac:dyDescent="0.4">
      <c r="A289" s="8" t="s">
        <v>1030</v>
      </c>
      <c r="B289" s="8" t="s">
        <v>1056</v>
      </c>
      <c r="C289" s="8" t="s">
        <v>1031</v>
      </c>
      <c r="D289" s="8" t="s">
        <v>1054</v>
      </c>
      <c r="E289" s="8" t="s">
        <v>9</v>
      </c>
      <c r="F289" s="8" t="s">
        <v>1580</v>
      </c>
      <c r="G289" s="8" t="s">
        <v>1581</v>
      </c>
      <c r="H289" s="8" t="s">
        <v>1980</v>
      </c>
      <c r="I289" s="8" t="s">
        <v>1981</v>
      </c>
    </row>
    <row r="290" spans="1:9" ht="14.6" x14ac:dyDescent="0.4">
      <c r="A290" s="8" t="s">
        <v>1030</v>
      </c>
      <c r="B290" s="8" t="s">
        <v>1037</v>
      </c>
      <c r="C290" s="8" t="s">
        <v>1031</v>
      </c>
      <c r="D290" s="8" t="s">
        <v>1038</v>
      </c>
      <c r="E290" s="8" t="s">
        <v>9</v>
      </c>
      <c r="F290" s="8" t="s">
        <v>1580</v>
      </c>
      <c r="G290" s="8" t="s">
        <v>1585</v>
      </c>
      <c r="H290" s="8" t="s">
        <v>1982</v>
      </c>
      <c r="I290" s="8" t="s">
        <v>1983</v>
      </c>
    </row>
    <row r="291" spans="1:9" ht="14.6" x14ac:dyDescent="0.4">
      <c r="A291" s="8" t="s">
        <v>1030</v>
      </c>
      <c r="B291" s="8" t="s">
        <v>1042</v>
      </c>
      <c r="C291" s="8" t="s">
        <v>1031</v>
      </c>
      <c r="D291" s="8" t="s">
        <v>1038</v>
      </c>
      <c r="E291" s="8" t="s">
        <v>9</v>
      </c>
      <c r="F291" s="8" t="s">
        <v>1580</v>
      </c>
      <c r="G291" s="8" t="s">
        <v>1585</v>
      </c>
      <c r="H291" s="8" t="s">
        <v>1984</v>
      </c>
      <c r="I291" s="8" t="s">
        <v>1983</v>
      </c>
    </row>
    <row r="292" spans="1:9" ht="14.6" x14ac:dyDescent="0.4">
      <c r="A292" s="8" t="s">
        <v>1056</v>
      </c>
      <c r="B292" s="8" t="s">
        <v>1037</v>
      </c>
      <c r="C292" s="8" t="s">
        <v>1054</v>
      </c>
      <c r="D292" s="8" t="s">
        <v>1038</v>
      </c>
      <c r="E292" s="8" t="s">
        <v>9</v>
      </c>
      <c r="F292" s="8" t="s">
        <v>1580</v>
      </c>
      <c r="G292" s="8" t="s">
        <v>1585</v>
      </c>
      <c r="H292" s="8" t="s">
        <v>1985</v>
      </c>
      <c r="I292" s="8" t="s">
        <v>1986</v>
      </c>
    </row>
    <row r="293" spans="1:9" ht="14.6" x14ac:dyDescent="0.4">
      <c r="A293" s="8" t="s">
        <v>1056</v>
      </c>
      <c r="B293" s="8" t="s">
        <v>1042</v>
      </c>
      <c r="C293" s="8" t="s">
        <v>1054</v>
      </c>
      <c r="D293" s="8" t="s">
        <v>1038</v>
      </c>
      <c r="E293" s="8" t="s">
        <v>9</v>
      </c>
      <c r="F293" s="8" t="s">
        <v>1580</v>
      </c>
      <c r="G293" s="8" t="s">
        <v>1585</v>
      </c>
      <c r="H293" s="8" t="s">
        <v>1987</v>
      </c>
      <c r="I293" s="8" t="s">
        <v>1986</v>
      </c>
    </row>
    <row r="294" spans="1:9" ht="14.6" x14ac:dyDescent="0.4">
      <c r="A294" s="8" t="s">
        <v>7</v>
      </c>
      <c r="B294" s="8" t="s">
        <v>61</v>
      </c>
      <c r="C294" s="8" t="s">
        <v>8</v>
      </c>
      <c r="D294" s="8" t="s">
        <v>62</v>
      </c>
      <c r="E294" s="8" t="s">
        <v>9</v>
      </c>
      <c r="F294" s="8" t="s">
        <v>1584</v>
      </c>
      <c r="G294" s="8" t="s">
        <v>1768</v>
      </c>
      <c r="H294" s="8" t="s">
        <v>1874</v>
      </c>
      <c r="I294" s="22"/>
    </row>
    <row r="295" spans="1:9" ht="14.6" x14ac:dyDescent="0.4">
      <c r="A295" s="8" t="s">
        <v>7</v>
      </c>
      <c r="B295" s="8" t="s">
        <v>83</v>
      </c>
      <c r="C295" s="8" t="s">
        <v>8</v>
      </c>
      <c r="D295" s="8" t="s">
        <v>84</v>
      </c>
      <c r="E295" s="8" t="s">
        <v>9</v>
      </c>
      <c r="F295" s="8" t="s">
        <v>1584</v>
      </c>
      <c r="G295" s="8" t="s">
        <v>1768</v>
      </c>
      <c r="H295" s="8" t="s">
        <v>1874</v>
      </c>
      <c r="I295" s="22"/>
    </row>
    <row r="296" spans="1:9" ht="14.6" x14ac:dyDescent="0.4">
      <c r="A296" s="8" t="s">
        <v>7</v>
      </c>
      <c r="B296" s="8" t="s">
        <v>127</v>
      </c>
      <c r="C296" s="8" t="s">
        <v>8</v>
      </c>
      <c r="D296" s="8" t="s">
        <v>128</v>
      </c>
      <c r="E296" s="8" t="s">
        <v>9</v>
      </c>
      <c r="F296" s="8" t="s">
        <v>1584</v>
      </c>
      <c r="G296" s="8" t="s">
        <v>1768</v>
      </c>
      <c r="H296" s="8" t="s">
        <v>1874</v>
      </c>
      <c r="I296" s="22"/>
    </row>
    <row r="297" spans="1:9" ht="14.6" x14ac:dyDescent="0.4">
      <c r="A297" s="8" t="s">
        <v>7</v>
      </c>
      <c r="B297" s="8" t="s">
        <v>1030</v>
      </c>
      <c r="C297" s="8" t="s">
        <v>8</v>
      </c>
      <c r="D297" s="8" t="s">
        <v>1031</v>
      </c>
      <c r="E297" s="8" t="s">
        <v>9</v>
      </c>
      <c r="F297" s="8" t="s">
        <v>1584</v>
      </c>
      <c r="G297" s="8" t="s">
        <v>1768</v>
      </c>
      <c r="H297" s="8" t="s">
        <v>1874</v>
      </c>
      <c r="I297" s="22"/>
    </row>
    <row r="298" spans="1:9" ht="14.6" x14ac:dyDescent="0.4">
      <c r="A298" s="8" t="s">
        <v>7</v>
      </c>
      <c r="B298" s="8" t="s">
        <v>1037</v>
      </c>
      <c r="C298" s="8" t="s">
        <v>8</v>
      </c>
      <c r="D298" s="8" t="s">
        <v>1038</v>
      </c>
      <c r="E298" s="8" t="s">
        <v>9</v>
      </c>
      <c r="F298" s="8" t="s">
        <v>1584</v>
      </c>
      <c r="G298" s="8" t="s">
        <v>1768</v>
      </c>
      <c r="H298" s="8" t="s">
        <v>1874</v>
      </c>
      <c r="I298" s="22"/>
    </row>
    <row r="299" spans="1:9" ht="14.6" x14ac:dyDescent="0.4">
      <c r="A299" s="8" t="s">
        <v>7</v>
      </c>
      <c r="B299" s="8" t="s">
        <v>1042</v>
      </c>
      <c r="C299" s="8" t="s">
        <v>8</v>
      </c>
      <c r="D299" s="8" t="s">
        <v>1038</v>
      </c>
      <c r="E299" s="8" t="s">
        <v>9</v>
      </c>
      <c r="F299" s="8" t="s">
        <v>1584</v>
      </c>
      <c r="G299" s="8" t="s">
        <v>1768</v>
      </c>
      <c r="H299" s="8" t="s">
        <v>1874</v>
      </c>
      <c r="I299" s="22"/>
    </row>
    <row r="300" spans="1:9" ht="14.6" x14ac:dyDescent="0.4">
      <c r="A300" s="8" t="s">
        <v>7</v>
      </c>
      <c r="B300" s="8" t="s">
        <v>1056</v>
      </c>
      <c r="C300" s="8" t="s">
        <v>8</v>
      </c>
      <c r="D300" s="8" t="s">
        <v>1054</v>
      </c>
      <c r="E300" s="8" t="s">
        <v>9</v>
      </c>
      <c r="F300" s="8" t="s">
        <v>1584</v>
      </c>
      <c r="G300" s="8" t="s">
        <v>1768</v>
      </c>
      <c r="H300" s="8" t="s">
        <v>1874</v>
      </c>
      <c r="I300" s="22"/>
    </row>
    <row r="301" spans="1:9" ht="14.6" x14ac:dyDescent="0.4">
      <c r="A301" s="8" t="s">
        <v>61</v>
      </c>
      <c r="B301" s="8" t="s">
        <v>83</v>
      </c>
      <c r="C301" s="8" t="s">
        <v>62</v>
      </c>
      <c r="D301" s="8" t="s">
        <v>84</v>
      </c>
      <c r="E301" s="8" t="s">
        <v>9</v>
      </c>
      <c r="F301" s="8" t="s">
        <v>1584</v>
      </c>
      <c r="G301" s="8" t="s">
        <v>1768</v>
      </c>
      <c r="H301" s="8" t="s">
        <v>1874</v>
      </c>
      <c r="I301" s="22"/>
    </row>
    <row r="302" spans="1:9" ht="14.6" x14ac:dyDescent="0.4">
      <c r="A302" s="8" t="s">
        <v>61</v>
      </c>
      <c r="B302" s="8" t="s">
        <v>127</v>
      </c>
      <c r="C302" s="8" t="s">
        <v>62</v>
      </c>
      <c r="D302" s="8" t="s">
        <v>128</v>
      </c>
      <c r="E302" s="8" t="s">
        <v>9</v>
      </c>
      <c r="F302" s="8" t="s">
        <v>1584</v>
      </c>
      <c r="G302" s="8" t="s">
        <v>1768</v>
      </c>
      <c r="H302" s="8" t="s">
        <v>1874</v>
      </c>
      <c r="I302" s="22"/>
    </row>
    <row r="303" spans="1:9" ht="14.6" x14ac:dyDescent="0.4">
      <c r="A303" s="8" t="s">
        <v>61</v>
      </c>
      <c r="B303" s="8" t="s">
        <v>1030</v>
      </c>
      <c r="C303" s="8" t="s">
        <v>62</v>
      </c>
      <c r="D303" s="8" t="s">
        <v>1031</v>
      </c>
      <c r="E303" s="8" t="s">
        <v>9</v>
      </c>
      <c r="F303" s="8" t="s">
        <v>1584</v>
      </c>
      <c r="G303" s="8" t="s">
        <v>1768</v>
      </c>
      <c r="H303" s="8" t="s">
        <v>1874</v>
      </c>
      <c r="I303" s="22"/>
    </row>
    <row r="304" spans="1:9" ht="14.6" x14ac:dyDescent="0.4">
      <c r="A304" s="8" t="s">
        <v>61</v>
      </c>
      <c r="B304" s="8" t="s">
        <v>1037</v>
      </c>
      <c r="C304" s="8" t="s">
        <v>62</v>
      </c>
      <c r="D304" s="8" t="s">
        <v>1038</v>
      </c>
      <c r="E304" s="8" t="s">
        <v>9</v>
      </c>
      <c r="F304" s="8" t="s">
        <v>1584</v>
      </c>
      <c r="G304" s="8" t="s">
        <v>1768</v>
      </c>
      <c r="H304" s="8" t="s">
        <v>1874</v>
      </c>
      <c r="I304" s="22"/>
    </row>
    <row r="305" spans="1:9" ht="14.6" x14ac:dyDescent="0.4">
      <c r="A305" s="8" t="s">
        <v>61</v>
      </c>
      <c r="B305" s="8" t="s">
        <v>1042</v>
      </c>
      <c r="C305" s="8" t="s">
        <v>62</v>
      </c>
      <c r="D305" s="8" t="s">
        <v>1038</v>
      </c>
      <c r="E305" s="8" t="s">
        <v>9</v>
      </c>
      <c r="F305" s="8" t="s">
        <v>1584</v>
      </c>
      <c r="G305" s="8" t="s">
        <v>1768</v>
      </c>
      <c r="H305" s="8" t="s">
        <v>1874</v>
      </c>
      <c r="I305" s="22"/>
    </row>
    <row r="306" spans="1:9" ht="14.6" x14ac:dyDescent="0.4">
      <c r="A306" s="8" t="s">
        <v>61</v>
      </c>
      <c r="B306" s="8" t="s">
        <v>1056</v>
      </c>
      <c r="C306" s="8" t="s">
        <v>62</v>
      </c>
      <c r="D306" s="8" t="s">
        <v>1054</v>
      </c>
      <c r="E306" s="8" t="s">
        <v>9</v>
      </c>
      <c r="F306" s="8" t="s">
        <v>1584</v>
      </c>
      <c r="G306" s="8" t="s">
        <v>1768</v>
      </c>
      <c r="H306" s="8" t="s">
        <v>1874</v>
      </c>
      <c r="I306" s="22"/>
    </row>
    <row r="307" spans="1:9" ht="14.6" x14ac:dyDescent="0.4">
      <c r="A307" s="8" t="s">
        <v>83</v>
      </c>
      <c r="B307" s="8" t="s">
        <v>127</v>
      </c>
      <c r="C307" s="8" t="s">
        <v>84</v>
      </c>
      <c r="D307" s="8" t="s">
        <v>128</v>
      </c>
      <c r="E307" s="8" t="s">
        <v>9</v>
      </c>
      <c r="F307" s="8" t="s">
        <v>1584</v>
      </c>
      <c r="G307" s="8" t="s">
        <v>1768</v>
      </c>
      <c r="H307" s="8" t="s">
        <v>1874</v>
      </c>
      <c r="I307" s="22"/>
    </row>
    <row r="308" spans="1:9" ht="14.6" x14ac:dyDescent="0.4">
      <c r="A308" s="8" t="s">
        <v>83</v>
      </c>
      <c r="B308" s="8" t="s">
        <v>1030</v>
      </c>
      <c r="C308" s="8" t="s">
        <v>84</v>
      </c>
      <c r="D308" s="8" t="s">
        <v>1031</v>
      </c>
      <c r="E308" s="8" t="s">
        <v>9</v>
      </c>
      <c r="F308" s="8" t="s">
        <v>1584</v>
      </c>
      <c r="G308" s="8" t="s">
        <v>1768</v>
      </c>
      <c r="H308" s="8" t="s">
        <v>1874</v>
      </c>
      <c r="I308" s="22"/>
    </row>
    <row r="309" spans="1:9" ht="14.6" x14ac:dyDescent="0.4">
      <c r="A309" s="8" t="s">
        <v>83</v>
      </c>
      <c r="B309" s="8" t="s">
        <v>1037</v>
      </c>
      <c r="C309" s="8" t="s">
        <v>84</v>
      </c>
      <c r="D309" s="8" t="s">
        <v>1038</v>
      </c>
      <c r="E309" s="8" t="s">
        <v>9</v>
      </c>
      <c r="F309" s="8" t="s">
        <v>1584</v>
      </c>
      <c r="G309" s="8" t="s">
        <v>1768</v>
      </c>
      <c r="H309" s="8" t="s">
        <v>1874</v>
      </c>
      <c r="I309" s="22"/>
    </row>
    <row r="310" spans="1:9" ht="14.6" x14ac:dyDescent="0.4">
      <c r="A310" s="8" t="s">
        <v>83</v>
      </c>
      <c r="B310" s="8" t="s">
        <v>1042</v>
      </c>
      <c r="C310" s="8" t="s">
        <v>84</v>
      </c>
      <c r="D310" s="8" t="s">
        <v>1038</v>
      </c>
      <c r="E310" s="8" t="s">
        <v>9</v>
      </c>
      <c r="F310" s="8" t="s">
        <v>1584</v>
      </c>
      <c r="G310" s="8" t="s">
        <v>1768</v>
      </c>
      <c r="H310" s="8" t="s">
        <v>1874</v>
      </c>
      <c r="I310" s="22"/>
    </row>
    <row r="311" spans="1:9" ht="14.6" x14ac:dyDescent="0.4">
      <c r="A311" s="8" t="s">
        <v>83</v>
      </c>
      <c r="B311" s="8" t="s">
        <v>1056</v>
      </c>
      <c r="C311" s="8" t="s">
        <v>84</v>
      </c>
      <c r="D311" s="8" t="s">
        <v>1054</v>
      </c>
      <c r="E311" s="8" t="s">
        <v>9</v>
      </c>
      <c r="F311" s="8" t="s">
        <v>1584</v>
      </c>
      <c r="G311" s="8" t="s">
        <v>1768</v>
      </c>
      <c r="H311" s="8" t="s">
        <v>1874</v>
      </c>
      <c r="I311" s="22"/>
    </row>
    <row r="312" spans="1:9" ht="14.6" x14ac:dyDescent="0.4">
      <c r="A312" s="8" t="s">
        <v>127</v>
      </c>
      <c r="B312" s="8" t="s">
        <v>1030</v>
      </c>
      <c r="C312" s="8" t="s">
        <v>128</v>
      </c>
      <c r="D312" s="8" t="s">
        <v>1031</v>
      </c>
      <c r="E312" s="8" t="s">
        <v>9</v>
      </c>
      <c r="F312" s="8" t="s">
        <v>1584</v>
      </c>
      <c r="G312" s="8" t="s">
        <v>1768</v>
      </c>
      <c r="H312" s="8" t="s">
        <v>1874</v>
      </c>
      <c r="I312" s="22"/>
    </row>
    <row r="313" spans="1:9" ht="14.6" x14ac:dyDescent="0.4">
      <c r="A313" s="8" t="s">
        <v>127</v>
      </c>
      <c r="B313" s="8" t="s">
        <v>1037</v>
      </c>
      <c r="C313" s="8" t="s">
        <v>128</v>
      </c>
      <c r="D313" s="8" t="s">
        <v>1038</v>
      </c>
      <c r="E313" s="8" t="s">
        <v>9</v>
      </c>
      <c r="F313" s="8" t="s">
        <v>1584</v>
      </c>
      <c r="G313" s="8" t="s">
        <v>1768</v>
      </c>
      <c r="H313" s="8" t="s">
        <v>1874</v>
      </c>
      <c r="I313" s="22"/>
    </row>
    <row r="314" spans="1:9" ht="14.6" x14ac:dyDescent="0.4">
      <c r="A314" s="8" t="s">
        <v>127</v>
      </c>
      <c r="B314" s="8" t="s">
        <v>1042</v>
      </c>
      <c r="C314" s="8" t="s">
        <v>128</v>
      </c>
      <c r="D314" s="8" t="s">
        <v>1038</v>
      </c>
      <c r="E314" s="8" t="s">
        <v>9</v>
      </c>
      <c r="F314" s="8" t="s">
        <v>1584</v>
      </c>
      <c r="G314" s="8" t="s">
        <v>1768</v>
      </c>
      <c r="H314" s="8" t="s">
        <v>1874</v>
      </c>
      <c r="I314" s="22"/>
    </row>
    <row r="315" spans="1:9" ht="14.6" x14ac:dyDescent="0.4">
      <c r="A315" s="8" t="s">
        <v>127</v>
      </c>
      <c r="B315" s="8" t="s">
        <v>1056</v>
      </c>
      <c r="C315" s="8" t="s">
        <v>128</v>
      </c>
      <c r="D315" s="8" t="s">
        <v>1054</v>
      </c>
      <c r="E315" s="8" t="s">
        <v>9</v>
      </c>
      <c r="F315" s="8" t="s">
        <v>1584</v>
      </c>
      <c r="G315" s="8" t="s">
        <v>1768</v>
      </c>
      <c r="H315" s="8" t="s">
        <v>1874</v>
      </c>
      <c r="I315" s="22"/>
    </row>
    <row r="316" spans="1:9" ht="14.6" x14ac:dyDescent="0.4">
      <c r="A316" s="8" t="s">
        <v>1037</v>
      </c>
      <c r="B316" s="8" t="s">
        <v>1042</v>
      </c>
      <c r="C316" s="8" t="s">
        <v>1038</v>
      </c>
      <c r="D316" s="8" t="s">
        <v>1038</v>
      </c>
      <c r="E316" s="8" t="s">
        <v>9</v>
      </c>
      <c r="F316" s="8" t="s">
        <v>1584</v>
      </c>
      <c r="G316" s="8" t="s">
        <v>1768</v>
      </c>
      <c r="H316" s="8" t="s">
        <v>1874</v>
      </c>
      <c r="I316" s="22"/>
    </row>
    <row r="317" spans="1:9" ht="14.6" x14ac:dyDescent="0.4">
      <c r="A317" s="8" t="s">
        <v>1103</v>
      </c>
      <c r="B317" s="8" t="s">
        <v>1111</v>
      </c>
      <c r="C317" s="8" t="s">
        <v>1080</v>
      </c>
      <c r="D317" s="8" t="s">
        <v>1029</v>
      </c>
      <c r="E317" s="8" t="s">
        <v>58</v>
      </c>
      <c r="F317" s="8" t="s">
        <v>1580</v>
      </c>
      <c r="G317" s="8" t="s">
        <v>1581</v>
      </c>
      <c r="H317" s="8" t="s">
        <v>1988</v>
      </c>
      <c r="I317" s="8" t="s">
        <v>1989</v>
      </c>
    </row>
    <row r="318" spans="1:9" ht="14.6" x14ac:dyDescent="0.4">
      <c r="A318" s="8" t="s">
        <v>1213</v>
      </c>
      <c r="B318" s="8" t="s">
        <v>1247</v>
      </c>
      <c r="C318" s="8" t="s">
        <v>1156</v>
      </c>
      <c r="D318" s="8" t="s">
        <v>1145</v>
      </c>
      <c r="E318" s="8" t="s">
        <v>58</v>
      </c>
      <c r="F318" s="8" t="s">
        <v>1580</v>
      </c>
      <c r="G318" s="8" t="s">
        <v>1585</v>
      </c>
      <c r="H318" s="8" t="s">
        <v>1990</v>
      </c>
      <c r="I318" s="8" t="s">
        <v>1991</v>
      </c>
    </row>
    <row r="319" spans="1:9" ht="14.6" x14ac:dyDescent="0.4">
      <c r="A319" s="8" t="s">
        <v>56</v>
      </c>
      <c r="B319" s="8" t="s">
        <v>111</v>
      </c>
      <c r="C319" s="8" t="s">
        <v>57</v>
      </c>
      <c r="D319" s="8" t="s">
        <v>112</v>
      </c>
      <c r="E319" s="8" t="s">
        <v>58</v>
      </c>
      <c r="F319" s="8" t="s">
        <v>1584</v>
      </c>
      <c r="G319" s="8" t="s">
        <v>1768</v>
      </c>
      <c r="H319" s="8" t="s">
        <v>1874</v>
      </c>
      <c r="I319" s="22"/>
    </row>
    <row r="320" spans="1:9" ht="14.6" x14ac:dyDescent="0.4">
      <c r="A320" s="8" t="s">
        <v>56</v>
      </c>
      <c r="B320" s="8" t="s">
        <v>159</v>
      </c>
      <c r="C320" s="8" t="s">
        <v>57</v>
      </c>
      <c r="D320" s="8" t="s">
        <v>160</v>
      </c>
      <c r="E320" s="8" t="s">
        <v>58</v>
      </c>
      <c r="F320" s="8" t="s">
        <v>1584</v>
      </c>
      <c r="G320" s="8" t="s">
        <v>1768</v>
      </c>
      <c r="H320" s="8" t="s">
        <v>1874</v>
      </c>
      <c r="I320" s="22"/>
    </row>
    <row r="321" spans="1:9" ht="14.6" x14ac:dyDescent="0.4">
      <c r="A321" s="8" t="s">
        <v>56</v>
      </c>
      <c r="B321" s="8" t="s">
        <v>199</v>
      </c>
      <c r="C321" s="8" t="s">
        <v>57</v>
      </c>
      <c r="D321" s="8" t="s">
        <v>200</v>
      </c>
      <c r="E321" s="8" t="s">
        <v>58</v>
      </c>
      <c r="F321" s="8" t="s">
        <v>1584</v>
      </c>
      <c r="G321" s="8" t="s">
        <v>1768</v>
      </c>
      <c r="H321" s="8" t="s">
        <v>1874</v>
      </c>
      <c r="I321" s="22"/>
    </row>
    <row r="322" spans="1:9" ht="14.6" x14ac:dyDescent="0.4">
      <c r="A322" s="8" t="s">
        <v>56</v>
      </c>
      <c r="B322" s="8" t="s">
        <v>1103</v>
      </c>
      <c r="C322" s="8" t="s">
        <v>57</v>
      </c>
      <c r="D322" s="8" t="s">
        <v>1080</v>
      </c>
      <c r="E322" s="8" t="s">
        <v>58</v>
      </c>
      <c r="F322" s="8" t="s">
        <v>1584</v>
      </c>
      <c r="G322" s="8" t="s">
        <v>1768</v>
      </c>
      <c r="H322" s="8" t="s">
        <v>1874</v>
      </c>
      <c r="I322" s="22"/>
    </row>
    <row r="323" spans="1:9" ht="14.6" x14ac:dyDescent="0.4">
      <c r="A323" s="8" t="s">
        <v>56</v>
      </c>
      <c r="B323" s="8" t="s">
        <v>1111</v>
      </c>
      <c r="C323" s="8" t="s">
        <v>57</v>
      </c>
      <c r="D323" s="8" t="s">
        <v>1029</v>
      </c>
      <c r="E323" s="8" t="s">
        <v>58</v>
      </c>
      <c r="F323" s="8" t="s">
        <v>1584</v>
      </c>
      <c r="G323" s="8" t="s">
        <v>1768</v>
      </c>
      <c r="H323" s="8" t="s">
        <v>1874</v>
      </c>
      <c r="I323" s="22"/>
    </row>
    <row r="324" spans="1:9" ht="14.6" x14ac:dyDescent="0.4">
      <c r="A324" s="8" t="s">
        <v>56</v>
      </c>
      <c r="B324" s="8" t="s">
        <v>1213</v>
      </c>
      <c r="C324" s="8" t="s">
        <v>57</v>
      </c>
      <c r="D324" s="8" t="s">
        <v>1156</v>
      </c>
      <c r="E324" s="8" t="s">
        <v>58</v>
      </c>
      <c r="F324" s="8" t="s">
        <v>1584</v>
      </c>
      <c r="G324" s="8" t="s">
        <v>1768</v>
      </c>
      <c r="H324" s="8" t="s">
        <v>1874</v>
      </c>
      <c r="I324" s="22"/>
    </row>
    <row r="325" spans="1:9" ht="14.6" x14ac:dyDescent="0.4">
      <c r="A325" s="8" t="s">
        <v>56</v>
      </c>
      <c r="B325" s="8" t="s">
        <v>1247</v>
      </c>
      <c r="C325" s="8" t="s">
        <v>57</v>
      </c>
      <c r="D325" s="8" t="s">
        <v>1145</v>
      </c>
      <c r="E325" s="8" t="s">
        <v>58</v>
      </c>
      <c r="F325" s="8" t="s">
        <v>1584</v>
      </c>
      <c r="G325" s="8" t="s">
        <v>1768</v>
      </c>
      <c r="H325" s="8" t="s">
        <v>1874</v>
      </c>
      <c r="I325" s="22"/>
    </row>
    <row r="326" spans="1:9" ht="14.6" x14ac:dyDescent="0.4">
      <c r="A326" s="8" t="s">
        <v>111</v>
      </c>
      <c r="B326" s="8" t="s">
        <v>159</v>
      </c>
      <c r="C326" s="8" t="s">
        <v>112</v>
      </c>
      <c r="D326" s="8" t="s">
        <v>160</v>
      </c>
      <c r="E326" s="8" t="s">
        <v>58</v>
      </c>
      <c r="F326" s="8" t="s">
        <v>1584</v>
      </c>
      <c r="G326" s="8" t="s">
        <v>1768</v>
      </c>
      <c r="H326" s="8" t="s">
        <v>1874</v>
      </c>
      <c r="I326" s="22"/>
    </row>
    <row r="327" spans="1:9" ht="14.6" x14ac:dyDescent="0.4">
      <c r="A327" s="8" t="s">
        <v>111</v>
      </c>
      <c r="B327" s="8" t="s">
        <v>199</v>
      </c>
      <c r="C327" s="8" t="s">
        <v>112</v>
      </c>
      <c r="D327" s="8" t="s">
        <v>200</v>
      </c>
      <c r="E327" s="8" t="s">
        <v>58</v>
      </c>
      <c r="F327" s="8" t="s">
        <v>1584</v>
      </c>
      <c r="G327" s="8" t="s">
        <v>1768</v>
      </c>
      <c r="H327" s="8" t="s">
        <v>1874</v>
      </c>
      <c r="I327" s="22"/>
    </row>
    <row r="328" spans="1:9" ht="14.6" x14ac:dyDescent="0.4">
      <c r="A328" s="8" t="s">
        <v>111</v>
      </c>
      <c r="B328" s="8" t="s">
        <v>1103</v>
      </c>
      <c r="C328" s="8" t="s">
        <v>112</v>
      </c>
      <c r="D328" s="8" t="s">
        <v>1080</v>
      </c>
      <c r="E328" s="8" t="s">
        <v>58</v>
      </c>
      <c r="F328" s="8" t="s">
        <v>1584</v>
      </c>
      <c r="G328" s="8" t="s">
        <v>1768</v>
      </c>
      <c r="H328" s="8" t="s">
        <v>1874</v>
      </c>
      <c r="I328" s="22"/>
    </row>
    <row r="329" spans="1:9" ht="14.6" x14ac:dyDescent="0.4">
      <c r="A329" s="8" t="s">
        <v>111</v>
      </c>
      <c r="B329" s="8" t="s">
        <v>1111</v>
      </c>
      <c r="C329" s="8" t="s">
        <v>112</v>
      </c>
      <c r="D329" s="8" t="s">
        <v>1029</v>
      </c>
      <c r="E329" s="8" t="s">
        <v>58</v>
      </c>
      <c r="F329" s="8" t="s">
        <v>1584</v>
      </c>
      <c r="G329" s="8" t="s">
        <v>1768</v>
      </c>
      <c r="H329" s="8" t="s">
        <v>1874</v>
      </c>
      <c r="I329" s="22"/>
    </row>
    <row r="330" spans="1:9" ht="14.6" x14ac:dyDescent="0.4">
      <c r="A330" s="8" t="s">
        <v>111</v>
      </c>
      <c r="B330" s="8" t="s">
        <v>1213</v>
      </c>
      <c r="C330" s="8" t="s">
        <v>112</v>
      </c>
      <c r="D330" s="8" t="s">
        <v>1156</v>
      </c>
      <c r="E330" s="8" t="s">
        <v>58</v>
      </c>
      <c r="F330" s="8" t="s">
        <v>1584</v>
      </c>
      <c r="G330" s="8" t="s">
        <v>1768</v>
      </c>
      <c r="H330" s="8" t="s">
        <v>1874</v>
      </c>
      <c r="I330" s="22"/>
    </row>
    <row r="331" spans="1:9" ht="14.6" x14ac:dyDescent="0.4">
      <c r="A331" s="8" t="s">
        <v>111</v>
      </c>
      <c r="B331" s="8" t="s">
        <v>1247</v>
      </c>
      <c r="C331" s="8" t="s">
        <v>112</v>
      </c>
      <c r="D331" s="8" t="s">
        <v>1145</v>
      </c>
      <c r="E331" s="8" t="s">
        <v>58</v>
      </c>
      <c r="F331" s="8" t="s">
        <v>1584</v>
      </c>
      <c r="G331" s="8" t="s">
        <v>1768</v>
      </c>
      <c r="H331" s="8" t="s">
        <v>1874</v>
      </c>
      <c r="I331" s="22"/>
    </row>
    <row r="332" spans="1:9" ht="14.6" x14ac:dyDescent="0.4">
      <c r="A332" s="8" t="s">
        <v>159</v>
      </c>
      <c r="B332" s="8" t="s">
        <v>199</v>
      </c>
      <c r="C332" s="8" t="s">
        <v>160</v>
      </c>
      <c r="D332" s="8" t="s">
        <v>200</v>
      </c>
      <c r="E332" s="8" t="s">
        <v>58</v>
      </c>
      <c r="F332" s="8" t="s">
        <v>1584</v>
      </c>
      <c r="G332" s="8" t="s">
        <v>1768</v>
      </c>
      <c r="H332" s="8" t="s">
        <v>1874</v>
      </c>
      <c r="I332" s="22"/>
    </row>
    <row r="333" spans="1:9" ht="14.6" x14ac:dyDescent="0.4">
      <c r="A333" s="8" t="s">
        <v>159</v>
      </c>
      <c r="B333" s="8" t="s">
        <v>1103</v>
      </c>
      <c r="C333" s="8" t="s">
        <v>160</v>
      </c>
      <c r="D333" s="8" t="s">
        <v>1080</v>
      </c>
      <c r="E333" s="8" t="s">
        <v>58</v>
      </c>
      <c r="F333" s="8" t="s">
        <v>1584</v>
      </c>
      <c r="G333" s="8" t="s">
        <v>1768</v>
      </c>
      <c r="H333" s="8" t="s">
        <v>1874</v>
      </c>
      <c r="I333" s="22"/>
    </row>
    <row r="334" spans="1:9" ht="14.6" x14ac:dyDescent="0.4">
      <c r="A334" s="8" t="s">
        <v>159</v>
      </c>
      <c r="B334" s="8" t="s">
        <v>1111</v>
      </c>
      <c r="C334" s="8" t="s">
        <v>160</v>
      </c>
      <c r="D334" s="8" t="s">
        <v>1029</v>
      </c>
      <c r="E334" s="8" t="s">
        <v>58</v>
      </c>
      <c r="F334" s="8" t="s">
        <v>1584</v>
      </c>
      <c r="G334" s="8" t="s">
        <v>1768</v>
      </c>
      <c r="H334" s="8" t="s">
        <v>1874</v>
      </c>
      <c r="I334" s="22"/>
    </row>
    <row r="335" spans="1:9" ht="14.6" x14ac:dyDescent="0.4">
      <c r="A335" s="8" t="s">
        <v>159</v>
      </c>
      <c r="B335" s="8" t="s">
        <v>1213</v>
      </c>
      <c r="C335" s="8" t="s">
        <v>160</v>
      </c>
      <c r="D335" s="8" t="s">
        <v>1156</v>
      </c>
      <c r="E335" s="8" t="s">
        <v>58</v>
      </c>
      <c r="F335" s="8" t="s">
        <v>1584</v>
      </c>
      <c r="G335" s="8" t="s">
        <v>1768</v>
      </c>
      <c r="H335" s="8" t="s">
        <v>1874</v>
      </c>
      <c r="I335" s="22"/>
    </row>
    <row r="336" spans="1:9" ht="14.6" x14ac:dyDescent="0.4">
      <c r="A336" s="8" t="s">
        <v>159</v>
      </c>
      <c r="B336" s="8" t="s">
        <v>1247</v>
      </c>
      <c r="C336" s="8" t="s">
        <v>160</v>
      </c>
      <c r="D336" s="8" t="s">
        <v>1145</v>
      </c>
      <c r="E336" s="8" t="s">
        <v>58</v>
      </c>
      <c r="F336" s="8" t="s">
        <v>1584</v>
      </c>
      <c r="G336" s="8" t="s">
        <v>1768</v>
      </c>
      <c r="H336" s="8" t="s">
        <v>1874</v>
      </c>
      <c r="I336" s="22"/>
    </row>
    <row r="337" spans="1:9" ht="14.6" x14ac:dyDescent="0.4">
      <c r="A337" s="8" t="s">
        <v>199</v>
      </c>
      <c r="B337" s="8" t="s">
        <v>1103</v>
      </c>
      <c r="C337" s="8" t="s">
        <v>200</v>
      </c>
      <c r="D337" s="8" t="s">
        <v>1080</v>
      </c>
      <c r="E337" s="8" t="s">
        <v>58</v>
      </c>
      <c r="F337" s="8" t="s">
        <v>1584</v>
      </c>
      <c r="G337" s="8" t="s">
        <v>1768</v>
      </c>
      <c r="H337" s="8" t="s">
        <v>1874</v>
      </c>
      <c r="I337" s="22"/>
    </row>
    <row r="338" spans="1:9" ht="14.6" x14ac:dyDescent="0.4">
      <c r="A338" s="8" t="s">
        <v>199</v>
      </c>
      <c r="B338" s="8" t="s">
        <v>1111</v>
      </c>
      <c r="C338" s="8" t="s">
        <v>200</v>
      </c>
      <c r="D338" s="8" t="s">
        <v>1029</v>
      </c>
      <c r="E338" s="8" t="s">
        <v>58</v>
      </c>
      <c r="F338" s="8" t="s">
        <v>1584</v>
      </c>
      <c r="G338" s="8" t="s">
        <v>1768</v>
      </c>
      <c r="H338" s="8" t="s">
        <v>1874</v>
      </c>
      <c r="I338" s="22"/>
    </row>
    <row r="339" spans="1:9" ht="14.6" x14ac:dyDescent="0.4">
      <c r="A339" s="8" t="s">
        <v>199</v>
      </c>
      <c r="B339" s="8" t="s">
        <v>1213</v>
      </c>
      <c r="C339" s="8" t="s">
        <v>200</v>
      </c>
      <c r="D339" s="8" t="s">
        <v>1156</v>
      </c>
      <c r="E339" s="8" t="s">
        <v>58</v>
      </c>
      <c r="F339" s="8" t="s">
        <v>1584</v>
      </c>
      <c r="G339" s="8" t="s">
        <v>1768</v>
      </c>
      <c r="H339" s="8" t="s">
        <v>1874</v>
      </c>
      <c r="I339" s="22"/>
    </row>
    <row r="340" spans="1:9" ht="14.6" x14ac:dyDescent="0.4">
      <c r="A340" s="8" t="s">
        <v>199</v>
      </c>
      <c r="B340" s="8" t="s">
        <v>1247</v>
      </c>
      <c r="C340" s="8" t="s">
        <v>200</v>
      </c>
      <c r="D340" s="8" t="s">
        <v>1145</v>
      </c>
      <c r="E340" s="8" t="s">
        <v>58</v>
      </c>
      <c r="F340" s="8" t="s">
        <v>1584</v>
      </c>
      <c r="G340" s="8" t="s">
        <v>1768</v>
      </c>
      <c r="H340" s="8" t="s">
        <v>1874</v>
      </c>
      <c r="I340" s="22"/>
    </row>
    <row r="341" spans="1:9" ht="14.6" x14ac:dyDescent="0.4">
      <c r="A341" s="8" t="s">
        <v>1103</v>
      </c>
      <c r="B341" s="8" t="s">
        <v>1213</v>
      </c>
      <c r="C341" s="8" t="s">
        <v>1080</v>
      </c>
      <c r="D341" s="8" t="s">
        <v>1156</v>
      </c>
      <c r="E341" s="8" t="s">
        <v>58</v>
      </c>
      <c r="F341" s="8" t="s">
        <v>1584</v>
      </c>
      <c r="G341" s="8" t="s">
        <v>1768</v>
      </c>
      <c r="H341" s="8" t="s">
        <v>1874</v>
      </c>
      <c r="I341" s="22"/>
    </row>
    <row r="342" spans="1:9" ht="14.6" x14ac:dyDescent="0.4">
      <c r="A342" s="8" t="s">
        <v>1103</v>
      </c>
      <c r="B342" s="8" t="s">
        <v>1247</v>
      </c>
      <c r="C342" s="8" t="s">
        <v>1080</v>
      </c>
      <c r="D342" s="8" t="s">
        <v>1145</v>
      </c>
      <c r="E342" s="8" t="s">
        <v>58</v>
      </c>
      <c r="F342" s="8" t="s">
        <v>1584</v>
      </c>
      <c r="G342" s="8" t="s">
        <v>1768</v>
      </c>
      <c r="H342" s="8" t="s">
        <v>1874</v>
      </c>
      <c r="I342" s="22"/>
    </row>
    <row r="343" spans="1:9" ht="14.6" x14ac:dyDescent="0.4">
      <c r="A343" s="8" t="s">
        <v>1111</v>
      </c>
      <c r="B343" s="8" t="s">
        <v>1213</v>
      </c>
      <c r="C343" s="8" t="s">
        <v>1029</v>
      </c>
      <c r="D343" s="8" t="s">
        <v>1156</v>
      </c>
      <c r="E343" s="8" t="s">
        <v>58</v>
      </c>
      <c r="F343" s="8" t="s">
        <v>1584</v>
      </c>
      <c r="G343" s="8" t="s">
        <v>1768</v>
      </c>
      <c r="H343" s="8" t="s">
        <v>1874</v>
      </c>
      <c r="I343" s="22"/>
    </row>
    <row r="344" spans="1:9" ht="14.6" x14ac:dyDescent="0.4">
      <c r="A344" s="8" t="s">
        <v>1111</v>
      </c>
      <c r="B344" s="8" t="s">
        <v>1247</v>
      </c>
      <c r="C344" s="8" t="s">
        <v>1029</v>
      </c>
      <c r="D344" s="8" t="s">
        <v>1145</v>
      </c>
      <c r="E344" s="8" t="s">
        <v>58</v>
      </c>
      <c r="F344" s="8" t="s">
        <v>1584</v>
      </c>
      <c r="G344" s="8" t="s">
        <v>1768</v>
      </c>
      <c r="H344" s="8" t="s">
        <v>1874</v>
      </c>
      <c r="I344" s="22"/>
    </row>
    <row r="345" spans="1:9" ht="14.6" x14ac:dyDescent="0.4">
      <c r="A345" s="8" t="s">
        <v>1352</v>
      </c>
      <c r="B345" s="8" t="s">
        <v>1424</v>
      </c>
      <c r="C345" s="8" t="s">
        <v>1353</v>
      </c>
      <c r="D345" s="8" t="s">
        <v>1359</v>
      </c>
      <c r="E345" s="8" t="s">
        <v>12</v>
      </c>
      <c r="F345" s="8" t="s">
        <v>1580</v>
      </c>
      <c r="G345" s="8" t="s">
        <v>1581</v>
      </c>
      <c r="H345" s="8" t="s">
        <v>1992</v>
      </c>
      <c r="I345" s="8" t="s">
        <v>1993</v>
      </c>
    </row>
    <row r="346" spans="1:9" ht="14.6" x14ac:dyDescent="0.4">
      <c r="A346" s="8" t="s">
        <v>1034</v>
      </c>
      <c r="B346" s="8" t="s">
        <v>1079</v>
      </c>
      <c r="C346" s="8" t="s">
        <v>1035</v>
      </c>
      <c r="D346" s="8" t="s">
        <v>1080</v>
      </c>
      <c r="E346" s="8" t="s">
        <v>12</v>
      </c>
      <c r="F346" s="8" t="s">
        <v>1580</v>
      </c>
      <c r="G346" s="8" t="s">
        <v>1581</v>
      </c>
      <c r="H346" s="8" t="s">
        <v>1994</v>
      </c>
      <c r="I346" s="8" t="s">
        <v>1995</v>
      </c>
    </row>
    <row r="347" spans="1:9" ht="14.6" x14ac:dyDescent="0.4">
      <c r="A347" s="8" t="s">
        <v>10</v>
      </c>
      <c r="B347" s="8" t="s">
        <v>30</v>
      </c>
      <c r="C347" s="8" t="s">
        <v>11</v>
      </c>
      <c r="D347" s="8" t="s">
        <v>31</v>
      </c>
      <c r="E347" s="8" t="s">
        <v>12</v>
      </c>
      <c r="F347" s="8" t="s">
        <v>1584</v>
      </c>
      <c r="G347" s="8" t="s">
        <v>1768</v>
      </c>
      <c r="H347" s="8" t="s">
        <v>1874</v>
      </c>
      <c r="I347" s="22"/>
    </row>
    <row r="348" spans="1:9" ht="14.6" x14ac:dyDescent="0.4">
      <c r="A348" s="8" t="s">
        <v>10</v>
      </c>
      <c r="B348" s="8" t="s">
        <v>37</v>
      </c>
      <c r="C348" s="8" t="s">
        <v>11</v>
      </c>
      <c r="D348" s="8" t="s">
        <v>38</v>
      </c>
      <c r="E348" s="8" t="s">
        <v>12</v>
      </c>
      <c r="F348" s="8" t="s">
        <v>1584</v>
      </c>
      <c r="G348" s="8" t="s">
        <v>1768</v>
      </c>
      <c r="H348" s="8" t="s">
        <v>1874</v>
      </c>
      <c r="I348" s="22"/>
    </row>
    <row r="349" spans="1:9" ht="14.6" x14ac:dyDescent="0.4">
      <c r="A349" s="8" t="s">
        <v>10</v>
      </c>
      <c r="B349" s="8" t="s">
        <v>59</v>
      </c>
      <c r="C349" s="8" t="s">
        <v>11</v>
      </c>
      <c r="D349" s="8" t="s">
        <v>60</v>
      </c>
      <c r="E349" s="8" t="s">
        <v>12</v>
      </c>
      <c r="F349" s="8" t="s">
        <v>1584</v>
      </c>
      <c r="G349" s="8" t="s">
        <v>1768</v>
      </c>
      <c r="H349" s="8" t="s">
        <v>1874</v>
      </c>
      <c r="I349" s="22"/>
    </row>
    <row r="350" spans="1:9" ht="14.6" x14ac:dyDescent="0.4">
      <c r="A350" s="8" t="s">
        <v>10</v>
      </c>
      <c r="B350" s="8" t="s">
        <v>1352</v>
      </c>
      <c r="C350" s="8" t="s">
        <v>11</v>
      </c>
      <c r="D350" s="8" t="s">
        <v>1353</v>
      </c>
      <c r="E350" s="8" t="s">
        <v>12</v>
      </c>
      <c r="F350" s="8" t="s">
        <v>1584</v>
      </c>
      <c r="G350" s="8" t="s">
        <v>1768</v>
      </c>
      <c r="H350" s="8" t="s">
        <v>1874</v>
      </c>
      <c r="I350" s="22"/>
    </row>
    <row r="351" spans="1:9" ht="14.6" x14ac:dyDescent="0.4">
      <c r="A351" s="8" t="s">
        <v>10</v>
      </c>
      <c r="B351" s="8" t="s">
        <v>1424</v>
      </c>
      <c r="C351" s="8" t="s">
        <v>11</v>
      </c>
      <c r="D351" s="8" t="s">
        <v>1359</v>
      </c>
      <c r="E351" s="8" t="s">
        <v>12</v>
      </c>
      <c r="F351" s="8" t="s">
        <v>1584</v>
      </c>
      <c r="G351" s="8" t="s">
        <v>1768</v>
      </c>
      <c r="H351" s="8" t="s">
        <v>1874</v>
      </c>
      <c r="I351" s="22"/>
    </row>
    <row r="352" spans="1:9" ht="14.6" x14ac:dyDescent="0.4">
      <c r="A352" s="8" t="s">
        <v>10</v>
      </c>
      <c r="B352" s="8" t="s">
        <v>1034</v>
      </c>
      <c r="C352" s="8" t="s">
        <v>11</v>
      </c>
      <c r="D352" s="8" t="s">
        <v>1035</v>
      </c>
      <c r="E352" s="8" t="s">
        <v>12</v>
      </c>
      <c r="F352" s="8" t="s">
        <v>1584</v>
      </c>
      <c r="G352" s="8" t="s">
        <v>1768</v>
      </c>
      <c r="H352" s="8" t="s">
        <v>1874</v>
      </c>
      <c r="I352" s="22"/>
    </row>
    <row r="353" spans="1:9" ht="14.6" x14ac:dyDescent="0.4">
      <c r="A353" s="8" t="s">
        <v>10</v>
      </c>
      <c r="B353" s="8" t="s">
        <v>1079</v>
      </c>
      <c r="C353" s="8" t="s">
        <v>11</v>
      </c>
      <c r="D353" s="8" t="s">
        <v>1080</v>
      </c>
      <c r="E353" s="8" t="s">
        <v>12</v>
      </c>
      <c r="F353" s="8" t="s">
        <v>1584</v>
      </c>
      <c r="G353" s="8" t="s">
        <v>1768</v>
      </c>
      <c r="H353" s="8" t="s">
        <v>1874</v>
      </c>
      <c r="I353" s="22"/>
    </row>
    <row r="354" spans="1:9" ht="14.6" x14ac:dyDescent="0.4">
      <c r="A354" s="8" t="s">
        <v>30</v>
      </c>
      <c r="B354" s="8" t="s">
        <v>37</v>
      </c>
      <c r="C354" s="8" t="s">
        <v>31</v>
      </c>
      <c r="D354" s="8" t="s">
        <v>38</v>
      </c>
      <c r="E354" s="8" t="s">
        <v>12</v>
      </c>
      <c r="F354" s="8" t="s">
        <v>1584</v>
      </c>
      <c r="G354" s="8" t="s">
        <v>1768</v>
      </c>
      <c r="H354" s="8" t="s">
        <v>1874</v>
      </c>
      <c r="I354" s="22"/>
    </row>
    <row r="355" spans="1:9" ht="14.6" x14ac:dyDescent="0.4">
      <c r="A355" s="8" t="s">
        <v>30</v>
      </c>
      <c r="B355" s="8" t="s">
        <v>59</v>
      </c>
      <c r="C355" s="8" t="s">
        <v>31</v>
      </c>
      <c r="D355" s="8" t="s">
        <v>60</v>
      </c>
      <c r="E355" s="8" t="s">
        <v>12</v>
      </c>
      <c r="F355" s="8" t="s">
        <v>1584</v>
      </c>
      <c r="G355" s="8" t="s">
        <v>1768</v>
      </c>
      <c r="H355" s="8" t="s">
        <v>1874</v>
      </c>
      <c r="I355" s="22"/>
    </row>
    <row r="356" spans="1:9" ht="14.6" x14ac:dyDescent="0.4">
      <c r="A356" s="8" t="s">
        <v>30</v>
      </c>
      <c r="B356" s="8" t="s">
        <v>1352</v>
      </c>
      <c r="C356" s="8" t="s">
        <v>31</v>
      </c>
      <c r="D356" s="8" t="s">
        <v>1353</v>
      </c>
      <c r="E356" s="8" t="s">
        <v>12</v>
      </c>
      <c r="F356" s="8" t="s">
        <v>1584</v>
      </c>
      <c r="G356" s="8" t="s">
        <v>1768</v>
      </c>
      <c r="H356" s="8" t="s">
        <v>1874</v>
      </c>
      <c r="I356" s="22"/>
    </row>
    <row r="357" spans="1:9" ht="14.6" x14ac:dyDescent="0.4">
      <c r="A357" s="8" t="s">
        <v>30</v>
      </c>
      <c r="B357" s="8" t="s">
        <v>1424</v>
      </c>
      <c r="C357" s="8" t="s">
        <v>31</v>
      </c>
      <c r="D357" s="8" t="s">
        <v>1359</v>
      </c>
      <c r="E357" s="8" t="s">
        <v>12</v>
      </c>
      <c r="F357" s="8" t="s">
        <v>1584</v>
      </c>
      <c r="G357" s="8" t="s">
        <v>1768</v>
      </c>
      <c r="H357" s="8" t="s">
        <v>1874</v>
      </c>
      <c r="I357" s="22"/>
    </row>
    <row r="358" spans="1:9" ht="14.6" x14ac:dyDescent="0.4">
      <c r="A358" s="8" t="s">
        <v>30</v>
      </c>
      <c r="B358" s="8" t="s">
        <v>1034</v>
      </c>
      <c r="C358" s="8" t="s">
        <v>31</v>
      </c>
      <c r="D358" s="8" t="s">
        <v>1035</v>
      </c>
      <c r="E358" s="8" t="s">
        <v>12</v>
      </c>
      <c r="F358" s="8" t="s">
        <v>1584</v>
      </c>
      <c r="G358" s="8" t="s">
        <v>1768</v>
      </c>
      <c r="H358" s="8" t="s">
        <v>1874</v>
      </c>
      <c r="I358" s="22"/>
    </row>
    <row r="359" spans="1:9" ht="14.6" x14ac:dyDescent="0.4">
      <c r="A359" s="8" t="s">
        <v>30</v>
      </c>
      <c r="B359" s="8" t="s">
        <v>1079</v>
      </c>
      <c r="C359" s="8" t="s">
        <v>31</v>
      </c>
      <c r="D359" s="8" t="s">
        <v>1080</v>
      </c>
      <c r="E359" s="8" t="s">
        <v>12</v>
      </c>
      <c r="F359" s="8" t="s">
        <v>1584</v>
      </c>
      <c r="G359" s="8" t="s">
        <v>1768</v>
      </c>
      <c r="H359" s="8" t="s">
        <v>1874</v>
      </c>
      <c r="I359" s="22"/>
    </row>
    <row r="360" spans="1:9" ht="14.6" x14ac:dyDescent="0.4">
      <c r="A360" s="8" t="s">
        <v>37</v>
      </c>
      <c r="B360" s="8" t="s">
        <v>59</v>
      </c>
      <c r="C360" s="8" t="s">
        <v>38</v>
      </c>
      <c r="D360" s="8" t="s">
        <v>60</v>
      </c>
      <c r="E360" s="8" t="s">
        <v>12</v>
      </c>
      <c r="F360" s="8" t="s">
        <v>1584</v>
      </c>
      <c r="G360" s="8" t="s">
        <v>1768</v>
      </c>
      <c r="H360" s="8" t="s">
        <v>1874</v>
      </c>
      <c r="I360" s="22"/>
    </row>
    <row r="361" spans="1:9" ht="14.6" x14ac:dyDescent="0.4">
      <c r="A361" s="8" t="s">
        <v>37</v>
      </c>
      <c r="B361" s="8" t="s">
        <v>1352</v>
      </c>
      <c r="C361" s="8" t="s">
        <v>38</v>
      </c>
      <c r="D361" s="8" t="s">
        <v>1353</v>
      </c>
      <c r="E361" s="8" t="s">
        <v>12</v>
      </c>
      <c r="F361" s="8" t="s">
        <v>1584</v>
      </c>
      <c r="G361" s="8" t="s">
        <v>1768</v>
      </c>
      <c r="H361" s="8" t="s">
        <v>1874</v>
      </c>
      <c r="I361" s="22"/>
    </row>
    <row r="362" spans="1:9" ht="14.6" x14ac:dyDescent="0.4">
      <c r="A362" s="8" t="s">
        <v>37</v>
      </c>
      <c r="B362" s="8" t="s">
        <v>1424</v>
      </c>
      <c r="C362" s="8" t="s">
        <v>38</v>
      </c>
      <c r="D362" s="8" t="s">
        <v>1359</v>
      </c>
      <c r="E362" s="8" t="s">
        <v>12</v>
      </c>
      <c r="F362" s="8" t="s">
        <v>1584</v>
      </c>
      <c r="G362" s="8" t="s">
        <v>1768</v>
      </c>
      <c r="H362" s="8" t="s">
        <v>1874</v>
      </c>
      <c r="I362" s="22"/>
    </row>
    <row r="363" spans="1:9" ht="14.6" x14ac:dyDescent="0.4">
      <c r="A363" s="8" t="s">
        <v>37</v>
      </c>
      <c r="B363" s="8" t="s">
        <v>1034</v>
      </c>
      <c r="C363" s="8" t="s">
        <v>38</v>
      </c>
      <c r="D363" s="8" t="s">
        <v>1035</v>
      </c>
      <c r="E363" s="8" t="s">
        <v>12</v>
      </c>
      <c r="F363" s="8" t="s">
        <v>1584</v>
      </c>
      <c r="G363" s="8" t="s">
        <v>1768</v>
      </c>
      <c r="H363" s="8" t="s">
        <v>1874</v>
      </c>
      <c r="I363" s="22"/>
    </row>
    <row r="364" spans="1:9" ht="14.6" x14ac:dyDescent="0.4">
      <c r="A364" s="8" t="s">
        <v>37</v>
      </c>
      <c r="B364" s="8" t="s">
        <v>1079</v>
      </c>
      <c r="C364" s="8" t="s">
        <v>38</v>
      </c>
      <c r="D364" s="8" t="s">
        <v>1080</v>
      </c>
      <c r="E364" s="8" t="s">
        <v>12</v>
      </c>
      <c r="F364" s="8" t="s">
        <v>1584</v>
      </c>
      <c r="G364" s="8" t="s">
        <v>1768</v>
      </c>
      <c r="H364" s="8" t="s">
        <v>1874</v>
      </c>
      <c r="I364" s="22"/>
    </row>
    <row r="365" spans="1:9" ht="14.6" x14ac:dyDescent="0.4">
      <c r="A365" s="8" t="s">
        <v>59</v>
      </c>
      <c r="B365" s="8" t="s">
        <v>1352</v>
      </c>
      <c r="C365" s="8" t="s">
        <v>60</v>
      </c>
      <c r="D365" s="8" t="s">
        <v>1353</v>
      </c>
      <c r="E365" s="8" t="s">
        <v>12</v>
      </c>
      <c r="F365" s="8" t="s">
        <v>1584</v>
      </c>
      <c r="G365" s="8" t="s">
        <v>1768</v>
      </c>
      <c r="H365" s="8" t="s">
        <v>1874</v>
      </c>
      <c r="I365" s="22"/>
    </row>
    <row r="366" spans="1:9" ht="14.6" x14ac:dyDescent="0.4">
      <c r="A366" s="8" t="s">
        <v>59</v>
      </c>
      <c r="B366" s="8" t="s">
        <v>1424</v>
      </c>
      <c r="C366" s="8" t="s">
        <v>60</v>
      </c>
      <c r="D366" s="8" t="s">
        <v>1359</v>
      </c>
      <c r="E366" s="8" t="s">
        <v>12</v>
      </c>
      <c r="F366" s="8" t="s">
        <v>1584</v>
      </c>
      <c r="G366" s="8" t="s">
        <v>1768</v>
      </c>
      <c r="H366" s="8" t="s">
        <v>1874</v>
      </c>
      <c r="I366" s="22"/>
    </row>
    <row r="367" spans="1:9" ht="14.6" x14ac:dyDescent="0.4">
      <c r="A367" s="8" t="s">
        <v>59</v>
      </c>
      <c r="B367" s="8" t="s">
        <v>1034</v>
      </c>
      <c r="C367" s="8" t="s">
        <v>60</v>
      </c>
      <c r="D367" s="8" t="s">
        <v>1035</v>
      </c>
      <c r="E367" s="8" t="s">
        <v>12</v>
      </c>
      <c r="F367" s="8" t="s">
        <v>1584</v>
      </c>
      <c r="G367" s="8" t="s">
        <v>1768</v>
      </c>
      <c r="H367" s="8" t="s">
        <v>1874</v>
      </c>
      <c r="I367" s="22"/>
    </row>
    <row r="368" spans="1:9" ht="14.6" x14ac:dyDescent="0.4">
      <c r="A368" s="8" t="s">
        <v>59</v>
      </c>
      <c r="B368" s="8" t="s">
        <v>1079</v>
      </c>
      <c r="C368" s="8" t="s">
        <v>60</v>
      </c>
      <c r="D368" s="8" t="s">
        <v>1080</v>
      </c>
      <c r="E368" s="8" t="s">
        <v>12</v>
      </c>
      <c r="F368" s="8" t="s">
        <v>1584</v>
      </c>
      <c r="G368" s="8" t="s">
        <v>1768</v>
      </c>
      <c r="H368" s="8" t="s">
        <v>1874</v>
      </c>
      <c r="I368" s="22"/>
    </row>
    <row r="369" spans="1:9" ht="14.6" x14ac:dyDescent="0.4">
      <c r="A369" s="8" t="s">
        <v>1352</v>
      </c>
      <c r="B369" s="8" t="s">
        <v>1034</v>
      </c>
      <c r="C369" s="8" t="s">
        <v>1353</v>
      </c>
      <c r="D369" s="8" t="s">
        <v>1035</v>
      </c>
      <c r="E369" s="8" t="s">
        <v>12</v>
      </c>
      <c r="F369" s="8" t="s">
        <v>1584</v>
      </c>
      <c r="G369" s="8" t="s">
        <v>1768</v>
      </c>
      <c r="H369" s="8" t="s">
        <v>1874</v>
      </c>
      <c r="I369" s="22"/>
    </row>
    <row r="370" spans="1:9" ht="14.6" x14ac:dyDescent="0.4">
      <c r="A370" s="8" t="s">
        <v>1352</v>
      </c>
      <c r="B370" s="8" t="s">
        <v>1079</v>
      </c>
      <c r="C370" s="8" t="s">
        <v>1353</v>
      </c>
      <c r="D370" s="8" t="s">
        <v>1080</v>
      </c>
      <c r="E370" s="8" t="s">
        <v>12</v>
      </c>
      <c r="F370" s="8" t="s">
        <v>1584</v>
      </c>
      <c r="G370" s="8" t="s">
        <v>1768</v>
      </c>
      <c r="H370" s="8" t="s">
        <v>1874</v>
      </c>
      <c r="I370" s="22"/>
    </row>
    <row r="371" spans="1:9" ht="14.6" x14ac:dyDescent="0.4">
      <c r="A371" s="8" t="s">
        <v>1424</v>
      </c>
      <c r="B371" s="8" t="s">
        <v>1034</v>
      </c>
      <c r="C371" s="8" t="s">
        <v>1359</v>
      </c>
      <c r="D371" s="8" t="s">
        <v>1035</v>
      </c>
      <c r="E371" s="8" t="s">
        <v>12</v>
      </c>
      <c r="F371" s="8" t="s">
        <v>1584</v>
      </c>
      <c r="G371" s="8" t="s">
        <v>1768</v>
      </c>
      <c r="H371" s="8" t="s">
        <v>1874</v>
      </c>
      <c r="I371" s="22"/>
    </row>
    <row r="372" spans="1:9" ht="14.6" x14ac:dyDescent="0.4">
      <c r="A372" s="8" t="s">
        <v>1424</v>
      </c>
      <c r="B372" s="8" t="s">
        <v>1079</v>
      </c>
      <c r="C372" s="8" t="s">
        <v>1359</v>
      </c>
      <c r="D372" s="8" t="s">
        <v>1080</v>
      </c>
      <c r="E372" s="8" t="s">
        <v>12</v>
      </c>
      <c r="F372" s="8" t="s">
        <v>1584</v>
      </c>
      <c r="G372" s="8" t="s">
        <v>1768</v>
      </c>
      <c r="H372" s="8" t="s">
        <v>1874</v>
      </c>
      <c r="I372" s="2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C1005"/>
  <sheetViews>
    <sheetView workbookViewId="0">
      <selection activeCell="L8" sqref="L8"/>
    </sheetView>
  </sheetViews>
  <sheetFormatPr defaultColWidth="12.61328125" defaultRowHeight="15.75" customHeight="1" x14ac:dyDescent="0.35"/>
  <cols>
    <col min="1" max="1" width="10.23046875" customWidth="1"/>
    <col min="2" max="2" width="11" customWidth="1"/>
    <col min="3" max="3" width="11.61328125" customWidth="1"/>
    <col min="4" max="4" width="18.84375" customWidth="1"/>
    <col min="5" max="5" width="20.61328125" customWidth="1"/>
    <col min="6" max="6" width="14.15234375" customWidth="1"/>
    <col min="7" max="7" width="17" customWidth="1"/>
    <col min="8" max="8" width="7.61328125" customWidth="1"/>
    <col min="9" max="9" width="20.23046875" customWidth="1"/>
    <col min="10" max="11" width="6.3828125" style="39" customWidth="1"/>
    <col min="12" max="12" width="7" style="39" customWidth="1"/>
    <col min="13" max="13" width="5.765625" style="39" customWidth="1"/>
    <col min="14" max="14" width="16.3828125" style="39" customWidth="1"/>
    <col min="15" max="15" width="15.3828125" style="39" customWidth="1"/>
    <col min="16" max="16" width="23.4609375" style="39" customWidth="1"/>
  </cols>
  <sheetData>
    <row r="1" spans="1:29" ht="15.75" customHeight="1" x14ac:dyDescent="0.5">
      <c r="A1" s="18" t="s">
        <v>1870</v>
      </c>
      <c r="B1" s="18" t="s">
        <v>1871</v>
      </c>
      <c r="C1" s="18" t="s">
        <v>1872</v>
      </c>
      <c r="D1" s="18" t="s">
        <v>1873</v>
      </c>
      <c r="E1" s="18" t="s">
        <v>1565</v>
      </c>
      <c r="F1" s="18" t="s">
        <v>1996</v>
      </c>
      <c r="G1" s="19" t="s">
        <v>1997</v>
      </c>
      <c r="H1" s="1" t="s">
        <v>1853</v>
      </c>
      <c r="I1" s="1" t="s">
        <v>1854</v>
      </c>
      <c r="J1" s="38" t="s">
        <v>1855</v>
      </c>
      <c r="K1" s="38" t="s">
        <v>1856</v>
      </c>
      <c r="L1" s="38" t="s">
        <v>1857</v>
      </c>
      <c r="M1" s="38" t="s">
        <v>1858</v>
      </c>
      <c r="N1" s="38" t="s">
        <v>1859</v>
      </c>
      <c r="O1" s="38" t="s">
        <v>1860</v>
      </c>
      <c r="P1" s="38" t="s">
        <v>1861</v>
      </c>
      <c r="Q1" s="5"/>
      <c r="R1" s="5"/>
      <c r="S1" s="9"/>
      <c r="T1" s="13"/>
      <c r="U1" s="13"/>
      <c r="V1" s="13"/>
      <c r="W1" s="13"/>
      <c r="X1" s="13"/>
      <c r="Y1" s="13"/>
      <c r="Z1" s="13"/>
      <c r="AA1" s="13"/>
      <c r="AB1" s="13"/>
      <c r="AC1" s="13"/>
    </row>
    <row r="2" spans="1:29" ht="15.75" customHeight="1" x14ac:dyDescent="0.4">
      <c r="A2" s="8" t="s">
        <v>45</v>
      </c>
      <c r="B2" s="8" t="s">
        <v>87</v>
      </c>
      <c r="C2" s="8" t="s">
        <v>46</v>
      </c>
      <c r="D2" s="8" t="s">
        <v>88</v>
      </c>
      <c r="E2" s="8" t="s">
        <v>47</v>
      </c>
      <c r="F2" s="8" t="s">
        <v>1520</v>
      </c>
      <c r="G2" s="8" t="s">
        <v>1520</v>
      </c>
      <c r="H2" s="23" t="str">
        <f t="shared" ref="H2:H372" si="0">IF(F2=G2,"Yes","No")</f>
        <v>Yes</v>
      </c>
      <c r="I2" s="7" t="str">
        <f t="shared" ref="I2:I372" si="1">IF(AND(F2="Yes",G2="Yes"),"TP",IF(AND(F2="No",G2="No"),"TN",IF(AND(F2="No",G2="Yes"),"FP",IF(AND(F2="Yes",G2="No"),"FN",""))))</f>
        <v>TN</v>
      </c>
      <c r="J2" s="49">
        <f>COUNTIF(I:I,"TP")</f>
        <v>25</v>
      </c>
      <c r="K2" s="50">
        <f>COUNTIF(I:I,"TN")</f>
        <v>336</v>
      </c>
      <c r="L2" s="50">
        <f>COUNTIF(I:I,"FP")</f>
        <v>0</v>
      </c>
      <c r="M2" s="50">
        <f>COUNTIF(I:I,"FN")</f>
        <v>10</v>
      </c>
      <c r="N2" s="50">
        <f>J2/(J2+L2)</f>
        <v>1</v>
      </c>
      <c r="O2" s="49">
        <f>J2/(J2+M2)</f>
        <v>0.7142857142857143</v>
      </c>
      <c r="P2" s="49">
        <f>2*((N2*O2)/(N2+O2))</f>
        <v>0.83333333333333326</v>
      </c>
      <c r="Q2" s="7"/>
      <c r="R2" s="7"/>
      <c r="S2" s="7"/>
    </row>
    <row r="3" spans="1:29" ht="15.75" customHeight="1" x14ac:dyDescent="0.4">
      <c r="A3" s="8" t="s">
        <v>45</v>
      </c>
      <c r="B3" s="8" t="s">
        <v>104</v>
      </c>
      <c r="C3" s="8" t="s">
        <v>46</v>
      </c>
      <c r="D3" s="8" t="s">
        <v>105</v>
      </c>
      <c r="E3" s="8" t="s">
        <v>47</v>
      </c>
      <c r="F3" s="8" t="s">
        <v>1520</v>
      </c>
      <c r="G3" s="8" t="s">
        <v>1520</v>
      </c>
      <c r="H3" s="23" t="str">
        <f t="shared" si="0"/>
        <v>Yes</v>
      </c>
      <c r="I3" s="7" t="str">
        <f t="shared" si="1"/>
        <v>TN</v>
      </c>
      <c r="J3" s="48"/>
      <c r="K3" s="51"/>
      <c r="L3" s="51"/>
      <c r="M3" s="51"/>
      <c r="N3" s="51"/>
      <c r="O3" s="48"/>
      <c r="P3" s="48"/>
      <c r="Q3" s="7"/>
      <c r="R3" s="7"/>
      <c r="S3" s="7"/>
    </row>
    <row r="4" spans="1:29" ht="15.75" customHeight="1" x14ac:dyDescent="0.4">
      <c r="A4" s="8" t="s">
        <v>45</v>
      </c>
      <c r="B4" s="8" t="s">
        <v>107</v>
      </c>
      <c r="C4" s="8" t="s">
        <v>46</v>
      </c>
      <c r="D4" s="8" t="s">
        <v>108</v>
      </c>
      <c r="E4" s="8" t="s">
        <v>47</v>
      </c>
      <c r="F4" s="8" t="s">
        <v>1520</v>
      </c>
      <c r="G4" s="8" t="s">
        <v>1520</v>
      </c>
      <c r="H4" s="23" t="str">
        <f t="shared" si="0"/>
        <v>Yes</v>
      </c>
      <c r="I4" s="7" t="str">
        <f t="shared" si="1"/>
        <v>TN</v>
      </c>
      <c r="J4" s="48"/>
      <c r="K4" s="51"/>
      <c r="L4" s="51"/>
      <c r="M4" s="51"/>
      <c r="N4" s="51"/>
      <c r="O4" s="48"/>
      <c r="P4" s="48"/>
      <c r="Q4" s="7"/>
      <c r="R4" s="7"/>
      <c r="S4" s="7"/>
    </row>
    <row r="5" spans="1:29" ht="15.75" customHeight="1" x14ac:dyDescent="0.4">
      <c r="A5" s="8" t="s">
        <v>87</v>
      </c>
      <c r="B5" s="8" t="s">
        <v>104</v>
      </c>
      <c r="C5" s="8" t="s">
        <v>88</v>
      </c>
      <c r="D5" s="8" t="s">
        <v>105</v>
      </c>
      <c r="E5" s="8" t="s">
        <v>47</v>
      </c>
      <c r="F5" s="8" t="s">
        <v>1520</v>
      </c>
      <c r="G5" s="8" t="s">
        <v>1520</v>
      </c>
      <c r="H5" s="23" t="str">
        <f t="shared" si="0"/>
        <v>Yes</v>
      </c>
      <c r="I5" s="7" t="str">
        <f t="shared" si="1"/>
        <v>TN</v>
      </c>
      <c r="J5" s="48"/>
      <c r="K5" s="51"/>
      <c r="L5" s="51"/>
      <c r="M5" s="51"/>
      <c r="N5" s="51"/>
      <c r="O5" s="48"/>
      <c r="P5" s="48"/>
      <c r="Q5" s="7"/>
      <c r="R5" s="7"/>
      <c r="S5" s="7"/>
    </row>
    <row r="6" spans="1:29" ht="15.75" customHeight="1" x14ac:dyDescent="0.4">
      <c r="A6" s="8" t="s">
        <v>87</v>
      </c>
      <c r="B6" s="8" t="s">
        <v>107</v>
      </c>
      <c r="C6" s="8" t="s">
        <v>88</v>
      </c>
      <c r="D6" s="8" t="s">
        <v>108</v>
      </c>
      <c r="E6" s="8" t="s">
        <v>47</v>
      </c>
      <c r="F6" s="8" t="s">
        <v>1520</v>
      </c>
      <c r="G6" s="8" t="s">
        <v>1520</v>
      </c>
      <c r="H6" s="23" t="str">
        <f t="shared" si="0"/>
        <v>Yes</v>
      </c>
      <c r="I6" s="7" t="str">
        <f t="shared" si="1"/>
        <v>TN</v>
      </c>
      <c r="J6" s="48"/>
      <c r="K6" s="51"/>
      <c r="L6" s="51"/>
      <c r="M6" s="51"/>
      <c r="N6" s="51"/>
      <c r="O6" s="48"/>
      <c r="P6" s="48"/>
      <c r="Q6" s="7"/>
      <c r="R6" s="7"/>
      <c r="S6" s="7"/>
    </row>
    <row r="7" spans="1:29" ht="15.75" customHeight="1" x14ac:dyDescent="0.4">
      <c r="A7" s="8" t="s">
        <v>104</v>
      </c>
      <c r="B7" s="8" t="s">
        <v>107</v>
      </c>
      <c r="C7" s="8" t="s">
        <v>105</v>
      </c>
      <c r="D7" s="8" t="s">
        <v>108</v>
      </c>
      <c r="E7" s="8" t="s">
        <v>47</v>
      </c>
      <c r="F7" s="8" t="s">
        <v>1520</v>
      </c>
      <c r="G7" s="8" t="s">
        <v>1520</v>
      </c>
      <c r="H7" s="23" t="str">
        <f t="shared" si="0"/>
        <v>Yes</v>
      </c>
      <c r="I7" s="7" t="str">
        <f t="shared" si="1"/>
        <v>TN</v>
      </c>
      <c r="J7" s="48"/>
      <c r="K7" s="51"/>
      <c r="L7" s="51"/>
      <c r="M7" s="51"/>
      <c r="N7" s="51"/>
      <c r="O7" s="48"/>
      <c r="P7" s="48"/>
      <c r="Q7" s="7"/>
      <c r="R7" s="7"/>
      <c r="S7" s="7"/>
    </row>
    <row r="8" spans="1:29" ht="15.75" customHeight="1" x14ac:dyDescent="0.4">
      <c r="A8" s="8" t="s">
        <v>19</v>
      </c>
      <c r="B8" s="8" t="s">
        <v>35</v>
      </c>
      <c r="C8" s="8" t="s">
        <v>20</v>
      </c>
      <c r="D8" s="8" t="s">
        <v>36</v>
      </c>
      <c r="E8" s="8" t="s">
        <v>21</v>
      </c>
      <c r="F8" s="8" t="s">
        <v>1520</v>
      </c>
      <c r="G8" s="8" t="s">
        <v>1520</v>
      </c>
      <c r="H8" s="23" t="str">
        <f t="shared" si="0"/>
        <v>Yes</v>
      </c>
      <c r="I8" s="7" t="str">
        <f t="shared" si="1"/>
        <v>TN</v>
      </c>
      <c r="J8" s="48"/>
      <c r="K8" s="51"/>
      <c r="L8" s="51"/>
      <c r="M8" s="51"/>
      <c r="N8" s="51"/>
      <c r="O8" s="48"/>
      <c r="P8" s="48"/>
      <c r="Q8" s="7"/>
      <c r="R8" s="7"/>
      <c r="S8" s="7"/>
    </row>
    <row r="9" spans="1:29" ht="15.75" customHeight="1" x14ac:dyDescent="0.4">
      <c r="A9" s="8" t="s">
        <v>19</v>
      </c>
      <c r="B9" s="8" t="s">
        <v>152</v>
      </c>
      <c r="C9" s="8" t="s">
        <v>20</v>
      </c>
      <c r="D9" s="8" t="s">
        <v>11</v>
      </c>
      <c r="E9" s="8" t="s">
        <v>21</v>
      </c>
      <c r="F9" s="8" t="s">
        <v>1520</v>
      </c>
      <c r="G9" s="8" t="s">
        <v>1520</v>
      </c>
      <c r="H9" s="23" t="str">
        <f t="shared" si="0"/>
        <v>Yes</v>
      </c>
      <c r="I9" s="7" t="str">
        <f t="shared" si="1"/>
        <v>TN</v>
      </c>
      <c r="J9" s="48"/>
      <c r="K9" s="51"/>
      <c r="L9" s="51"/>
      <c r="M9" s="51"/>
      <c r="N9" s="51"/>
      <c r="O9" s="48"/>
      <c r="P9" s="48"/>
      <c r="Q9" s="7"/>
      <c r="R9" s="7"/>
      <c r="S9" s="7"/>
    </row>
    <row r="10" spans="1:29" ht="15.75" customHeight="1" x14ac:dyDescent="0.4">
      <c r="A10" s="8" t="s">
        <v>19</v>
      </c>
      <c r="B10" s="8" t="s">
        <v>1417</v>
      </c>
      <c r="C10" s="8" t="s">
        <v>20</v>
      </c>
      <c r="D10" s="8" t="s">
        <v>1355</v>
      </c>
      <c r="E10" s="8" t="s">
        <v>21</v>
      </c>
      <c r="F10" s="8" t="s">
        <v>1520</v>
      </c>
      <c r="G10" s="8" t="s">
        <v>1520</v>
      </c>
      <c r="H10" s="23" t="str">
        <f t="shared" si="0"/>
        <v>Yes</v>
      </c>
      <c r="I10" s="7" t="str">
        <f t="shared" si="1"/>
        <v>TN</v>
      </c>
      <c r="J10" s="48"/>
      <c r="K10" s="51"/>
      <c r="L10" s="51"/>
      <c r="M10" s="51"/>
      <c r="N10" s="51"/>
      <c r="O10" s="48"/>
      <c r="P10" s="48"/>
      <c r="Q10" s="7"/>
      <c r="R10" s="7"/>
      <c r="S10" s="7"/>
    </row>
    <row r="11" spans="1:29" ht="15.75" customHeight="1" x14ac:dyDescent="0.4">
      <c r="A11" s="8" t="s">
        <v>19</v>
      </c>
      <c r="B11" s="8" t="s">
        <v>1039</v>
      </c>
      <c r="C11" s="8" t="s">
        <v>20</v>
      </c>
      <c r="D11" s="8" t="s">
        <v>1040</v>
      </c>
      <c r="E11" s="8" t="s">
        <v>21</v>
      </c>
      <c r="F11" s="8" t="s">
        <v>1520</v>
      </c>
      <c r="G11" s="8" t="s">
        <v>1520</v>
      </c>
      <c r="H11" s="23" t="str">
        <f t="shared" si="0"/>
        <v>Yes</v>
      </c>
      <c r="I11" s="7" t="str">
        <f t="shared" si="1"/>
        <v>TN</v>
      </c>
      <c r="J11" s="48"/>
      <c r="K11" s="51"/>
      <c r="L11" s="51"/>
      <c r="M11" s="51"/>
      <c r="N11" s="51"/>
      <c r="O11" s="48"/>
      <c r="P11" s="48"/>
      <c r="Q11" s="7"/>
      <c r="R11" s="7"/>
      <c r="S11" s="7"/>
    </row>
    <row r="12" spans="1:29" ht="15.75" customHeight="1" x14ac:dyDescent="0.4">
      <c r="A12" s="8" t="s">
        <v>19</v>
      </c>
      <c r="B12" s="8" t="s">
        <v>1068</v>
      </c>
      <c r="C12" s="8" t="s">
        <v>20</v>
      </c>
      <c r="D12" s="8" t="s">
        <v>1033</v>
      </c>
      <c r="E12" s="8" t="s">
        <v>21</v>
      </c>
      <c r="F12" s="8" t="s">
        <v>1520</v>
      </c>
      <c r="G12" s="8" t="s">
        <v>1520</v>
      </c>
      <c r="H12" s="23" t="str">
        <f t="shared" si="0"/>
        <v>Yes</v>
      </c>
      <c r="I12" s="7" t="str">
        <f t="shared" si="1"/>
        <v>TN</v>
      </c>
      <c r="J12" s="48"/>
      <c r="K12" s="51"/>
      <c r="L12" s="51"/>
      <c r="M12" s="51"/>
      <c r="N12" s="51"/>
      <c r="O12" s="48"/>
      <c r="P12" s="48"/>
      <c r="Q12" s="7"/>
      <c r="R12" s="7"/>
      <c r="S12" s="7"/>
    </row>
    <row r="13" spans="1:29" ht="15.75" customHeight="1" x14ac:dyDescent="0.4">
      <c r="A13" s="8" t="s">
        <v>19</v>
      </c>
      <c r="B13" s="8" t="s">
        <v>1089</v>
      </c>
      <c r="C13" s="8" t="s">
        <v>20</v>
      </c>
      <c r="D13" s="8" t="s">
        <v>1062</v>
      </c>
      <c r="E13" s="8" t="s">
        <v>21</v>
      </c>
      <c r="F13" s="8" t="s">
        <v>1520</v>
      </c>
      <c r="G13" s="8" t="s">
        <v>1520</v>
      </c>
      <c r="H13" s="23" t="str">
        <f t="shared" si="0"/>
        <v>Yes</v>
      </c>
      <c r="I13" s="7" t="str">
        <f t="shared" si="1"/>
        <v>TN</v>
      </c>
      <c r="J13" s="48"/>
      <c r="K13" s="51"/>
      <c r="L13" s="51"/>
      <c r="M13" s="51"/>
      <c r="N13" s="51"/>
      <c r="O13" s="48"/>
      <c r="P13" s="48"/>
      <c r="Q13" s="7"/>
      <c r="R13" s="7"/>
      <c r="S13" s="7"/>
    </row>
    <row r="14" spans="1:29" ht="15.75" customHeight="1" x14ac:dyDescent="0.4">
      <c r="A14" s="8" t="s">
        <v>19</v>
      </c>
      <c r="B14" s="8" t="s">
        <v>1100</v>
      </c>
      <c r="C14" s="8" t="s">
        <v>20</v>
      </c>
      <c r="D14" s="8" t="s">
        <v>1070</v>
      </c>
      <c r="E14" s="8" t="s">
        <v>21</v>
      </c>
      <c r="F14" s="8" t="s">
        <v>1520</v>
      </c>
      <c r="G14" s="8" t="s">
        <v>1520</v>
      </c>
      <c r="H14" s="23" t="str">
        <f t="shared" si="0"/>
        <v>Yes</v>
      </c>
      <c r="I14" s="7" t="str">
        <f t="shared" si="1"/>
        <v>TN</v>
      </c>
      <c r="J14" s="48"/>
      <c r="K14" s="51"/>
      <c r="L14" s="51"/>
      <c r="M14" s="51"/>
      <c r="N14" s="51"/>
      <c r="O14" s="48"/>
      <c r="P14" s="48"/>
      <c r="Q14" s="7"/>
      <c r="R14" s="7"/>
      <c r="S14" s="7"/>
    </row>
    <row r="15" spans="1:29" ht="15.75" customHeight="1" x14ac:dyDescent="0.4">
      <c r="A15" s="8" t="s">
        <v>35</v>
      </c>
      <c r="B15" s="8" t="s">
        <v>152</v>
      </c>
      <c r="C15" s="8" t="s">
        <v>36</v>
      </c>
      <c r="D15" s="8" t="s">
        <v>11</v>
      </c>
      <c r="E15" s="8" t="s">
        <v>21</v>
      </c>
      <c r="F15" s="8" t="s">
        <v>1520</v>
      </c>
      <c r="G15" s="8" t="s">
        <v>1520</v>
      </c>
      <c r="H15" s="23" t="str">
        <f t="shared" si="0"/>
        <v>Yes</v>
      </c>
      <c r="I15" s="7" t="str">
        <f t="shared" si="1"/>
        <v>TN</v>
      </c>
      <c r="J15" s="48"/>
      <c r="K15" s="51"/>
      <c r="L15" s="51"/>
      <c r="M15" s="51"/>
      <c r="N15" s="51"/>
      <c r="O15" s="48"/>
      <c r="P15" s="48"/>
      <c r="Q15" s="7"/>
      <c r="R15" s="7"/>
      <c r="S15" s="7"/>
    </row>
    <row r="16" spans="1:29" ht="15.75" customHeight="1" x14ac:dyDescent="0.4">
      <c r="A16" s="8" t="s">
        <v>35</v>
      </c>
      <c r="B16" s="8" t="s">
        <v>1417</v>
      </c>
      <c r="C16" s="8" t="s">
        <v>36</v>
      </c>
      <c r="D16" s="8" t="s">
        <v>1355</v>
      </c>
      <c r="E16" s="8" t="s">
        <v>21</v>
      </c>
      <c r="F16" s="8" t="s">
        <v>1520</v>
      </c>
      <c r="G16" s="8" t="s">
        <v>1520</v>
      </c>
      <c r="H16" s="23" t="str">
        <f t="shared" si="0"/>
        <v>Yes</v>
      </c>
      <c r="I16" s="7" t="str">
        <f t="shared" si="1"/>
        <v>TN</v>
      </c>
      <c r="J16" s="48"/>
      <c r="K16" s="51"/>
      <c r="L16" s="51"/>
      <c r="M16" s="51"/>
      <c r="N16" s="51"/>
      <c r="O16" s="48"/>
      <c r="P16" s="48"/>
      <c r="Q16" s="7"/>
      <c r="R16" s="24"/>
      <c r="S16" s="7"/>
      <c r="T16" s="25"/>
      <c r="U16" s="25"/>
      <c r="V16" s="25"/>
      <c r="W16" s="25"/>
      <c r="X16" s="25"/>
      <c r="Y16" s="25"/>
      <c r="Z16" s="25"/>
      <c r="AA16" s="25"/>
      <c r="AB16" s="25"/>
      <c r="AC16" s="25"/>
    </row>
    <row r="17" spans="1:19" ht="15.75" customHeight="1" x14ac:dyDescent="0.4">
      <c r="A17" s="8" t="s">
        <v>35</v>
      </c>
      <c r="B17" s="8" t="s">
        <v>1039</v>
      </c>
      <c r="C17" s="8" t="s">
        <v>36</v>
      </c>
      <c r="D17" s="8" t="s">
        <v>1040</v>
      </c>
      <c r="E17" s="8" t="s">
        <v>21</v>
      </c>
      <c r="F17" s="8" t="s">
        <v>1520</v>
      </c>
      <c r="G17" s="8" t="s">
        <v>1520</v>
      </c>
      <c r="H17" s="23" t="str">
        <f t="shared" si="0"/>
        <v>Yes</v>
      </c>
      <c r="I17" s="7" t="str">
        <f t="shared" si="1"/>
        <v>TN</v>
      </c>
      <c r="J17" s="48"/>
      <c r="K17" s="51"/>
      <c r="L17" s="51"/>
      <c r="M17" s="51"/>
      <c r="N17" s="51"/>
      <c r="O17" s="48"/>
      <c r="P17" s="48"/>
      <c r="Q17" s="7"/>
      <c r="R17" s="7"/>
      <c r="S17" s="7"/>
    </row>
    <row r="18" spans="1:19" ht="15.75" customHeight="1" x14ac:dyDescent="0.4">
      <c r="A18" s="8" t="s">
        <v>35</v>
      </c>
      <c r="B18" s="8" t="s">
        <v>1068</v>
      </c>
      <c r="C18" s="8" t="s">
        <v>36</v>
      </c>
      <c r="D18" s="8" t="s">
        <v>1033</v>
      </c>
      <c r="E18" s="8" t="s">
        <v>21</v>
      </c>
      <c r="F18" s="8" t="s">
        <v>1520</v>
      </c>
      <c r="G18" s="8" t="s">
        <v>1520</v>
      </c>
      <c r="H18" s="23" t="str">
        <f t="shared" si="0"/>
        <v>Yes</v>
      </c>
      <c r="I18" s="7" t="str">
        <f t="shared" si="1"/>
        <v>TN</v>
      </c>
      <c r="J18" s="48"/>
      <c r="K18" s="51"/>
      <c r="L18" s="51"/>
      <c r="M18" s="51"/>
      <c r="N18" s="51"/>
      <c r="O18" s="48"/>
      <c r="P18" s="48"/>
      <c r="Q18" s="7"/>
      <c r="R18" s="7"/>
      <c r="S18" s="7"/>
    </row>
    <row r="19" spans="1:19" ht="15.75" customHeight="1" x14ac:dyDescent="0.4">
      <c r="A19" s="8" t="s">
        <v>35</v>
      </c>
      <c r="B19" s="8" t="s">
        <v>1089</v>
      </c>
      <c r="C19" s="8" t="s">
        <v>36</v>
      </c>
      <c r="D19" s="8" t="s">
        <v>1062</v>
      </c>
      <c r="E19" s="8" t="s">
        <v>21</v>
      </c>
      <c r="F19" s="8" t="s">
        <v>1520</v>
      </c>
      <c r="G19" s="8" t="s">
        <v>1520</v>
      </c>
      <c r="H19" s="23" t="str">
        <f t="shared" si="0"/>
        <v>Yes</v>
      </c>
      <c r="I19" s="7" t="str">
        <f t="shared" si="1"/>
        <v>TN</v>
      </c>
      <c r="J19" s="48"/>
      <c r="K19" s="51"/>
      <c r="L19" s="51"/>
      <c r="M19" s="51"/>
      <c r="N19" s="51"/>
      <c r="O19" s="48"/>
      <c r="P19" s="48"/>
      <c r="Q19" s="7"/>
      <c r="R19" s="7"/>
      <c r="S19" s="7"/>
    </row>
    <row r="20" spans="1:19" ht="15.75" customHeight="1" x14ac:dyDescent="0.4">
      <c r="A20" s="8" t="s">
        <v>35</v>
      </c>
      <c r="B20" s="8" t="s">
        <v>1100</v>
      </c>
      <c r="C20" s="8" t="s">
        <v>36</v>
      </c>
      <c r="D20" s="8" t="s">
        <v>1070</v>
      </c>
      <c r="E20" s="8" t="s">
        <v>21</v>
      </c>
      <c r="F20" s="8" t="s">
        <v>1520</v>
      </c>
      <c r="G20" s="8" t="s">
        <v>1520</v>
      </c>
      <c r="H20" s="23" t="str">
        <f t="shared" si="0"/>
        <v>Yes</v>
      </c>
      <c r="I20" s="7" t="str">
        <f t="shared" si="1"/>
        <v>TN</v>
      </c>
      <c r="J20" s="48"/>
      <c r="K20" s="51"/>
      <c r="L20" s="51"/>
      <c r="M20" s="51"/>
      <c r="N20" s="51"/>
      <c r="O20" s="48"/>
      <c r="P20" s="48"/>
      <c r="Q20" s="7"/>
      <c r="R20" s="7"/>
      <c r="S20" s="7"/>
    </row>
    <row r="21" spans="1:19" ht="15.75" customHeight="1" x14ac:dyDescent="0.4">
      <c r="A21" s="8" t="s">
        <v>152</v>
      </c>
      <c r="B21" s="8" t="s">
        <v>1417</v>
      </c>
      <c r="C21" s="8" t="s">
        <v>11</v>
      </c>
      <c r="D21" s="8" t="s">
        <v>1355</v>
      </c>
      <c r="E21" s="8" t="s">
        <v>21</v>
      </c>
      <c r="F21" s="8" t="s">
        <v>1520</v>
      </c>
      <c r="G21" s="8" t="s">
        <v>1520</v>
      </c>
      <c r="H21" s="23" t="str">
        <f t="shared" si="0"/>
        <v>Yes</v>
      </c>
      <c r="I21" s="7" t="str">
        <f t="shared" si="1"/>
        <v>TN</v>
      </c>
      <c r="J21" s="48"/>
      <c r="K21" s="51"/>
      <c r="L21" s="51"/>
      <c r="M21" s="51"/>
      <c r="N21" s="51"/>
      <c r="O21" s="48"/>
      <c r="P21" s="48"/>
      <c r="Q21" s="7"/>
      <c r="R21" s="7"/>
      <c r="S21" s="7"/>
    </row>
    <row r="22" spans="1:19" ht="15.75" customHeight="1" x14ac:dyDescent="0.4">
      <c r="A22" s="8" t="s">
        <v>152</v>
      </c>
      <c r="B22" s="8" t="s">
        <v>1039</v>
      </c>
      <c r="C22" s="8" t="s">
        <v>11</v>
      </c>
      <c r="D22" s="8" t="s">
        <v>1040</v>
      </c>
      <c r="E22" s="8" t="s">
        <v>21</v>
      </c>
      <c r="F22" s="8" t="s">
        <v>1520</v>
      </c>
      <c r="G22" s="8" t="s">
        <v>1520</v>
      </c>
      <c r="H22" s="23" t="str">
        <f t="shared" si="0"/>
        <v>Yes</v>
      </c>
      <c r="I22" s="7" t="str">
        <f t="shared" si="1"/>
        <v>TN</v>
      </c>
      <c r="J22" s="48"/>
      <c r="K22" s="51"/>
      <c r="L22" s="51"/>
      <c r="M22" s="51"/>
      <c r="N22" s="51"/>
      <c r="O22" s="48"/>
      <c r="P22" s="48"/>
      <c r="Q22" s="7"/>
      <c r="R22" s="7"/>
      <c r="S22" s="7"/>
    </row>
    <row r="23" spans="1:19" ht="15.75" customHeight="1" x14ac:dyDescent="0.4">
      <c r="A23" s="8" t="s">
        <v>152</v>
      </c>
      <c r="B23" s="8" t="s">
        <v>1068</v>
      </c>
      <c r="C23" s="8" t="s">
        <v>11</v>
      </c>
      <c r="D23" s="8" t="s">
        <v>1033</v>
      </c>
      <c r="E23" s="8" t="s">
        <v>21</v>
      </c>
      <c r="F23" s="8" t="s">
        <v>1520</v>
      </c>
      <c r="G23" s="8" t="s">
        <v>1520</v>
      </c>
      <c r="H23" s="23" t="str">
        <f t="shared" si="0"/>
        <v>Yes</v>
      </c>
      <c r="I23" s="7" t="str">
        <f t="shared" si="1"/>
        <v>TN</v>
      </c>
      <c r="J23" s="48"/>
      <c r="K23" s="51"/>
      <c r="L23" s="51"/>
      <c r="M23" s="51"/>
      <c r="N23" s="51"/>
      <c r="O23" s="48"/>
      <c r="P23" s="48"/>
      <c r="Q23" s="7"/>
      <c r="R23" s="7"/>
      <c r="S23" s="7"/>
    </row>
    <row r="24" spans="1:19" ht="15.75" customHeight="1" x14ac:dyDescent="0.4">
      <c r="A24" s="8" t="s">
        <v>152</v>
      </c>
      <c r="B24" s="8" t="s">
        <v>1089</v>
      </c>
      <c r="C24" s="8" t="s">
        <v>11</v>
      </c>
      <c r="D24" s="8" t="s">
        <v>1062</v>
      </c>
      <c r="E24" s="8" t="s">
        <v>21</v>
      </c>
      <c r="F24" s="8" t="s">
        <v>1520</v>
      </c>
      <c r="G24" s="8" t="s">
        <v>1520</v>
      </c>
      <c r="H24" s="23" t="str">
        <f t="shared" si="0"/>
        <v>Yes</v>
      </c>
      <c r="I24" s="7" t="str">
        <f t="shared" si="1"/>
        <v>TN</v>
      </c>
      <c r="J24" s="48"/>
      <c r="K24" s="51"/>
      <c r="L24" s="51"/>
      <c r="M24" s="51"/>
      <c r="N24" s="51"/>
      <c r="O24" s="48"/>
      <c r="P24" s="48"/>
      <c r="Q24" s="7"/>
      <c r="R24" s="7"/>
      <c r="S24" s="7"/>
    </row>
    <row r="25" spans="1:19" ht="15.75" customHeight="1" x14ac:dyDescent="0.4">
      <c r="A25" s="8" t="s">
        <v>152</v>
      </c>
      <c r="B25" s="8" t="s">
        <v>1100</v>
      </c>
      <c r="C25" s="8" t="s">
        <v>11</v>
      </c>
      <c r="D25" s="8" t="s">
        <v>1070</v>
      </c>
      <c r="E25" s="8" t="s">
        <v>21</v>
      </c>
      <c r="F25" s="8" t="s">
        <v>1520</v>
      </c>
      <c r="G25" s="8" t="s">
        <v>1520</v>
      </c>
      <c r="H25" s="23" t="str">
        <f t="shared" si="0"/>
        <v>Yes</v>
      </c>
      <c r="I25" s="7" t="str">
        <f t="shared" si="1"/>
        <v>TN</v>
      </c>
      <c r="J25" s="48"/>
      <c r="K25" s="51"/>
      <c r="L25" s="51"/>
      <c r="M25" s="51"/>
      <c r="N25" s="51"/>
      <c r="O25" s="48"/>
      <c r="P25" s="48"/>
      <c r="Q25" s="7"/>
      <c r="R25" s="7"/>
      <c r="S25" s="7"/>
    </row>
    <row r="26" spans="1:19" ht="15.75" customHeight="1" x14ac:dyDescent="0.4">
      <c r="A26" s="8" t="s">
        <v>1417</v>
      </c>
      <c r="B26" s="8" t="s">
        <v>1039</v>
      </c>
      <c r="C26" s="8" t="s">
        <v>1355</v>
      </c>
      <c r="D26" s="8" t="s">
        <v>1040</v>
      </c>
      <c r="E26" s="8" t="s">
        <v>21</v>
      </c>
      <c r="F26" s="8" t="s">
        <v>1520</v>
      </c>
      <c r="G26" s="8" t="s">
        <v>1520</v>
      </c>
      <c r="H26" s="23" t="str">
        <f t="shared" si="0"/>
        <v>Yes</v>
      </c>
      <c r="I26" s="7" t="str">
        <f t="shared" si="1"/>
        <v>TN</v>
      </c>
      <c r="J26" s="48"/>
      <c r="K26" s="51"/>
      <c r="L26" s="51"/>
      <c r="M26" s="51"/>
      <c r="N26" s="51"/>
      <c r="O26" s="48"/>
      <c r="P26" s="48"/>
      <c r="Q26" s="7"/>
      <c r="R26" s="7"/>
      <c r="S26" s="7"/>
    </row>
    <row r="27" spans="1:19" ht="15.75" customHeight="1" x14ac:dyDescent="0.4">
      <c r="A27" s="8" t="s">
        <v>1417</v>
      </c>
      <c r="B27" s="8" t="s">
        <v>1068</v>
      </c>
      <c r="C27" s="8" t="s">
        <v>1355</v>
      </c>
      <c r="D27" s="8" t="s">
        <v>1033</v>
      </c>
      <c r="E27" s="8" t="s">
        <v>21</v>
      </c>
      <c r="F27" s="8" t="s">
        <v>1520</v>
      </c>
      <c r="G27" s="8" t="s">
        <v>1520</v>
      </c>
      <c r="H27" s="23" t="str">
        <f t="shared" si="0"/>
        <v>Yes</v>
      </c>
      <c r="I27" s="7" t="str">
        <f t="shared" si="1"/>
        <v>TN</v>
      </c>
      <c r="J27" s="48"/>
      <c r="K27" s="51"/>
      <c r="L27" s="51"/>
      <c r="M27" s="51"/>
      <c r="N27" s="51"/>
      <c r="O27" s="48"/>
      <c r="P27" s="48"/>
      <c r="Q27" s="7"/>
      <c r="R27" s="7"/>
      <c r="S27" s="7"/>
    </row>
    <row r="28" spans="1:19" ht="15.75" customHeight="1" x14ac:dyDescent="0.4">
      <c r="A28" s="8" t="s">
        <v>1417</v>
      </c>
      <c r="B28" s="8" t="s">
        <v>1089</v>
      </c>
      <c r="C28" s="8" t="s">
        <v>1355</v>
      </c>
      <c r="D28" s="8" t="s">
        <v>1062</v>
      </c>
      <c r="E28" s="8" t="s">
        <v>21</v>
      </c>
      <c r="F28" s="8" t="s">
        <v>1520</v>
      </c>
      <c r="G28" s="8" t="s">
        <v>1520</v>
      </c>
      <c r="H28" s="23" t="str">
        <f t="shared" si="0"/>
        <v>Yes</v>
      </c>
      <c r="I28" s="7" t="str">
        <f t="shared" si="1"/>
        <v>TN</v>
      </c>
      <c r="J28" s="48"/>
      <c r="K28" s="51"/>
      <c r="L28" s="51"/>
      <c r="M28" s="51"/>
      <c r="N28" s="51"/>
      <c r="O28" s="48"/>
      <c r="P28" s="48"/>
      <c r="Q28" s="7"/>
      <c r="R28" s="7"/>
      <c r="S28" s="7"/>
    </row>
    <row r="29" spans="1:19" ht="15.75" customHeight="1" x14ac:dyDescent="0.4">
      <c r="A29" s="8" t="s">
        <v>1417</v>
      </c>
      <c r="B29" s="8" t="s">
        <v>1100</v>
      </c>
      <c r="C29" s="8" t="s">
        <v>1355</v>
      </c>
      <c r="D29" s="8" t="s">
        <v>1070</v>
      </c>
      <c r="E29" s="8" t="s">
        <v>21</v>
      </c>
      <c r="F29" s="8" t="s">
        <v>1520</v>
      </c>
      <c r="G29" s="8" t="s">
        <v>1520</v>
      </c>
      <c r="H29" s="23" t="str">
        <f t="shared" si="0"/>
        <v>Yes</v>
      </c>
      <c r="I29" s="7" t="str">
        <f t="shared" si="1"/>
        <v>TN</v>
      </c>
      <c r="J29" s="48"/>
      <c r="K29" s="51"/>
      <c r="L29" s="51"/>
      <c r="M29" s="51"/>
      <c r="N29" s="51"/>
      <c r="O29" s="48"/>
      <c r="P29" s="48"/>
      <c r="Q29" s="7"/>
      <c r="R29" s="7"/>
      <c r="S29" s="7"/>
    </row>
    <row r="30" spans="1:19" ht="15.75" customHeight="1" x14ac:dyDescent="0.4">
      <c r="A30" s="8" t="s">
        <v>1039</v>
      </c>
      <c r="B30" s="8" t="s">
        <v>1068</v>
      </c>
      <c r="C30" s="8" t="s">
        <v>1040</v>
      </c>
      <c r="D30" s="8" t="s">
        <v>1033</v>
      </c>
      <c r="E30" s="8" t="s">
        <v>21</v>
      </c>
      <c r="F30" s="8" t="s">
        <v>1520</v>
      </c>
      <c r="G30" s="8" t="s">
        <v>1520</v>
      </c>
      <c r="H30" s="23" t="str">
        <f t="shared" si="0"/>
        <v>Yes</v>
      </c>
      <c r="I30" s="7" t="str">
        <f t="shared" si="1"/>
        <v>TN</v>
      </c>
      <c r="J30" s="48"/>
      <c r="K30" s="51"/>
      <c r="L30" s="51"/>
      <c r="M30" s="51"/>
      <c r="N30" s="51"/>
      <c r="O30" s="48"/>
      <c r="P30" s="48"/>
      <c r="Q30" s="7"/>
      <c r="R30" s="7"/>
      <c r="S30" s="7"/>
    </row>
    <row r="31" spans="1:19" ht="15.75" customHeight="1" x14ac:dyDescent="0.4">
      <c r="A31" s="8" t="s">
        <v>1039</v>
      </c>
      <c r="B31" s="8" t="s">
        <v>1089</v>
      </c>
      <c r="C31" s="8" t="s">
        <v>1040</v>
      </c>
      <c r="D31" s="8" t="s">
        <v>1062</v>
      </c>
      <c r="E31" s="8" t="s">
        <v>21</v>
      </c>
      <c r="F31" s="8" t="s">
        <v>1520</v>
      </c>
      <c r="G31" s="8" t="s">
        <v>1520</v>
      </c>
      <c r="H31" s="23" t="str">
        <f t="shared" si="0"/>
        <v>Yes</v>
      </c>
      <c r="I31" s="7" t="str">
        <f t="shared" si="1"/>
        <v>TN</v>
      </c>
      <c r="J31" s="48"/>
      <c r="K31" s="51"/>
      <c r="L31" s="51"/>
      <c r="M31" s="51"/>
      <c r="N31" s="51"/>
      <c r="O31" s="48"/>
      <c r="P31" s="48"/>
      <c r="Q31" s="7"/>
      <c r="R31" s="7"/>
      <c r="S31" s="7"/>
    </row>
    <row r="32" spans="1:19" ht="15.75" customHeight="1" x14ac:dyDescent="0.4">
      <c r="A32" s="8" t="s">
        <v>1039</v>
      </c>
      <c r="B32" s="8" t="s">
        <v>1100</v>
      </c>
      <c r="C32" s="8" t="s">
        <v>1040</v>
      </c>
      <c r="D32" s="8" t="s">
        <v>1070</v>
      </c>
      <c r="E32" s="8" t="s">
        <v>21</v>
      </c>
      <c r="F32" s="8" t="s">
        <v>1520</v>
      </c>
      <c r="G32" s="8" t="s">
        <v>1520</v>
      </c>
      <c r="H32" s="23" t="str">
        <f t="shared" si="0"/>
        <v>Yes</v>
      </c>
      <c r="I32" s="7" t="str">
        <f t="shared" si="1"/>
        <v>TN</v>
      </c>
      <c r="J32" s="48"/>
      <c r="K32" s="51"/>
      <c r="L32" s="51"/>
      <c r="M32" s="51"/>
      <c r="N32" s="51"/>
      <c r="O32" s="48"/>
      <c r="P32" s="48"/>
      <c r="Q32" s="7"/>
      <c r="R32" s="7"/>
      <c r="S32" s="7"/>
    </row>
    <row r="33" spans="1:19" ht="15.75" customHeight="1" x14ac:dyDescent="0.4">
      <c r="A33" s="8" t="s">
        <v>1068</v>
      </c>
      <c r="B33" s="8" t="s">
        <v>1089</v>
      </c>
      <c r="C33" s="8" t="s">
        <v>1033</v>
      </c>
      <c r="D33" s="8" t="s">
        <v>1062</v>
      </c>
      <c r="E33" s="8" t="s">
        <v>21</v>
      </c>
      <c r="F33" s="8" t="s">
        <v>1522</v>
      </c>
      <c r="G33" s="8" t="s">
        <v>1520</v>
      </c>
      <c r="H33" s="23" t="str">
        <f t="shared" si="0"/>
        <v>No</v>
      </c>
      <c r="I33" s="7" t="str">
        <f t="shared" si="1"/>
        <v>FN</v>
      </c>
      <c r="J33" s="48"/>
      <c r="K33" s="51"/>
      <c r="L33" s="51"/>
      <c r="M33" s="51"/>
      <c r="N33" s="51"/>
      <c r="O33" s="48"/>
      <c r="P33" s="48"/>
      <c r="Q33" s="7"/>
      <c r="R33" s="7"/>
      <c r="S33" s="7"/>
    </row>
    <row r="34" spans="1:19" ht="15.75" customHeight="1" x14ac:dyDescent="0.4">
      <c r="A34" s="8" t="s">
        <v>1068</v>
      </c>
      <c r="B34" s="8" t="s">
        <v>1100</v>
      </c>
      <c r="C34" s="8" t="s">
        <v>1033</v>
      </c>
      <c r="D34" s="8" t="s">
        <v>1070</v>
      </c>
      <c r="E34" s="8" t="s">
        <v>21</v>
      </c>
      <c r="F34" s="8" t="s">
        <v>1522</v>
      </c>
      <c r="G34" s="8" t="s">
        <v>1520</v>
      </c>
      <c r="H34" s="23" t="str">
        <f t="shared" si="0"/>
        <v>No</v>
      </c>
      <c r="I34" s="7" t="str">
        <f t="shared" si="1"/>
        <v>FN</v>
      </c>
      <c r="J34" s="48"/>
      <c r="K34" s="51"/>
      <c r="L34" s="51"/>
      <c r="M34" s="51"/>
      <c r="N34" s="51"/>
      <c r="O34" s="48"/>
      <c r="P34" s="48"/>
      <c r="Q34" s="7"/>
      <c r="R34" s="7"/>
      <c r="S34" s="7"/>
    </row>
    <row r="35" spans="1:19" ht="15.75" customHeight="1" x14ac:dyDescent="0.4">
      <c r="A35" s="8" t="s">
        <v>1089</v>
      </c>
      <c r="B35" s="8" t="s">
        <v>1100</v>
      </c>
      <c r="C35" s="8" t="s">
        <v>1062</v>
      </c>
      <c r="D35" s="8" t="s">
        <v>1070</v>
      </c>
      <c r="E35" s="8" t="s">
        <v>21</v>
      </c>
      <c r="F35" s="8" t="s">
        <v>1522</v>
      </c>
      <c r="G35" s="8" t="s">
        <v>1520</v>
      </c>
      <c r="H35" s="23" t="str">
        <f t="shared" si="0"/>
        <v>No</v>
      </c>
      <c r="I35" s="7" t="str">
        <f t="shared" si="1"/>
        <v>FN</v>
      </c>
      <c r="J35" s="48"/>
      <c r="K35" s="51"/>
      <c r="L35" s="51"/>
      <c r="M35" s="51"/>
      <c r="N35" s="51"/>
      <c r="O35" s="48"/>
      <c r="P35" s="48"/>
      <c r="Q35" s="7"/>
      <c r="R35" s="7"/>
      <c r="S35" s="7"/>
    </row>
    <row r="36" spans="1:19" ht="15.75" customHeight="1" x14ac:dyDescent="0.4">
      <c r="A36" s="8" t="s">
        <v>27</v>
      </c>
      <c r="B36" s="8" t="s">
        <v>69</v>
      </c>
      <c r="C36" s="8" t="s">
        <v>28</v>
      </c>
      <c r="D36" s="8" t="s">
        <v>70</v>
      </c>
      <c r="E36" s="8" t="s">
        <v>29</v>
      </c>
      <c r="F36" s="8" t="s">
        <v>1520</v>
      </c>
      <c r="G36" s="8" t="s">
        <v>1520</v>
      </c>
      <c r="H36" s="23" t="str">
        <f t="shared" si="0"/>
        <v>Yes</v>
      </c>
      <c r="I36" s="7" t="str">
        <f t="shared" si="1"/>
        <v>TN</v>
      </c>
      <c r="J36" s="48"/>
      <c r="K36" s="51"/>
      <c r="L36" s="51"/>
      <c r="M36" s="51"/>
      <c r="N36" s="51"/>
      <c r="O36" s="48"/>
      <c r="P36" s="48"/>
      <c r="Q36" s="7"/>
      <c r="R36" s="7"/>
      <c r="S36" s="7"/>
    </row>
    <row r="37" spans="1:19" ht="15.45" x14ac:dyDescent="0.4">
      <c r="A37" s="8" t="s">
        <v>27</v>
      </c>
      <c r="B37" s="8" t="s">
        <v>96</v>
      </c>
      <c r="C37" s="8" t="s">
        <v>28</v>
      </c>
      <c r="D37" s="8" t="s">
        <v>8</v>
      </c>
      <c r="E37" s="8" t="s">
        <v>29</v>
      </c>
      <c r="F37" s="8" t="s">
        <v>1520</v>
      </c>
      <c r="G37" s="8" t="s">
        <v>1520</v>
      </c>
      <c r="H37" s="23" t="str">
        <f t="shared" si="0"/>
        <v>Yes</v>
      </c>
      <c r="I37" s="7" t="str">
        <f t="shared" si="1"/>
        <v>TN</v>
      </c>
      <c r="J37" s="48"/>
      <c r="K37" s="51"/>
      <c r="L37" s="51"/>
      <c r="M37" s="51"/>
      <c r="N37" s="51"/>
      <c r="O37" s="48"/>
      <c r="P37" s="48"/>
      <c r="Q37" s="7"/>
      <c r="R37" s="7"/>
      <c r="S37" s="7"/>
    </row>
    <row r="38" spans="1:19" ht="15.45" x14ac:dyDescent="0.4">
      <c r="A38" s="8" t="s">
        <v>27</v>
      </c>
      <c r="B38" s="8" t="s">
        <v>100</v>
      </c>
      <c r="C38" s="8" t="s">
        <v>28</v>
      </c>
      <c r="D38" s="8" t="s">
        <v>101</v>
      </c>
      <c r="E38" s="8" t="s">
        <v>29</v>
      </c>
      <c r="F38" s="8" t="s">
        <v>1520</v>
      </c>
      <c r="G38" s="8" t="s">
        <v>1520</v>
      </c>
      <c r="H38" s="23" t="str">
        <f t="shared" si="0"/>
        <v>Yes</v>
      </c>
      <c r="I38" s="7" t="str">
        <f t="shared" si="1"/>
        <v>TN</v>
      </c>
      <c r="J38" s="48"/>
      <c r="K38" s="51"/>
      <c r="L38" s="51"/>
      <c r="M38" s="51"/>
      <c r="N38" s="51"/>
      <c r="O38" s="48"/>
      <c r="P38" s="48"/>
      <c r="Q38" s="7"/>
      <c r="R38" s="7"/>
      <c r="S38" s="7"/>
    </row>
    <row r="39" spans="1:19" ht="15.45" x14ac:dyDescent="0.4">
      <c r="A39" s="8" t="s">
        <v>27</v>
      </c>
      <c r="B39" s="8" t="s">
        <v>1144</v>
      </c>
      <c r="C39" s="8" t="s">
        <v>28</v>
      </c>
      <c r="D39" s="8" t="s">
        <v>1145</v>
      </c>
      <c r="E39" s="8" t="s">
        <v>29</v>
      </c>
      <c r="F39" s="8" t="s">
        <v>1520</v>
      </c>
      <c r="G39" s="8" t="s">
        <v>1520</v>
      </c>
      <c r="H39" s="23" t="str">
        <f t="shared" si="0"/>
        <v>Yes</v>
      </c>
      <c r="I39" s="7" t="str">
        <f t="shared" si="1"/>
        <v>TN</v>
      </c>
      <c r="J39" s="48"/>
      <c r="K39" s="51"/>
      <c r="L39" s="51"/>
      <c r="M39" s="51"/>
      <c r="N39" s="51"/>
      <c r="O39" s="48"/>
      <c r="P39" s="48"/>
      <c r="Q39" s="7"/>
      <c r="R39" s="7"/>
      <c r="S39" s="7"/>
    </row>
    <row r="40" spans="1:19" ht="15.45" x14ac:dyDescent="0.4">
      <c r="A40" s="8" t="s">
        <v>27</v>
      </c>
      <c r="B40" s="8" t="s">
        <v>1194</v>
      </c>
      <c r="C40" s="8" t="s">
        <v>28</v>
      </c>
      <c r="D40" s="8" t="s">
        <v>1158</v>
      </c>
      <c r="E40" s="8" t="s">
        <v>29</v>
      </c>
      <c r="F40" s="8" t="s">
        <v>1520</v>
      </c>
      <c r="G40" s="8" t="s">
        <v>1520</v>
      </c>
      <c r="H40" s="23" t="str">
        <f t="shared" si="0"/>
        <v>Yes</v>
      </c>
      <c r="I40" s="7" t="str">
        <f t="shared" si="1"/>
        <v>TN</v>
      </c>
      <c r="J40" s="48"/>
      <c r="K40" s="51"/>
      <c r="L40" s="51"/>
      <c r="M40" s="51"/>
      <c r="N40" s="51"/>
      <c r="O40" s="48"/>
      <c r="P40" s="48"/>
      <c r="Q40" s="7"/>
      <c r="R40" s="7"/>
      <c r="S40" s="7"/>
    </row>
    <row r="41" spans="1:19" ht="15.45" x14ac:dyDescent="0.4">
      <c r="A41" s="8" t="s">
        <v>27</v>
      </c>
      <c r="B41" s="8" t="s">
        <v>1207</v>
      </c>
      <c r="C41" s="8" t="s">
        <v>28</v>
      </c>
      <c r="D41" s="8" t="s">
        <v>1156</v>
      </c>
      <c r="E41" s="8" t="s">
        <v>29</v>
      </c>
      <c r="F41" s="8" t="s">
        <v>1520</v>
      </c>
      <c r="G41" s="8" t="s">
        <v>1520</v>
      </c>
      <c r="H41" s="23" t="str">
        <f t="shared" si="0"/>
        <v>Yes</v>
      </c>
      <c r="I41" s="7" t="str">
        <f t="shared" si="1"/>
        <v>TN</v>
      </c>
      <c r="J41" s="48"/>
      <c r="K41" s="51"/>
      <c r="L41" s="51"/>
      <c r="M41" s="51"/>
      <c r="N41" s="51"/>
      <c r="O41" s="48"/>
      <c r="P41" s="48"/>
      <c r="Q41" s="7"/>
      <c r="R41" s="7"/>
      <c r="S41" s="7"/>
    </row>
    <row r="42" spans="1:19" ht="15.45" x14ac:dyDescent="0.4">
      <c r="A42" s="8" t="s">
        <v>27</v>
      </c>
      <c r="B42" s="8" t="s">
        <v>1254</v>
      </c>
      <c r="C42" s="8" t="s">
        <v>28</v>
      </c>
      <c r="D42" s="8" t="s">
        <v>1145</v>
      </c>
      <c r="E42" s="8" t="s">
        <v>29</v>
      </c>
      <c r="F42" s="8" t="s">
        <v>1520</v>
      </c>
      <c r="G42" s="8" t="s">
        <v>1520</v>
      </c>
      <c r="H42" s="23" t="str">
        <f t="shared" si="0"/>
        <v>Yes</v>
      </c>
      <c r="I42" s="7" t="str">
        <f t="shared" si="1"/>
        <v>TN</v>
      </c>
      <c r="J42" s="48"/>
      <c r="K42" s="51"/>
      <c r="L42" s="51"/>
      <c r="M42" s="51"/>
      <c r="N42" s="51"/>
      <c r="O42" s="48"/>
      <c r="P42" s="48"/>
      <c r="Q42" s="7"/>
      <c r="R42" s="7"/>
      <c r="S42" s="7"/>
    </row>
    <row r="43" spans="1:19" ht="15.45" x14ac:dyDescent="0.4">
      <c r="A43" s="8" t="s">
        <v>69</v>
      </c>
      <c r="B43" s="8" t="s">
        <v>96</v>
      </c>
      <c r="C43" s="8" t="s">
        <v>70</v>
      </c>
      <c r="D43" s="8" t="s">
        <v>8</v>
      </c>
      <c r="E43" s="8" t="s">
        <v>29</v>
      </c>
      <c r="F43" s="8" t="s">
        <v>1520</v>
      </c>
      <c r="G43" s="8" t="s">
        <v>1520</v>
      </c>
      <c r="H43" s="23" t="str">
        <f t="shared" si="0"/>
        <v>Yes</v>
      </c>
      <c r="I43" s="7" t="str">
        <f t="shared" si="1"/>
        <v>TN</v>
      </c>
      <c r="J43" s="48"/>
      <c r="K43" s="51"/>
      <c r="L43" s="51"/>
      <c r="M43" s="51"/>
      <c r="N43" s="51"/>
      <c r="O43" s="48"/>
      <c r="P43" s="48"/>
      <c r="Q43" s="7"/>
      <c r="R43" s="7"/>
      <c r="S43" s="7"/>
    </row>
    <row r="44" spans="1:19" ht="15.45" x14ac:dyDescent="0.4">
      <c r="A44" s="8" t="s">
        <v>69</v>
      </c>
      <c r="B44" s="8" t="s">
        <v>100</v>
      </c>
      <c r="C44" s="8" t="s">
        <v>70</v>
      </c>
      <c r="D44" s="8" t="s">
        <v>101</v>
      </c>
      <c r="E44" s="8" t="s">
        <v>29</v>
      </c>
      <c r="F44" s="8" t="s">
        <v>1520</v>
      </c>
      <c r="G44" s="8" t="s">
        <v>1520</v>
      </c>
      <c r="H44" s="23" t="str">
        <f t="shared" si="0"/>
        <v>Yes</v>
      </c>
      <c r="I44" s="7" t="str">
        <f t="shared" si="1"/>
        <v>TN</v>
      </c>
      <c r="J44" s="48"/>
      <c r="K44" s="51"/>
      <c r="L44" s="51"/>
      <c r="M44" s="51"/>
      <c r="N44" s="51"/>
      <c r="O44" s="48"/>
      <c r="P44" s="48"/>
      <c r="Q44" s="7"/>
      <c r="R44" s="7"/>
      <c r="S44" s="7"/>
    </row>
    <row r="45" spans="1:19" ht="15.45" x14ac:dyDescent="0.4">
      <c r="A45" s="8" t="s">
        <v>69</v>
      </c>
      <c r="B45" s="8" t="s">
        <v>1144</v>
      </c>
      <c r="C45" s="8" t="s">
        <v>70</v>
      </c>
      <c r="D45" s="8" t="s">
        <v>1145</v>
      </c>
      <c r="E45" s="8" t="s">
        <v>29</v>
      </c>
      <c r="F45" s="8" t="s">
        <v>1520</v>
      </c>
      <c r="G45" s="8" t="s">
        <v>1520</v>
      </c>
      <c r="H45" s="23" t="str">
        <f t="shared" si="0"/>
        <v>Yes</v>
      </c>
      <c r="I45" s="7" t="str">
        <f t="shared" si="1"/>
        <v>TN</v>
      </c>
      <c r="J45" s="48"/>
      <c r="K45" s="51"/>
      <c r="L45" s="51"/>
      <c r="M45" s="51"/>
      <c r="N45" s="51"/>
      <c r="O45" s="48"/>
      <c r="P45" s="48"/>
      <c r="Q45" s="7"/>
      <c r="R45" s="7"/>
      <c r="S45" s="7"/>
    </row>
    <row r="46" spans="1:19" ht="15.45" x14ac:dyDescent="0.4">
      <c r="A46" s="8" t="s">
        <v>69</v>
      </c>
      <c r="B46" s="8" t="s">
        <v>1194</v>
      </c>
      <c r="C46" s="8" t="s">
        <v>70</v>
      </c>
      <c r="D46" s="8" t="s">
        <v>1158</v>
      </c>
      <c r="E46" s="8" t="s">
        <v>29</v>
      </c>
      <c r="F46" s="8" t="s">
        <v>1520</v>
      </c>
      <c r="G46" s="8" t="s">
        <v>1520</v>
      </c>
      <c r="H46" s="23" t="str">
        <f t="shared" si="0"/>
        <v>Yes</v>
      </c>
      <c r="I46" s="7" t="str">
        <f t="shared" si="1"/>
        <v>TN</v>
      </c>
      <c r="J46" s="48"/>
      <c r="K46" s="51"/>
      <c r="L46" s="51"/>
      <c r="M46" s="51"/>
      <c r="N46" s="51"/>
      <c r="O46" s="48"/>
      <c r="P46" s="48"/>
      <c r="Q46" s="7"/>
      <c r="R46" s="7"/>
      <c r="S46" s="7"/>
    </row>
    <row r="47" spans="1:19" ht="15.45" x14ac:dyDescent="0.4">
      <c r="A47" s="8" t="s">
        <v>69</v>
      </c>
      <c r="B47" s="8" t="s">
        <v>1207</v>
      </c>
      <c r="C47" s="8" t="s">
        <v>70</v>
      </c>
      <c r="D47" s="8" t="s">
        <v>1156</v>
      </c>
      <c r="E47" s="8" t="s">
        <v>29</v>
      </c>
      <c r="F47" s="8" t="s">
        <v>1520</v>
      </c>
      <c r="G47" s="8" t="s">
        <v>1520</v>
      </c>
      <c r="H47" s="23" t="str">
        <f t="shared" si="0"/>
        <v>Yes</v>
      </c>
      <c r="I47" s="7" t="str">
        <f t="shared" si="1"/>
        <v>TN</v>
      </c>
      <c r="J47" s="48"/>
      <c r="K47" s="51"/>
      <c r="L47" s="51"/>
      <c r="M47" s="51"/>
      <c r="N47" s="51"/>
      <c r="O47" s="48"/>
      <c r="P47" s="48"/>
      <c r="Q47" s="7"/>
      <c r="R47" s="7"/>
      <c r="S47" s="7"/>
    </row>
    <row r="48" spans="1:19" ht="15.45" x14ac:dyDescent="0.4">
      <c r="A48" s="8" t="s">
        <v>69</v>
      </c>
      <c r="B48" s="8" t="s">
        <v>1254</v>
      </c>
      <c r="C48" s="8" t="s">
        <v>70</v>
      </c>
      <c r="D48" s="8" t="s">
        <v>1145</v>
      </c>
      <c r="E48" s="8" t="s">
        <v>29</v>
      </c>
      <c r="F48" s="8" t="s">
        <v>1520</v>
      </c>
      <c r="G48" s="8" t="s">
        <v>1520</v>
      </c>
      <c r="H48" s="23" t="str">
        <f t="shared" si="0"/>
        <v>Yes</v>
      </c>
      <c r="I48" s="7" t="str">
        <f t="shared" si="1"/>
        <v>TN</v>
      </c>
      <c r="J48" s="48"/>
      <c r="K48" s="51"/>
      <c r="L48" s="51"/>
      <c r="M48" s="51"/>
      <c r="N48" s="51"/>
      <c r="O48" s="48"/>
      <c r="P48" s="48"/>
      <c r="Q48" s="7"/>
      <c r="R48" s="7"/>
      <c r="S48" s="7"/>
    </row>
    <row r="49" spans="1:19" ht="15.45" x14ac:dyDescent="0.4">
      <c r="A49" s="8" t="s">
        <v>96</v>
      </c>
      <c r="B49" s="8" t="s">
        <v>100</v>
      </c>
      <c r="C49" s="8" t="s">
        <v>8</v>
      </c>
      <c r="D49" s="8" t="s">
        <v>101</v>
      </c>
      <c r="E49" s="8" t="s">
        <v>29</v>
      </c>
      <c r="F49" s="8" t="s">
        <v>1520</v>
      </c>
      <c r="G49" s="8" t="s">
        <v>1520</v>
      </c>
      <c r="H49" s="23" t="str">
        <f t="shared" si="0"/>
        <v>Yes</v>
      </c>
      <c r="I49" s="7" t="str">
        <f t="shared" si="1"/>
        <v>TN</v>
      </c>
      <c r="J49" s="48"/>
      <c r="K49" s="51"/>
      <c r="L49" s="51"/>
      <c r="M49" s="51"/>
      <c r="N49" s="51"/>
      <c r="O49" s="48"/>
      <c r="P49" s="48"/>
      <c r="Q49" s="7"/>
      <c r="R49" s="7"/>
      <c r="S49" s="7"/>
    </row>
    <row r="50" spans="1:19" ht="15.45" x14ac:dyDescent="0.4">
      <c r="A50" s="8" t="s">
        <v>96</v>
      </c>
      <c r="B50" s="8" t="s">
        <v>1144</v>
      </c>
      <c r="C50" s="8" t="s">
        <v>8</v>
      </c>
      <c r="D50" s="8" t="s">
        <v>1145</v>
      </c>
      <c r="E50" s="8" t="s">
        <v>29</v>
      </c>
      <c r="F50" s="8" t="s">
        <v>1520</v>
      </c>
      <c r="G50" s="8" t="s">
        <v>1520</v>
      </c>
      <c r="H50" s="23" t="str">
        <f t="shared" si="0"/>
        <v>Yes</v>
      </c>
      <c r="I50" s="7" t="str">
        <f t="shared" si="1"/>
        <v>TN</v>
      </c>
      <c r="J50" s="48"/>
      <c r="K50" s="51"/>
      <c r="L50" s="51"/>
      <c r="M50" s="51"/>
      <c r="N50" s="51"/>
      <c r="O50" s="48"/>
      <c r="P50" s="48"/>
      <c r="Q50" s="7"/>
      <c r="R50" s="7"/>
      <c r="S50" s="7"/>
    </row>
    <row r="51" spans="1:19" ht="15.45" x14ac:dyDescent="0.4">
      <c r="A51" s="8" t="s">
        <v>96</v>
      </c>
      <c r="B51" s="8" t="s">
        <v>1194</v>
      </c>
      <c r="C51" s="8" t="s">
        <v>8</v>
      </c>
      <c r="D51" s="8" t="s">
        <v>1158</v>
      </c>
      <c r="E51" s="8" t="s">
        <v>29</v>
      </c>
      <c r="F51" s="8" t="s">
        <v>1520</v>
      </c>
      <c r="G51" s="8" t="s">
        <v>1520</v>
      </c>
      <c r="H51" s="23" t="str">
        <f t="shared" si="0"/>
        <v>Yes</v>
      </c>
      <c r="I51" s="7" t="str">
        <f t="shared" si="1"/>
        <v>TN</v>
      </c>
      <c r="J51" s="48"/>
      <c r="K51" s="51"/>
      <c r="L51" s="51"/>
      <c r="M51" s="51"/>
      <c r="N51" s="51"/>
      <c r="O51" s="48"/>
      <c r="P51" s="48"/>
      <c r="Q51" s="7"/>
      <c r="R51" s="7"/>
      <c r="S51" s="7"/>
    </row>
    <row r="52" spans="1:19" ht="15.45" x14ac:dyDescent="0.4">
      <c r="A52" s="8" t="s">
        <v>96</v>
      </c>
      <c r="B52" s="8" t="s">
        <v>1207</v>
      </c>
      <c r="C52" s="8" t="s">
        <v>8</v>
      </c>
      <c r="D52" s="8" t="s">
        <v>1156</v>
      </c>
      <c r="E52" s="8" t="s">
        <v>29</v>
      </c>
      <c r="F52" s="8" t="s">
        <v>1520</v>
      </c>
      <c r="G52" s="8" t="s">
        <v>1520</v>
      </c>
      <c r="H52" s="23" t="str">
        <f t="shared" si="0"/>
        <v>Yes</v>
      </c>
      <c r="I52" s="7" t="str">
        <f t="shared" si="1"/>
        <v>TN</v>
      </c>
      <c r="J52" s="48"/>
      <c r="K52" s="51"/>
      <c r="L52" s="51"/>
      <c r="M52" s="51"/>
      <c r="N52" s="51"/>
      <c r="O52" s="48"/>
      <c r="P52" s="48"/>
      <c r="Q52" s="7"/>
      <c r="R52" s="7"/>
      <c r="S52" s="7"/>
    </row>
    <row r="53" spans="1:19" ht="15.45" x14ac:dyDescent="0.4">
      <c r="A53" s="8" t="s">
        <v>96</v>
      </c>
      <c r="B53" s="8" t="s">
        <v>1254</v>
      </c>
      <c r="C53" s="8" t="s">
        <v>8</v>
      </c>
      <c r="D53" s="8" t="s">
        <v>1145</v>
      </c>
      <c r="E53" s="8" t="s">
        <v>29</v>
      </c>
      <c r="F53" s="8" t="s">
        <v>1520</v>
      </c>
      <c r="G53" s="8" t="s">
        <v>1520</v>
      </c>
      <c r="H53" s="23" t="str">
        <f t="shared" si="0"/>
        <v>Yes</v>
      </c>
      <c r="I53" s="7" t="str">
        <f t="shared" si="1"/>
        <v>TN</v>
      </c>
      <c r="J53" s="48"/>
      <c r="K53" s="51"/>
      <c r="L53" s="51"/>
      <c r="M53" s="51"/>
      <c r="N53" s="51"/>
      <c r="O53" s="48"/>
      <c r="P53" s="48"/>
      <c r="Q53" s="7"/>
      <c r="R53" s="7"/>
      <c r="S53" s="7"/>
    </row>
    <row r="54" spans="1:19" ht="15.45" x14ac:dyDescent="0.4">
      <c r="A54" s="8" t="s">
        <v>100</v>
      </c>
      <c r="B54" s="8" t="s">
        <v>1144</v>
      </c>
      <c r="C54" s="8" t="s">
        <v>101</v>
      </c>
      <c r="D54" s="8" t="s">
        <v>1145</v>
      </c>
      <c r="E54" s="8" t="s">
        <v>29</v>
      </c>
      <c r="F54" s="8" t="s">
        <v>1520</v>
      </c>
      <c r="G54" s="8" t="s">
        <v>1520</v>
      </c>
      <c r="H54" s="23" t="str">
        <f t="shared" si="0"/>
        <v>Yes</v>
      </c>
      <c r="I54" s="7" t="str">
        <f t="shared" si="1"/>
        <v>TN</v>
      </c>
      <c r="J54" s="48"/>
      <c r="K54" s="51"/>
      <c r="L54" s="51"/>
      <c r="M54" s="51"/>
      <c r="N54" s="51"/>
      <c r="O54" s="48"/>
      <c r="P54" s="48"/>
      <c r="Q54" s="7"/>
      <c r="R54" s="7"/>
      <c r="S54" s="7"/>
    </row>
    <row r="55" spans="1:19" ht="15.45" x14ac:dyDescent="0.4">
      <c r="A55" s="8" t="s">
        <v>100</v>
      </c>
      <c r="B55" s="8" t="s">
        <v>1194</v>
      </c>
      <c r="C55" s="8" t="s">
        <v>101</v>
      </c>
      <c r="D55" s="8" t="s">
        <v>1158</v>
      </c>
      <c r="E55" s="8" t="s">
        <v>29</v>
      </c>
      <c r="F55" s="8" t="s">
        <v>1520</v>
      </c>
      <c r="G55" s="8" t="s">
        <v>1520</v>
      </c>
      <c r="H55" s="23" t="str">
        <f t="shared" si="0"/>
        <v>Yes</v>
      </c>
      <c r="I55" s="7" t="str">
        <f t="shared" si="1"/>
        <v>TN</v>
      </c>
      <c r="J55" s="48"/>
      <c r="K55" s="51"/>
      <c r="L55" s="51"/>
      <c r="M55" s="51"/>
      <c r="N55" s="51"/>
      <c r="O55" s="48"/>
      <c r="P55" s="48"/>
      <c r="Q55" s="7"/>
      <c r="R55" s="7"/>
      <c r="S55" s="7"/>
    </row>
    <row r="56" spans="1:19" ht="15.45" x14ac:dyDescent="0.4">
      <c r="A56" s="8" t="s">
        <v>100</v>
      </c>
      <c r="B56" s="8" t="s">
        <v>1207</v>
      </c>
      <c r="C56" s="8" t="s">
        <v>101</v>
      </c>
      <c r="D56" s="8" t="s">
        <v>1156</v>
      </c>
      <c r="E56" s="8" t="s">
        <v>29</v>
      </c>
      <c r="F56" s="8" t="s">
        <v>1520</v>
      </c>
      <c r="G56" s="8" t="s">
        <v>1520</v>
      </c>
      <c r="H56" s="23" t="str">
        <f t="shared" si="0"/>
        <v>Yes</v>
      </c>
      <c r="I56" s="7" t="str">
        <f t="shared" si="1"/>
        <v>TN</v>
      </c>
      <c r="J56" s="48"/>
      <c r="K56" s="51"/>
      <c r="L56" s="51"/>
      <c r="M56" s="51"/>
      <c r="N56" s="51"/>
      <c r="O56" s="48"/>
      <c r="P56" s="48"/>
      <c r="Q56" s="7"/>
      <c r="R56" s="7"/>
      <c r="S56" s="7"/>
    </row>
    <row r="57" spans="1:19" ht="15.45" x14ac:dyDescent="0.4">
      <c r="A57" s="8" t="s">
        <v>100</v>
      </c>
      <c r="B57" s="8" t="s">
        <v>1254</v>
      </c>
      <c r="C57" s="8" t="s">
        <v>101</v>
      </c>
      <c r="D57" s="8" t="s">
        <v>1145</v>
      </c>
      <c r="E57" s="8" t="s">
        <v>29</v>
      </c>
      <c r="F57" s="8" t="s">
        <v>1520</v>
      </c>
      <c r="G57" s="8" t="s">
        <v>1520</v>
      </c>
      <c r="H57" s="23" t="str">
        <f t="shared" si="0"/>
        <v>Yes</v>
      </c>
      <c r="I57" s="7" t="str">
        <f t="shared" si="1"/>
        <v>TN</v>
      </c>
      <c r="J57" s="48"/>
      <c r="K57" s="51"/>
      <c r="L57" s="51"/>
      <c r="M57" s="51"/>
      <c r="N57" s="51"/>
      <c r="O57" s="48"/>
      <c r="P57" s="48"/>
      <c r="Q57" s="7"/>
      <c r="R57" s="7"/>
      <c r="S57" s="7"/>
    </row>
    <row r="58" spans="1:19" ht="15.45" x14ac:dyDescent="0.4">
      <c r="A58" s="8" t="s">
        <v>1144</v>
      </c>
      <c r="B58" s="8" t="s">
        <v>1194</v>
      </c>
      <c r="C58" s="8" t="s">
        <v>1145</v>
      </c>
      <c r="D58" s="8" t="s">
        <v>1158</v>
      </c>
      <c r="E58" s="8" t="s">
        <v>29</v>
      </c>
      <c r="F58" s="8" t="s">
        <v>1522</v>
      </c>
      <c r="G58" s="8" t="s">
        <v>1520</v>
      </c>
      <c r="H58" s="23" t="str">
        <f t="shared" si="0"/>
        <v>No</v>
      </c>
      <c r="I58" s="7" t="str">
        <f t="shared" si="1"/>
        <v>FN</v>
      </c>
      <c r="J58" s="48"/>
      <c r="K58" s="51"/>
      <c r="L58" s="51"/>
      <c r="M58" s="51"/>
      <c r="N58" s="51"/>
      <c r="O58" s="48"/>
      <c r="P58" s="48"/>
      <c r="Q58" s="7"/>
      <c r="R58" s="7"/>
      <c r="S58" s="7"/>
    </row>
    <row r="59" spans="1:19" ht="15.45" x14ac:dyDescent="0.4">
      <c r="A59" s="8" t="s">
        <v>1144</v>
      </c>
      <c r="B59" s="8" t="s">
        <v>1207</v>
      </c>
      <c r="C59" s="8" t="s">
        <v>1145</v>
      </c>
      <c r="D59" s="8" t="s">
        <v>1156</v>
      </c>
      <c r="E59" s="8" t="s">
        <v>29</v>
      </c>
      <c r="F59" s="8" t="s">
        <v>1522</v>
      </c>
      <c r="G59" s="8" t="s">
        <v>1520</v>
      </c>
      <c r="H59" s="23" t="str">
        <f t="shared" si="0"/>
        <v>No</v>
      </c>
      <c r="I59" s="7" t="str">
        <f t="shared" si="1"/>
        <v>FN</v>
      </c>
      <c r="J59" s="48"/>
      <c r="K59" s="51"/>
      <c r="L59" s="51"/>
      <c r="M59" s="51"/>
      <c r="N59" s="51"/>
      <c r="O59" s="48"/>
      <c r="P59" s="48"/>
      <c r="Q59" s="7"/>
      <c r="R59" s="7"/>
      <c r="S59" s="7"/>
    </row>
    <row r="60" spans="1:19" ht="15.45" x14ac:dyDescent="0.4">
      <c r="A60" s="8" t="s">
        <v>1144</v>
      </c>
      <c r="B60" s="8" t="s">
        <v>1254</v>
      </c>
      <c r="C60" s="8" t="s">
        <v>1145</v>
      </c>
      <c r="D60" s="8" t="s">
        <v>1145</v>
      </c>
      <c r="E60" s="8" t="s">
        <v>29</v>
      </c>
      <c r="F60" s="8" t="s">
        <v>1520</v>
      </c>
      <c r="G60" s="8" t="s">
        <v>1520</v>
      </c>
      <c r="H60" s="23" t="str">
        <f t="shared" si="0"/>
        <v>Yes</v>
      </c>
      <c r="I60" s="7" t="str">
        <f t="shared" si="1"/>
        <v>TN</v>
      </c>
      <c r="J60" s="48"/>
      <c r="K60" s="51"/>
      <c r="L60" s="51"/>
      <c r="M60" s="51"/>
      <c r="N60" s="51"/>
      <c r="O60" s="48"/>
      <c r="P60" s="48"/>
      <c r="Q60" s="7"/>
      <c r="R60" s="7"/>
      <c r="S60" s="7"/>
    </row>
    <row r="61" spans="1:19" ht="15.45" x14ac:dyDescent="0.4">
      <c r="A61" s="8" t="s">
        <v>1194</v>
      </c>
      <c r="B61" s="8" t="s">
        <v>1207</v>
      </c>
      <c r="C61" s="8" t="s">
        <v>1158</v>
      </c>
      <c r="D61" s="8" t="s">
        <v>1156</v>
      </c>
      <c r="E61" s="8" t="s">
        <v>29</v>
      </c>
      <c r="F61" s="8" t="s">
        <v>1522</v>
      </c>
      <c r="G61" s="8" t="s">
        <v>1520</v>
      </c>
      <c r="H61" s="23" t="str">
        <f t="shared" si="0"/>
        <v>No</v>
      </c>
      <c r="I61" s="7" t="str">
        <f t="shared" si="1"/>
        <v>FN</v>
      </c>
      <c r="J61" s="48"/>
      <c r="K61" s="51"/>
      <c r="L61" s="51"/>
      <c r="M61" s="51"/>
      <c r="N61" s="51"/>
      <c r="O61" s="48"/>
      <c r="P61" s="48"/>
      <c r="Q61" s="7"/>
      <c r="R61" s="7"/>
      <c r="S61" s="7"/>
    </row>
    <row r="62" spans="1:19" ht="15.45" x14ac:dyDescent="0.4">
      <c r="A62" s="8" t="s">
        <v>1194</v>
      </c>
      <c r="B62" s="8" t="s">
        <v>1254</v>
      </c>
      <c r="C62" s="8" t="s">
        <v>1158</v>
      </c>
      <c r="D62" s="8" t="s">
        <v>1145</v>
      </c>
      <c r="E62" s="8" t="s">
        <v>29</v>
      </c>
      <c r="F62" s="8" t="s">
        <v>1522</v>
      </c>
      <c r="G62" s="8" t="s">
        <v>1520</v>
      </c>
      <c r="H62" s="23" t="str">
        <f t="shared" si="0"/>
        <v>No</v>
      </c>
      <c r="I62" s="7" t="str">
        <f t="shared" si="1"/>
        <v>FN</v>
      </c>
      <c r="J62" s="48"/>
      <c r="K62" s="51"/>
      <c r="L62" s="51"/>
      <c r="M62" s="51"/>
      <c r="N62" s="51"/>
      <c r="O62" s="48"/>
      <c r="P62" s="48"/>
      <c r="Q62" s="7"/>
      <c r="R62" s="7"/>
      <c r="S62" s="7"/>
    </row>
    <row r="63" spans="1:19" ht="15.45" x14ac:dyDescent="0.4">
      <c r="A63" s="8" t="s">
        <v>1207</v>
      </c>
      <c r="B63" s="8" t="s">
        <v>1254</v>
      </c>
      <c r="C63" s="8" t="s">
        <v>1156</v>
      </c>
      <c r="D63" s="8" t="s">
        <v>1145</v>
      </c>
      <c r="E63" s="8" t="s">
        <v>29</v>
      </c>
      <c r="F63" s="8" t="s">
        <v>1522</v>
      </c>
      <c r="G63" s="8" t="s">
        <v>1520</v>
      </c>
      <c r="H63" s="23" t="str">
        <f t="shared" si="0"/>
        <v>No</v>
      </c>
      <c r="I63" s="7" t="str">
        <f t="shared" si="1"/>
        <v>FN</v>
      </c>
      <c r="J63" s="48"/>
      <c r="K63" s="51"/>
      <c r="L63" s="51"/>
      <c r="M63" s="51"/>
      <c r="N63" s="51"/>
      <c r="O63" s="48"/>
      <c r="P63" s="48"/>
      <c r="Q63" s="7"/>
      <c r="R63" s="7"/>
      <c r="S63" s="7"/>
    </row>
    <row r="64" spans="1:19" ht="15.45" x14ac:dyDescent="0.4">
      <c r="A64" s="8" t="s">
        <v>1065</v>
      </c>
      <c r="B64" s="8" t="s">
        <v>1134</v>
      </c>
      <c r="C64" s="8" t="s">
        <v>1062</v>
      </c>
      <c r="D64" s="8" t="s">
        <v>1070</v>
      </c>
      <c r="E64" s="8" t="s">
        <v>18</v>
      </c>
      <c r="F64" s="8" t="s">
        <v>1522</v>
      </c>
      <c r="G64" s="8" t="s">
        <v>1522</v>
      </c>
      <c r="H64" s="23" t="str">
        <f t="shared" si="0"/>
        <v>Yes</v>
      </c>
      <c r="I64" s="7" t="str">
        <f t="shared" si="1"/>
        <v>TP</v>
      </c>
      <c r="J64" s="48"/>
      <c r="K64" s="51"/>
      <c r="L64" s="51"/>
      <c r="M64" s="51"/>
      <c r="N64" s="51"/>
      <c r="O64" s="48"/>
      <c r="P64" s="48"/>
      <c r="Q64" s="7"/>
      <c r="R64" s="7"/>
      <c r="S64" s="7"/>
    </row>
    <row r="65" spans="1:19" ht="15.45" x14ac:dyDescent="0.4">
      <c r="A65" s="8" t="s">
        <v>16</v>
      </c>
      <c r="B65" s="8" t="s">
        <v>48</v>
      </c>
      <c r="C65" s="8" t="s">
        <v>17</v>
      </c>
      <c r="D65" s="8" t="s">
        <v>49</v>
      </c>
      <c r="E65" s="8" t="s">
        <v>18</v>
      </c>
      <c r="F65" s="8" t="s">
        <v>1520</v>
      </c>
      <c r="G65" s="8" t="s">
        <v>1520</v>
      </c>
      <c r="H65" s="23" t="str">
        <f t="shared" si="0"/>
        <v>Yes</v>
      </c>
      <c r="I65" s="7" t="str">
        <f t="shared" si="1"/>
        <v>TN</v>
      </c>
      <c r="J65" s="48"/>
      <c r="K65" s="51"/>
      <c r="L65" s="51"/>
      <c r="M65" s="51"/>
      <c r="N65" s="51"/>
      <c r="O65" s="48"/>
      <c r="P65" s="48"/>
      <c r="Q65" s="7"/>
      <c r="R65" s="7"/>
      <c r="S65" s="7"/>
    </row>
    <row r="66" spans="1:19" ht="15.45" x14ac:dyDescent="0.4">
      <c r="A66" s="8" t="s">
        <v>16</v>
      </c>
      <c r="B66" s="8" t="s">
        <v>71</v>
      </c>
      <c r="C66" s="8" t="s">
        <v>17</v>
      </c>
      <c r="D66" s="8" t="s">
        <v>72</v>
      </c>
      <c r="E66" s="8" t="s">
        <v>18</v>
      </c>
      <c r="F66" s="8" t="s">
        <v>1520</v>
      </c>
      <c r="G66" s="8" t="s">
        <v>1520</v>
      </c>
      <c r="H66" s="23" t="str">
        <f t="shared" si="0"/>
        <v>Yes</v>
      </c>
      <c r="I66" s="7" t="str">
        <f t="shared" si="1"/>
        <v>TN</v>
      </c>
      <c r="J66" s="48"/>
      <c r="K66" s="51"/>
      <c r="L66" s="51"/>
      <c r="M66" s="51"/>
      <c r="N66" s="51"/>
      <c r="O66" s="48"/>
      <c r="P66" s="48"/>
      <c r="Q66" s="7"/>
      <c r="R66" s="7"/>
      <c r="S66" s="7"/>
    </row>
    <row r="67" spans="1:19" ht="15.45" x14ac:dyDescent="0.4">
      <c r="A67" s="8" t="s">
        <v>16</v>
      </c>
      <c r="B67" s="8" t="s">
        <v>92</v>
      </c>
      <c r="C67" s="8" t="s">
        <v>17</v>
      </c>
      <c r="D67" s="8" t="s">
        <v>93</v>
      </c>
      <c r="E67" s="8" t="s">
        <v>18</v>
      </c>
      <c r="F67" s="8" t="s">
        <v>1520</v>
      </c>
      <c r="G67" s="8" t="s">
        <v>1520</v>
      </c>
      <c r="H67" s="23" t="str">
        <f t="shared" si="0"/>
        <v>Yes</v>
      </c>
      <c r="I67" s="7" t="str">
        <f t="shared" si="1"/>
        <v>TN</v>
      </c>
      <c r="J67" s="48"/>
      <c r="K67" s="51"/>
      <c r="L67" s="51"/>
      <c r="M67" s="51"/>
      <c r="N67" s="51"/>
      <c r="O67" s="48"/>
      <c r="P67" s="48"/>
      <c r="Q67" s="7"/>
      <c r="R67" s="7"/>
      <c r="S67" s="7"/>
    </row>
    <row r="68" spans="1:19" ht="15.45" x14ac:dyDescent="0.4">
      <c r="A68" s="8" t="s">
        <v>16</v>
      </c>
      <c r="B68" s="8" t="s">
        <v>1065</v>
      </c>
      <c r="C68" s="8" t="s">
        <v>17</v>
      </c>
      <c r="D68" s="8" t="s">
        <v>1062</v>
      </c>
      <c r="E68" s="8" t="s">
        <v>18</v>
      </c>
      <c r="F68" s="8" t="s">
        <v>1520</v>
      </c>
      <c r="G68" s="8" t="s">
        <v>1520</v>
      </c>
      <c r="H68" s="23" t="str">
        <f t="shared" si="0"/>
        <v>Yes</v>
      </c>
      <c r="I68" s="7" t="str">
        <f t="shared" si="1"/>
        <v>TN</v>
      </c>
      <c r="J68" s="48"/>
      <c r="K68" s="51"/>
      <c r="L68" s="51"/>
      <c r="M68" s="51"/>
      <c r="N68" s="51"/>
      <c r="O68" s="48"/>
      <c r="P68" s="48"/>
      <c r="Q68" s="7"/>
      <c r="R68" s="7"/>
      <c r="S68" s="7"/>
    </row>
    <row r="69" spans="1:19" ht="15.45" x14ac:dyDescent="0.4">
      <c r="A69" s="8" t="s">
        <v>16</v>
      </c>
      <c r="B69" s="8" t="s">
        <v>1134</v>
      </c>
      <c r="C69" s="8" t="s">
        <v>17</v>
      </c>
      <c r="D69" s="8" t="s">
        <v>1070</v>
      </c>
      <c r="E69" s="8" t="s">
        <v>18</v>
      </c>
      <c r="F69" s="8" t="s">
        <v>1520</v>
      </c>
      <c r="G69" s="8" t="s">
        <v>1520</v>
      </c>
      <c r="H69" s="23" t="str">
        <f t="shared" si="0"/>
        <v>Yes</v>
      </c>
      <c r="I69" s="7" t="str">
        <f t="shared" si="1"/>
        <v>TN</v>
      </c>
      <c r="J69" s="48"/>
      <c r="K69" s="51"/>
      <c r="L69" s="51"/>
      <c r="M69" s="51"/>
      <c r="N69" s="51"/>
      <c r="O69" s="48"/>
      <c r="P69" s="48"/>
      <c r="Q69" s="7"/>
      <c r="R69" s="7"/>
      <c r="S69" s="7"/>
    </row>
    <row r="70" spans="1:19" ht="15.45" x14ac:dyDescent="0.4">
      <c r="A70" s="8" t="s">
        <v>48</v>
      </c>
      <c r="B70" s="8" t="s">
        <v>71</v>
      </c>
      <c r="C70" s="8" t="s">
        <v>49</v>
      </c>
      <c r="D70" s="8" t="s">
        <v>72</v>
      </c>
      <c r="E70" s="8" t="s">
        <v>18</v>
      </c>
      <c r="F70" s="8" t="s">
        <v>1520</v>
      </c>
      <c r="G70" s="8" t="s">
        <v>1520</v>
      </c>
      <c r="H70" s="23" t="str">
        <f t="shared" si="0"/>
        <v>Yes</v>
      </c>
      <c r="I70" s="7" t="str">
        <f t="shared" si="1"/>
        <v>TN</v>
      </c>
      <c r="J70" s="48"/>
      <c r="K70" s="51"/>
      <c r="L70" s="51"/>
      <c r="M70" s="51"/>
      <c r="N70" s="51"/>
      <c r="O70" s="48"/>
      <c r="P70" s="48"/>
      <c r="Q70" s="7"/>
      <c r="R70" s="7"/>
      <c r="S70" s="7"/>
    </row>
    <row r="71" spans="1:19" ht="15.45" x14ac:dyDescent="0.4">
      <c r="A71" s="8" t="s">
        <v>48</v>
      </c>
      <c r="B71" s="8" t="s">
        <v>92</v>
      </c>
      <c r="C71" s="8" t="s">
        <v>49</v>
      </c>
      <c r="D71" s="8" t="s">
        <v>93</v>
      </c>
      <c r="E71" s="8" t="s">
        <v>18</v>
      </c>
      <c r="F71" s="8" t="s">
        <v>1520</v>
      </c>
      <c r="G71" s="8" t="s">
        <v>1520</v>
      </c>
      <c r="H71" s="23" t="str">
        <f t="shared" si="0"/>
        <v>Yes</v>
      </c>
      <c r="I71" s="7" t="str">
        <f t="shared" si="1"/>
        <v>TN</v>
      </c>
      <c r="J71" s="48"/>
      <c r="K71" s="51"/>
      <c r="L71" s="51"/>
      <c r="M71" s="51"/>
      <c r="N71" s="51"/>
      <c r="O71" s="48"/>
      <c r="P71" s="48"/>
      <c r="Q71" s="7"/>
      <c r="R71" s="7"/>
      <c r="S71" s="7"/>
    </row>
    <row r="72" spans="1:19" ht="15.45" x14ac:dyDescent="0.4">
      <c r="A72" s="8" t="s">
        <v>48</v>
      </c>
      <c r="B72" s="8" t="s">
        <v>1065</v>
      </c>
      <c r="C72" s="8" t="s">
        <v>49</v>
      </c>
      <c r="D72" s="8" t="s">
        <v>1062</v>
      </c>
      <c r="E72" s="8" t="s">
        <v>18</v>
      </c>
      <c r="F72" s="8" t="s">
        <v>1520</v>
      </c>
      <c r="G72" s="8" t="s">
        <v>1520</v>
      </c>
      <c r="H72" s="23" t="str">
        <f t="shared" si="0"/>
        <v>Yes</v>
      </c>
      <c r="I72" s="7" t="str">
        <f t="shared" si="1"/>
        <v>TN</v>
      </c>
      <c r="J72" s="48"/>
      <c r="K72" s="51"/>
      <c r="L72" s="51"/>
      <c r="M72" s="51"/>
      <c r="N72" s="51"/>
      <c r="O72" s="48"/>
      <c r="P72" s="48"/>
      <c r="Q72" s="7"/>
      <c r="R72" s="7"/>
      <c r="S72" s="7"/>
    </row>
    <row r="73" spans="1:19" ht="15.45" x14ac:dyDescent="0.4">
      <c r="A73" s="8" t="s">
        <v>48</v>
      </c>
      <c r="B73" s="8" t="s">
        <v>1134</v>
      </c>
      <c r="C73" s="8" t="s">
        <v>49</v>
      </c>
      <c r="D73" s="8" t="s">
        <v>1070</v>
      </c>
      <c r="E73" s="8" t="s">
        <v>18</v>
      </c>
      <c r="F73" s="8" t="s">
        <v>1520</v>
      </c>
      <c r="G73" s="8" t="s">
        <v>1520</v>
      </c>
      <c r="H73" s="23" t="str">
        <f t="shared" si="0"/>
        <v>Yes</v>
      </c>
      <c r="I73" s="7" t="str">
        <f t="shared" si="1"/>
        <v>TN</v>
      </c>
      <c r="J73" s="48"/>
      <c r="K73" s="51"/>
      <c r="L73" s="51"/>
      <c r="M73" s="51"/>
      <c r="N73" s="51"/>
      <c r="O73" s="48"/>
      <c r="P73" s="48"/>
      <c r="Q73" s="7"/>
      <c r="R73" s="7"/>
      <c r="S73" s="7"/>
    </row>
    <row r="74" spans="1:19" ht="15.45" x14ac:dyDescent="0.4">
      <c r="A74" s="8" t="s">
        <v>71</v>
      </c>
      <c r="B74" s="8" t="s">
        <v>92</v>
      </c>
      <c r="C74" s="8" t="s">
        <v>72</v>
      </c>
      <c r="D74" s="8" t="s">
        <v>93</v>
      </c>
      <c r="E74" s="8" t="s">
        <v>18</v>
      </c>
      <c r="F74" s="8" t="s">
        <v>1520</v>
      </c>
      <c r="G74" s="8" t="s">
        <v>1520</v>
      </c>
      <c r="H74" s="23" t="str">
        <f t="shared" si="0"/>
        <v>Yes</v>
      </c>
      <c r="I74" s="7" t="str">
        <f t="shared" si="1"/>
        <v>TN</v>
      </c>
      <c r="J74" s="48"/>
      <c r="K74" s="51"/>
      <c r="L74" s="51"/>
      <c r="M74" s="51"/>
      <c r="N74" s="51"/>
      <c r="O74" s="48"/>
      <c r="P74" s="48"/>
      <c r="Q74" s="7"/>
      <c r="R74" s="7"/>
      <c r="S74" s="7"/>
    </row>
    <row r="75" spans="1:19" ht="15.45" x14ac:dyDescent="0.4">
      <c r="A75" s="8" t="s">
        <v>71</v>
      </c>
      <c r="B75" s="8" t="s">
        <v>1065</v>
      </c>
      <c r="C75" s="8" t="s">
        <v>72</v>
      </c>
      <c r="D75" s="8" t="s">
        <v>1062</v>
      </c>
      <c r="E75" s="8" t="s">
        <v>18</v>
      </c>
      <c r="F75" s="8" t="s">
        <v>1520</v>
      </c>
      <c r="G75" s="8" t="s">
        <v>1520</v>
      </c>
      <c r="H75" s="23" t="str">
        <f t="shared" si="0"/>
        <v>Yes</v>
      </c>
      <c r="I75" s="7" t="str">
        <f t="shared" si="1"/>
        <v>TN</v>
      </c>
      <c r="J75" s="48"/>
      <c r="K75" s="51"/>
      <c r="L75" s="51"/>
      <c r="M75" s="51"/>
      <c r="N75" s="51"/>
      <c r="O75" s="48"/>
      <c r="P75" s="48"/>
      <c r="Q75" s="7"/>
      <c r="R75" s="7"/>
      <c r="S75" s="7"/>
    </row>
    <row r="76" spans="1:19" ht="15.45" x14ac:dyDescent="0.4">
      <c r="A76" s="8" t="s">
        <v>71</v>
      </c>
      <c r="B76" s="8" t="s">
        <v>1134</v>
      </c>
      <c r="C76" s="8" t="s">
        <v>72</v>
      </c>
      <c r="D76" s="8" t="s">
        <v>1070</v>
      </c>
      <c r="E76" s="8" t="s">
        <v>18</v>
      </c>
      <c r="F76" s="8" t="s">
        <v>1520</v>
      </c>
      <c r="G76" s="8" t="s">
        <v>1520</v>
      </c>
      <c r="H76" s="23" t="str">
        <f t="shared" si="0"/>
        <v>Yes</v>
      </c>
      <c r="I76" s="7" t="str">
        <f t="shared" si="1"/>
        <v>TN</v>
      </c>
      <c r="J76" s="48"/>
      <c r="K76" s="51"/>
      <c r="L76" s="51"/>
      <c r="M76" s="51"/>
      <c r="N76" s="51"/>
      <c r="O76" s="48"/>
      <c r="P76" s="48"/>
      <c r="Q76" s="7"/>
      <c r="R76" s="7"/>
      <c r="S76" s="7"/>
    </row>
    <row r="77" spans="1:19" ht="15.45" x14ac:dyDescent="0.4">
      <c r="A77" s="8" t="s">
        <v>92</v>
      </c>
      <c r="B77" s="8" t="s">
        <v>1065</v>
      </c>
      <c r="C77" s="8" t="s">
        <v>93</v>
      </c>
      <c r="D77" s="8" t="s">
        <v>1062</v>
      </c>
      <c r="E77" s="8" t="s">
        <v>18</v>
      </c>
      <c r="F77" s="8" t="s">
        <v>1520</v>
      </c>
      <c r="G77" s="8" t="s">
        <v>1520</v>
      </c>
      <c r="H77" s="23" t="str">
        <f t="shared" si="0"/>
        <v>Yes</v>
      </c>
      <c r="I77" s="7" t="str">
        <f t="shared" si="1"/>
        <v>TN</v>
      </c>
      <c r="J77" s="48"/>
      <c r="K77" s="51"/>
      <c r="L77" s="51"/>
      <c r="M77" s="51"/>
      <c r="N77" s="51"/>
      <c r="O77" s="48"/>
      <c r="P77" s="48"/>
      <c r="Q77" s="7"/>
      <c r="R77" s="7"/>
      <c r="S77" s="7"/>
    </row>
    <row r="78" spans="1:19" ht="19.3" x14ac:dyDescent="0.5">
      <c r="A78" s="8" t="s">
        <v>92</v>
      </c>
      <c r="B78" s="8" t="s">
        <v>1134</v>
      </c>
      <c r="C78" s="8" t="s">
        <v>93</v>
      </c>
      <c r="D78" s="8" t="s">
        <v>1070</v>
      </c>
      <c r="E78" s="8" t="s">
        <v>18</v>
      </c>
      <c r="F78" s="8" t="s">
        <v>1520</v>
      </c>
      <c r="G78" s="8" t="s">
        <v>1520</v>
      </c>
      <c r="H78" s="23" t="str">
        <f t="shared" si="0"/>
        <v>Yes</v>
      </c>
      <c r="I78" s="7" t="str">
        <f t="shared" si="1"/>
        <v>TN</v>
      </c>
      <c r="J78" s="49"/>
      <c r="K78" s="50"/>
      <c r="L78" s="50"/>
      <c r="M78" s="50"/>
      <c r="N78" s="50"/>
      <c r="O78" s="50"/>
      <c r="P78" s="50"/>
      <c r="Q78" s="26"/>
      <c r="R78" s="26"/>
      <c r="S78" s="26"/>
    </row>
    <row r="79" spans="1:19" ht="15.45" x14ac:dyDescent="0.4">
      <c r="A79" s="8" t="s">
        <v>1069</v>
      </c>
      <c r="B79" s="8" t="s">
        <v>1097</v>
      </c>
      <c r="C79" s="8" t="s">
        <v>1070</v>
      </c>
      <c r="D79" s="8" t="s">
        <v>1038</v>
      </c>
      <c r="E79" s="8" t="s">
        <v>65</v>
      </c>
      <c r="F79" s="8" t="s">
        <v>1522</v>
      </c>
      <c r="G79" s="8" t="s">
        <v>1522</v>
      </c>
      <c r="H79" s="23" t="str">
        <f t="shared" si="0"/>
        <v>Yes</v>
      </c>
      <c r="I79" s="7" t="str">
        <f t="shared" si="1"/>
        <v>TP</v>
      </c>
      <c r="J79" s="48"/>
      <c r="K79" s="48"/>
      <c r="L79" s="48"/>
      <c r="M79" s="48"/>
      <c r="N79" s="48"/>
      <c r="O79" s="48"/>
      <c r="P79" s="48"/>
      <c r="Q79" s="7"/>
      <c r="R79" s="7"/>
      <c r="S79" s="7"/>
    </row>
    <row r="80" spans="1:19" ht="15.45" x14ac:dyDescent="0.4">
      <c r="A80" s="8" t="s">
        <v>1115</v>
      </c>
      <c r="B80" s="8" t="s">
        <v>1121</v>
      </c>
      <c r="C80" s="8" t="s">
        <v>1047</v>
      </c>
      <c r="D80" s="8" t="s">
        <v>1031</v>
      </c>
      <c r="E80" s="8" t="s">
        <v>65</v>
      </c>
      <c r="F80" s="8" t="s">
        <v>1522</v>
      </c>
      <c r="G80" s="8" t="s">
        <v>1522</v>
      </c>
      <c r="H80" s="23" t="str">
        <f t="shared" si="0"/>
        <v>Yes</v>
      </c>
      <c r="I80" s="7" t="str">
        <f t="shared" si="1"/>
        <v>TP</v>
      </c>
      <c r="J80" s="48"/>
      <c r="K80" s="48"/>
      <c r="L80" s="48"/>
      <c r="M80" s="48"/>
      <c r="N80" s="48"/>
      <c r="O80" s="48"/>
      <c r="P80" s="48"/>
      <c r="Q80" s="7"/>
      <c r="R80" s="7"/>
      <c r="S80" s="7"/>
    </row>
    <row r="81" spans="1:19" ht="15.45" x14ac:dyDescent="0.4">
      <c r="A81" s="8" t="s">
        <v>63</v>
      </c>
      <c r="B81" s="8" t="s">
        <v>73</v>
      </c>
      <c r="C81" s="8" t="s">
        <v>64</v>
      </c>
      <c r="D81" s="8" t="s">
        <v>74</v>
      </c>
      <c r="E81" s="8" t="s">
        <v>65</v>
      </c>
      <c r="F81" s="8" t="s">
        <v>1520</v>
      </c>
      <c r="G81" s="8" t="s">
        <v>1520</v>
      </c>
      <c r="H81" s="23" t="str">
        <f t="shared" si="0"/>
        <v>Yes</v>
      </c>
      <c r="I81" s="7" t="str">
        <f t="shared" si="1"/>
        <v>TN</v>
      </c>
      <c r="J81" s="48"/>
      <c r="K81" s="48"/>
      <c r="L81" s="48"/>
      <c r="M81" s="48"/>
      <c r="N81" s="48"/>
      <c r="O81" s="48"/>
      <c r="P81" s="48"/>
      <c r="Q81" s="7"/>
      <c r="R81" s="7"/>
      <c r="S81" s="7"/>
    </row>
    <row r="82" spans="1:19" ht="15.45" x14ac:dyDescent="0.4">
      <c r="A82" s="8" t="s">
        <v>63</v>
      </c>
      <c r="B82" s="8" t="s">
        <v>75</v>
      </c>
      <c r="C82" s="8" t="s">
        <v>64</v>
      </c>
      <c r="D82" s="8" t="s">
        <v>76</v>
      </c>
      <c r="E82" s="8" t="s">
        <v>65</v>
      </c>
      <c r="F82" s="8" t="s">
        <v>1520</v>
      </c>
      <c r="G82" s="8" t="s">
        <v>1520</v>
      </c>
      <c r="H82" s="23" t="str">
        <f t="shared" si="0"/>
        <v>Yes</v>
      </c>
      <c r="I82" s="7" t="str">
        <f t="shared" si="1"/>
        <v>TN</v>
      </c>
      <c r="J82" s="48"/>
      <c r="K82" s="48"/>
      <c r="L82" s="48"/>
      <c r="M82" s="48"/>
      <c r="N82" s="48"/>
      <c r="O82" s="48"/>
      <c r="P82" s="48"/>
      <c r="Q82" s="7"/>
      <c r="R82" s="7"/>
      <c r="S82" s="7"/>
    </row>
    <row r="83" spans="1:19" ht="15.45" x14ac:dyDescent="0.4">
      <c r="A83" s="8" t="s">
        <v>63</v>
      </c>
      <c r="B83" s="8" t="s">
        <v>89</v>
      </c>
      <c r="C83" s="8" t="s">
        <v>64</v>
      </c>
      <c r="D83" s="8" t="s">
        <v>90</v>
      </c>
      <c r="E83" s="8" t="s">
        <v>65</v>
      </c>
      <c r="F83" s="8" t="s">
        <v>1520</v>
      </c>
      <c r="G83" s="8" t="s">
        <v>1520</v>
      </c>
      <c r="H83" s="23" t="str">
        <f t="shared" si="0"/>
        <v>Yes</v>
      </c>
      <c r="I83" s="7" t="str">
        <f t="shared" si="1"/>
        <v>TN</v>
      </c>
      <c r="J83" s="48"/>
      <c r="K83" s="48"/>
      <c r="L83" s="48"/>
      <c r="M83" s="48"/>
      <c r="N83" s="48"/>
      <c r="O83" s="48"/>
      <c r="P83" s="48"/>
      <c r="Q83" s="7"/>
      <c r="R83" s="7"/>
      <c r="S83" s="7"/>
    </row>
    <row r="84" spans="1:19" ht="15.45" x14ac:dyDescent="0.4">
      <c r="A84" s="8" t="s">
        <v>63</v>
      </c>
      <c r="B84" s="8" t="s">
        <v>1069</v>
      </c>
      <c r="C84" s="8" t="s">
        <v>64</v>
      </c>
      <c r="D84" s="8" t="s">
        <v>1070</v>
      </c>
      <c r="E84" s="8" t="s">
        <v>65</v>
      </c>
      <c r="F84" s="8" t="s">
        <v>1520</v>
      </c>
      <c r="G84" s="8" t="s">
        <v>1520</v>
      </c>
      <c r="H84" s="23" t="str">
        <f t="shared" si="0"/>
        <v>Yes</v>
      </c>
      <c r="I84" s="7" t="str">
        <f t="shared" si="1"/>
        <v>TN</v>
      </c>
      <c r="J84" s="48"/>
      <c r="K84" s="48"/>
      <c r="L84" s="48"/>
      <c r="M84" s="48"/>
      <c r="N84" s="48"/>
      <c r="O84" s="48"/>
      <c r="P84" s="48"/>
      <c r="Q84" s="7"/>
      <c r="R84" s="7"/>
      <c r="S84" s="7"/>
    </row>
    <row r="85" spans="1:19" ht="15.45" x14ac:dyDescent="0.4">
      <c r="A85" s="8" t="s">
        <v>63</v>
      </c>
      <c r="B85" s="8" t="s">
        <v>1097</v>
      </c>
      <c r="C85" s="8" t="s">
        <v>64</v>
      </c>
      <c r="D85" s="8" t="s">
        <v>1038</v>
      </c>
      <c r="E85" s="8" t="s">
        <v>65</v>
      </c>
      <c r="F85" s="8" t="s">
        <v>1520</v>
      </c>
      <c r="G85" s="8" t="s">
        <v>1520</v>
      </c>
      <c r="H85" s="23" t="str">
        <f t="shared" si="0"/>
        <v>Yes</v>
      </c>
      <c r="I85" s="7" t="str">
        <f t="shared" si="1"/>
        <v>TN</v>
      </c>
      <c r="J85" s="48"/>
      <c r="K85" s="48"/>
      <c r="L85" s="48"/>
      <c r="M85" s="48"/>
      <c r="N85" s="48"/>
      <c r="O85" s="48"/>
      <c r="P85" s="48"/>
      <c r="Q85" s="7"/>
      <c r="R85" s="7"/>
      <c r="S85" s="7"/>
    </row>
    <row r="86" spans="1:19" ht="15.45" x14ac:dyDescent="0.4">
      <c r="A86" s="8" t="s">
        <v>63</v>
      </c>
      <c r="B86" s="8" t="s">
        <v>1115</v>
      </c>
      <c r="C86" s="8" t="s">
        <v>64</v>
      </c>
      <c r="D86" s="8" t="s">
        <v>1047</v>
      </c>
      <c r="E86" s="8" t="s">
        <v>65</v>
      </c>
      <c r="F86" s="8" t="s">
        <v>1520</v>
      </c>
      <c r="G86" s="8" t="s">
        <v>1520</v>
      </c>
      <c r="H86" s="23" t="str">
        <f t="shared" si="0"/>
        <v>Yes</v>
      </c>
      <c r="I86" s="7" t="str">
        <f t="shared" si="1"/>
        <v>TN</v>
      </c>
      <c r="J86" s="48"/>
      <c r="K86" s="48"/>
      <c r="L86" s="48"/>
      <c r="M86" s="48"/>
      <c r="N86" s="48"/>
      <c r="O86" s="48"/>
      <c r="P86" s="48"/>
      <c r="Q86" s="7"/>
      <c r="R86" s="7"/>
      <c r="S86" s="7"/>
    </row>
    <row r="87" spans="1:19" ht="15.45" x14ac:dyDescent="0.4">
      <c r="A87" s="8" t="s">
        <v>63</v>
      </c>
      <c r="B87" s="8" t="s">
        <v>1121</v>
      </c>
      <c r="C87" s="8" t="s">
        <v>64</v>
      </c>
      <c r="D87" s="8" t="s">
        <v>1031</v>
      </c>
      <c r="E87" s="8" t="s">
        <v>65</v>
      </c>
      <c r="F87" s="8" t="s">
        <v>1520</v>
      </c>
      <c r="G87" s="8" t="s">
        <v>1520</v>
      </c>
      <c r="H87" s="23" t="str">
        <f t="shared" si="0"/>
        <v>Yes</v>
      </c>
      <c r="I87" s="7" t="str">
        <f t="shared" si="1"/>
        <v>TN</v>
      </c>
      <c r="J87" s="48"/>
      <c r="K87" s="48"/>
      <c r="L87" s="48"/>
      <c r="M87" s="48"/>
      <c r="N87" s="48"/>
      <c r="O87" s="48"/>
      <c r="P87" s="48"/>
      <c r="Q87" s="7"/>
      <c r="R87" s="7"/>
      <c r="S87" s="7"/>
    </row>
    <row r="88" spans="1:19" ht="15.45" x14ac:dyDescent="0.4">
      <c r="A88" s="8" t="s">
        <v>73</v>
      </c>
      <c r="B88" s="8" t="s">
        <v>75</v>
      </c>
      <c r="C88" s="8" t="s">
        <v>74</v>
      </c>
      <c r="D88" s="8" t="s">
        <v>76</v>
      </c>
      <c r="E88" s="8" t="s">
        <v>65</v>
      </c>
      <c r="F88" s="8" t="s">
        <v>1520</v>
      </c>
      <c r="G88" s="8" t="s">
        <v>1520</v>
      </c>
      <c r="H88" s="23" t="str">
        <f t="shared" si="0"/>
        <v>Yes</v>
      </c>
      <c r="I88" s="7" t="str">
        <f t="shared" si="1"/>
        <v>TN</v>
      </c>
      <c r="J88" s="48"/>
      <c r="K88" s="48"/>
      <c r="L88" s="48"/>
      <c r="M88" s="48"/>
      <c r="N88" s="48"/>
      <c r="O88" s="48"/>
      <c r="P88" s="48"/>
      <c r="Q88" s="7"/>
      <c r="R88" s="7"/>
      <c r="S88" s="7"/>
    </row>
    <row r="89" spans="1:19" ht="15.45" x14ac:dyDescent="0.4">
      <c r="A89" s="8" t="s">
        <v>73</v>
      </c>
      <c r="B89" s="8" t="s">
        <v>89</v>
      </c>
      <c r="C89" s="8" t="s">
        <v>74</v>
      </c>
      <c r="D89" s="8" t="s">
        <v>90</v>
      </c>
      <c r="E89" s="8" t="s">
        <v>65</v>
      </c>
      <c r="F89" s="8" t="s">
        <v>1520</v>
      </c>
      <c r="G89" s="8" t="s">
        <v>1520</v>
      </c>
      <c r="H89" s="23" t="str">
        <f t="shared" si="0"/>
        <v>Yes</v>
      </c>
      <c r="I89" s="7" t="str">
        <f t="shared" si="1"/>
        <v>TN</v>
      </c>
      <c r="J89" s="48"/>
      <c r="K89" s="48"/>
      <c r="L89" s="48"/>
      <c r="M89" s="48"/>
      <c r="N89" s="48"/>
      <c r="O89" s="48"/>
      <c r="P89" s="48"/>
      <c r="Q89" s="7"/>
      <c r="R89" s="7"/>
      <c r="S89" s="7"/>
    </row>
    <row r="90" spans="1:19" ht="15.45" x14ac:dyDescent="0.4">
      <c r="A90" s="8" t="s">
        <v>73</v>
      </c>
      <c r="B90" s="8" t="s">
        <v>1069</v>
      </c>
      <c r="C90" s="8" t="s">
        <v>74</v>
      </c>
      <c r="D90" s="8" t="s">
        <v>1070</v>
      </c>
      <c r="E90" s="8" t="s">
        <v>65</v>
      </c>
      <c r="F90" s="8" t="s">
        <v>1520</v>
      </c>
      <c r="G90" s="8" t="s">
        <v>1520</v>
      </c>
      <c r="H90" s="23" t="str">
        <f t="shared" si="0"/>
        <v>Yes</v>
      </c>
      <c r="I90" s="7" t="str">
        <f t="shared" si="1"/>
        <v>TN</v>
      </c>
      <c r="J90" s="48"/>
      <c r="K90" s="48"/>
      <c r="L90" s="48"/>
      <c r="M90" s="48"/>
      <c r="N90" s="48"/>
      <c r="O90" s="48"/>
      <c r="P90" s="48"/>
      <c r="Q90" s="7"/>
      <c r="R90" s="7"/>
      <c r="S90" s="7"/>
    </row>
    <row r="91" spans="1:19" ht="15.45" x14ac:dyDescent="0.4">
      <c r="A91" s="8" t="s">
        <v>73</v>
      </c>
      <c r="B91" s="8" t="s">
        <v>1097</v>
      </c>
      <c r="C91" s="8" t="s">
        <v>74</v>
      </c>
      <c r="D91" s="8" t="s">
        <v>1038</v>
      </c>
      <c r="E91" s="8" t="s">
        <v>65</v>
      </c>
      <c r="F91" s="8" t="s">
        <v>1520</v>
      </c>
      <c r="G91" s="8" t="s">
        <v>1520</v>
      </c>
      <c r="H91" s="23" t="str">
        <f t="shared" si="0"/>
        <v>Yes</v>
      </c>
      <c r="I91" s="7" t="str">
        <f t="shared" si="1"/>
        <v>TN</v>
      </c>
      <c r="J91" s="48"/>
      <c r="K91" s="48"/>
      <c r="L91" s="48"/>
      <c r="M91" s="48"/>
      <c r="N91" s="48"/>
      <c r="O91" s="48"/>
      <c r="P91" s="48"/>
      <c r="Q91" s="7"/>
      <c r="R91" s="7"/>
      <c r="S91" s="7"/>
    </row>
    <row r="92" spans="1:19" ht="15.45" x14ac:dyDescent="0.4">
      <c r="A92" s="8" t="s">
        <v>73</v>
      </c>
      <c r="B92" s="8" t="s">
        <v>1115</v>
      </c>
      <c r="C92" s="8" t="s">
        <v>74</v>
      </c>
      <c r="D92" s="8" t="s">
        <v>1047</v>
      </c>
      <c r="E92" s="8" t="s">
        <v>65</v>
      </c>
      <c r="F92" s="8" t="s">
        <v>1520</v>
      </c>
      <c r="G92" s="8" t="s">
        <v>1520</v>
      </c>
      <c r="H92" s="23" t="str">
        <f t="shared" si="0"/>
        <v>Yes</v>
      </c>
      <c r="I92" s="7" t="str">
        <f t="shared" si="1"/>
        <v>TN</v>
      </c>
      <c r="J92" s="48"/>
      <c r="K92" s="48"/>
      <c r="L92" s="48"/>
      <c r="M92" s="48"/>
      <c r="N92" s="48"/>
      <c r="O92" s="48"/>
      <c r="P92" s="48"/>
      <c r="Q92" s="7"/>
      <c r="R92" s="7"/>
      <c r="S92" s="7"/>
    </row>
    <row r="93" spans="1:19" ht="15.45" x14ac:dyDescent="0.4">
      <c r="A93" s="8" t="s">
        <v>73</v>
      </c>
      <c r="B93" s="8" t="s">
        <v>1121</v>
      </c>
      <c r="C93" s="8" t="s">
        <v>74</v>
      </c>
      <c r="D93" s="8" t="s">
        <v>1031</v>
      </c>
      <c r="E93" s="8" t="s">
        <v>65</v>
      </c>
      <c r="F93" s="8" t="s">
        <v>1520</v>
      </c>
      <c r="G93" s="8" t="s">
        <v>1520</v>
      </c>
      <c r="H93" s="23" t="str">
        <f t="shared" si="0"/>
        <v>Yes</v>
      </c>
      <c r="I93" s="7" t="str">
        <f t="shared" si="1"/>
        <v>TN</v>
      </c>
      <c r="J93" s="48"/>
      <c r="K93" s="48"/>
      <c r="L93" s="48"/>
      <c r="M93" s="48"/>
      <c r="N93" s="48"/>
      <c r="O93" s="48"/>
      <c r="P93" s="48"/>
      <c r="Q93" s="7"/>
      <c r="R93" s="7"/>
      <c r="S93" s="7"/>
    </row>
    <row r="94" spans="1:19" ht="15.45" x14ac:dyDescent="0.4">
      <c r="A94" s="8" t="s">
        <v>75</v>
      </c>
      <c r="B94" s="8" t="s">
        <v>89</v>
      </c>
      <c r="C94" s="8" t="s">
        <v>76</v>
      </c>
      <c r="D94" s="8" t="s">
        <v>90</v>
      </c>
      <c r="E94" s="8" t="s">
        <v>65</v>
      </c>
      <c r="F94" s="8" t="s">
        <v>1520</v>
      </c>
      <c r="G94" s="8" t="s">
        <v>1520</v>
      </c>
      <c r="H94" s="23" t="str">
        <f t="shared" si="0"/>
        <v>Yes</v>
      </c>
      <c r="I94" s="7" t="str">
        <f t="shared" si="1"/>
        <v>TN</v>
      </c>
      <c r="J94" s="48"/>
      <c r="K94" s="48"/>
      <c r="L94" s="48"/>
      <c r="M94" s="48"/>
      <c r="N94" s="48"/>
      <c r="O94" s="48"/>
      <c r="P94" s="48"/>
      <c r="Q94" s="7"/>
      <c r="R94" s="7"/>
      <c r="S94" s="7"/>
    </row>
    <row r="95" spans="1:19" ht="15.45" x14ac:dyDescent="0.4">
      <c r="A95" s="8" t="s">
        <v>75</v>
      </c>
      <c r="B95" s="8" t="s">
        <v>1069</v>
      </c>
      <c r="C95" s="8" t="s">
        <v>76</v>
      </c>
      <c r="D95" s="8" t="s">
        <v>1070</v>
      </c>
      <c r="E95" s="8" t="s">
        <v>65</v>
      </c>
      <c r="F95" s="8" t="s">
        <v>1520</v>
      </c>
      <c r="G95" s="8" t="s">
        <v>1520</v>
      </c>
      <c r="H95" s="23" t="str">
        <f t="shared" si="0"/>
        <v>Yes</v>
      </c>
      <c r="I95" s="7" t="str">
        <f t="shared" si="1"/>
        <v>TN</v>
      </c>
      <c r="J95" s="48"/>
      <c r="K95" s="48"/>
      <c r="L95" s="48"/>
      <c r="M95" s="48"/>
      <c r="N95" s="48"/>
      <c r="O95" s="48"/>
      <c r="P95" s="48"/>
      <c r="Q95" s="7"/>
      <c r="R95" s="7"/>
      <c r="S95" s="7"/>
    </row>
    <row r="96" spans="1:19" ht="15.45" x14ac:dyDescent="0.4">
      <c r="A96" s="8" t="s">
        <v>75</v>
      </c>
      <c r="B96" s="8" t="s">
        <v>1097</v>
      </c>
      <c r="C96" s="8" t="s">
        <v>76</v>
      </c>
      <c r="D96" s="8" t="s">
        <v>1038</v>
      </c>
      <c r="E96" s="8" t="s">
        <v>65</v>
      </c>
      <c r="F96" s="8" t="s">
        <v>1520</v>
      </c>
      <c r="G96" s="8" t="s">
        <v>1520</v>
      </c>
      <c r="H96" s="23" t="str">
        <f t="shared" si="0"/>
        <v>Yes</v>
      </c>
      <c r="I96" s="7" t="str">
        <f t="shared" si="1"/>
        <v>TN</v>
      </c>
      <c r="J96" s="48"/>
      <c r="K96" s="48"/>
      <c r="L96" s="48"/>
      <c r="M96" s="48"/>
      <c r="N96" s="48"/>
      <c r="O96" s="48"/>
      <c r="P96" s="48"/>
      <c r="Q96" s="7"/>
      <c r="R96" s="7"/>
      <c r="S96" s="7"/>
    </row>
    <row r="97" spans="1:19" ht="15.45" x14ac:dyDescent="0.4">
      <c r="A97" s="8" t="s">
        <v>75</v>
      </c>
      <c r="B97" s="8" t="s">
        <v>1115</v>
      </c>
      <c r="C97" s="8" t="s">
        <v>76</v>
      </c>
      <c r="D97" s="8" t="s">
        <v>1047</v>
      </c>
      <c r="E97" s="8" t="s">
        <v>65</v>
      </c>
      <c r="F97" s="8" t="s">
        <v>1520</v>
      </c>
      <c r="G97" s="8" t="s">
        <v>1520</v>
      </c>
      <c r="H97" s="23" t="str">
        <f t="shared" si="0"/>
        <v>Yes</v>
      </c>
      <c r="I97" s="7" t="str">
        <f t="shared" si="1"/>
        <v>TN</v>
      </c>
      <c r="J97" s="48"/>
      <c r="K97" s="48"/>
      <c r="L97" s="48"/>
      <c r="M97" s="48"/>
      <c r="N97" s="48"/>
      <c r="O97" s="48"/>
      <c r="P97" s="48"/>
      <c r="Q97" s="7"/>
      <c r="R97" s="7"/>
      <c r="S97" s="7"/>
    </row>
    <row r="98" spans="1:19" ht="15.45" x14ac:dyDescent="0.4">
      <c r="A98" s="8" t="s">
        <v>75</v>
      </c>
      <c r="B98" s="8" t="s">
        <v>1121</v>
      </c>
      <c r="C98" s="8" t="s">
        <v>76</v>
      </c>
      <c r="D98" s="8" t="s">
        <v>1031</v>
      </c>
      <c r="E98" s="8" t="s">
        <v>65</v>
      </c>
      <c r="F98" s="8" t="s">
        <v>1520</v>
      </c>
      <c r="G98" s="8" t="s">
        <v>1520</v>
      </c>
      <c r="H98" s="23" t="str">
        <f t="shared" si="0"/>
        <v>Yes</v>
      </c>
      <c r="I98" s="7" t="str">
        <f t="shared" si="1"/>
        <v>TN</v>
      </c>
      <c r="J98" s="48"/>
      <c r="K98" s="48"/>
      <c r="L98" s="48"/>
      <c r="M98" s="48"/>
      <c r="N98" s="48"/>
      <c r="O98" s="48"/>
      <c r="P98" s="48"/>
      <c r="Q98" s="7"/>
      <c r="R98" s="7"/>
      <c r="S98" s="7"/>
    </row>
    <row r="99" spans="1:19" ht="15.45" x14ac:dyDescent="0.4">
      <c r="A99" s="8" t="s">
        <v>89</v>
      </c>
      <c r="B99" s="8" t="s">
        <v>1069</v>
      </c>
      <c r="C99" s="8" t="s">
        <v>90</v>
      </c>
      <c r="D99" s="8" t="s">
        <v>1070</v>
      </c>
      <c r="E99" s="8" t="s">
        <v>65</v>
      </c>
      <c r="F99" s="8" t="s">
        <v>1520</v>
      </c>
      <c r="G99" s="8" t="s">
        <v>1520</v>
      </c>
      <c r="H99" s="23" t="str">
        <f t="shared" si="0"/>
        <v>Yes</v>
      </c>
      <c r="I99" s="7" t="str">
        <f t="shared" si="1"/>
        <v>TN</v>
      </c>
      <c r="J99" s="48"/>
      <c r="K99" s="48"/>
      <c r="L99" s="48"/>
      <c r="M99" s="48"/>
      <c r="N99" s="48"/>
      <c r="O99" s="48"/>
      <c r="P99" s="48"/>
      <c r="Q99" s="7"/>
      <c r="R99" s="7"/>
      <c r="S99" s="7"/>
    </row>
    <row r="100" spans="1:19" ht="15.45" x14ac:dyDescent="0.4">
      <c r="A100" s="8" t="s">
        <v>89</v>
      </c>
      <c r="B100" s="8" t="s">
        <v>1097</v>
      </c>
      <c r="C100" s="8" t="s">
        <v>90</v>
      </c>
      <c r="D100" s="8" t="s">
        <v>1038</v>
      </c>
      <c r="E100" s="8" t="s">
        <v>65</v>
      </c>
      <c r="F100" s="8" t="s">
        <v>1520</v>
      </c>
      <c r="G100" s="8" t="s">
        <v>1520</v>
      </c>
      <c r="H100" s="23" t="str">
        <f t="shared" si="0"/>
        <v>Yes</v>
      </c>
      <c r="I100" s="7" t="str">
        <f t="shared" si="1"/>
        <v>TN</v>
      </c>
      <c r="J100" s="48"/>
      <c r="K100" s="48"/>
      <c r="L100" s="48"/>
      <c r="M100" s="48"/>
      <c r="N100" s="48"/>
      <c r="O100" s="48"/>
      <c r="P100" s="48"/>
      <c r="Q100" s="7"/>
      <c r="R100" s="7"/>
      <c r="S100" s="7"/>
    </row>
    <row r="101" spans="1:19" ht="15.45" x14ac:dyDescent="0.4">
      <c r="A101" s="8" t="s">
        <v>89</v>
      </c>
      <c r="B101" s="8" t="s">
        <v>1115</v>
      </c>
      <c r="C101" s="8" t="s">
        <v>90</v>
      </c>
      <c r="D101" s="8" t="s">
        <v>1047</v>
      </c>
      <c r="E101" s="8" t="s">
        <v>65</v>
      </c>
      <c r="F101" s="8" t="s">
        <v>1520</v>
      </c>
      <c r="G101" s="8" t="s">
        <v>1520</v>
      </c>
      <c r="H101" s="23" t="str">
        <f t="shared" si="0"/>
        <v>Yes</v>
      </c>
      <c r="I101" s="7" t="str">
        <f t="shared" si="1"/>
        <v>TN</v>
      </c>
      <c r="J101" s="48"/>
      <c r="K101" s="48"/>
      <c r="L101" s="48"/>
      <c r="M101" s="48"/>
      <c r="N101" s="48"/>
      <c r="O101" s="48"/>
      <c r="P101" s="48"/>
      <c r="Q101" s="7"/>
      <c r="R101" s="7"/>
      <c r="S101" s="7"/>
    </row>
    <row r="102" spans="1:19" ht="15.45" x14ac:dyDescent="0.4">
      <c r="A102" s="8" t="s">
        <v>89</v>
      </c>
      <c r="B102" s="8" t="s">
        <v>1121</v>
      </c>
      <c r="C102" s="8" t="s">
        <v>90</v>
      </c>
      <c r="D102" s="8" t="s">
        <v>1031</v>
      </c>
      <c r="E102" s="8" t="s">
        <v>65</v>
      </c>
      <c r="F102" s="8" t="s">
        <v>1520</v>
      </c>
      <c r="G102" s="8" t="s">
        <v>1520</v>
      </c>
      <c r="H102" s="23" t="str">
        <f t="shared" si="0"/>
        <v>Yes</v>
      </c>
      <c r="I102" s="7" t="str">
        <f t="shared" si="1"/>
        <v>TN</v>
      </c>
      <c r="J102" s="48"/>
      <c r="K102" s="48"/>
      <c r="L102" s="48"/>
      <c r="M102" s="48"/>
      <c r="N102" s="48"/>
      <c r="O102" s="48"/>
      <c r="P102" s="48"/>
      <c r="Q102" s="7"/>
      <c r="R102" s="7"/>
      <c r="S102" s="7"/>
    </row>
    <row r="103" spans="1:19" ht="15.45" x14ac:dyDescent="0.4">
      <c r="A103" s="8" t="s">
        <v>1069</v>
      </c>
      <c r="B103" s="8" t="s">
        <v>1115</v>
      </c>
      <c r="C103" s="8" t="s">
        <v>1070</v>
      </c>
      <c r="D103" s="8" t="s">
        <v>1047</v>
      </c>
      <c r="E103" s="8" t="s">
        <v>65</v>
      </c>
      <c r="F103" s="8" t="s">
        <v>1520</v>
      </c>
      <c r="G103" s="8" t="s">
        <v>1520</v>
      </c>
      <c r="H103" s="23" t="str">
        <f t="shared" si="0"/>
        <v>Yes</v>
      </c>
      <c r="I103" s="7" t="str">
        <f t="shared" si="1"/>
        <v>TN</v>
      </c>
      <c r="J103" s="48"/>
      <c r="K103" s="48"/>
      <c r="L103" s="48"/>
      <c r="M103" s="48"/>
      <c r="N103" s="48"/>
      <c r="O103" s="48"/>
      <c r="P103" s="48"/>
      <c r="Q103" s="7"/>
      <c r="R103" s="7"/>
      <c r="S103" s="7"/>
    </row>
    <row r="104" spans="1:19" ht="15.45" x14ac:dyDescent="0.4">
      <c r="A104" s="8" t="s">
        <v>1069</v>
      </c>
      <c r="B104" s="8" t="s">
        <v>1121</v>
      </c>
      <c r="C104" s="8" t="s">
        <v>1070</v>
      </c>
      <c r="D104" s="8" t="s">
        <v>1031</v>
      </c>
      <c r="E104" s="8" t="s">
        <v>65</v>
      </c>
      <c r="F104" s="8" t="s">
        <v>1520</v>
      </c>
      <c r="G104" s="8" t="s">
        <v>1520</v>
      </c>
      <c r="H104" s="23" t="str">
        <f t="shared" si="0"/>
        <v>Yes</v>
      </c>
      <c r="I104" s="7" t="str">
        <f t="shared" si="1"/>
        <v>TN</v>
      </c>
      <c r="J104" s="48"/>
      <c r="K104" s="48"/>
      <c r="L104" s="48"/>
      <c r="M104" s="48"/>
      <c r="N104" s="48"/>
      <c r="O104" s="48"/>
      <c r="P104" s="48"/>
      <c r="Q104" s="7"/>
      <c r="R104" s="7"/>
      <c r="S104" s="7"/>
    </row>
    <row r="105" spans="1:19" ht="15.45" x14ac:dyDescent="0.4">
      <c r="A105" s="8" t="s">
        <v>1097</v>
      </c>
      <c r="B105" s="8" t="s">
        <v>1115</v>
      </c>
      <c r="C105" s="8" t="s">
        <v>1038</v>
      </c>
      <c r="D105" s="8" t="s">
        <v>1047</v>
      </c>
      <c r="E105" s="8" t="s">
        <v>65</v>
      </c>
      <c r="F105" s="8" t="s">
        <v>1520</v>
      </c>
      <c r="G105" s="8" t="s">
        <v>1520</v>
      </c>
      <c r="H105" s="23" t="str">
        <f t="shared" si="0"/>
        <v>Yes</v>
      </c>
      <c r="I105" s="7" t="str">
        <f t="shared" si="1"/>
        <v>TN</v>
      </c>
      <c r="J105" s="48"/>
      <c r="K105" s="48"/>
      <c r="L105" s="48"/>
      <c r="M105" s="48"/>
      <c r="N105" s="48"/>
      <c r="O105" s="48"/>
      <c r="P105" s="48"/>
      <c r="Q105" s="7"/>
      <c r="R105" s="7"/>
      <c r="S105" s="7"/>
    </row>
    <row r="106" spans="1:19" ht="15.45" x14ac:dyDescent="0.4">
      <c r="A106" s="8" t="s">
        <v>1097</v>
      </c>
      <c r="B106" s="8" t="s">
        <v>1121</v>
      </c>
      <c r="C106" s="8" t="s">
        <v>1038</v>
      </c>
      <c r="D106" s="8" t="s">
        <v>1031</v>
      </c>
      <c r="E106" s="8" t="s">
        <v>65</v>
      </c>
      <c r="F106" s="8" t="s">
        <v>1520</v>
      </c>
      <c r="G106" s="8" t="s">
        <v>1520</v>
      </c>
      <c r="H106" s="23" t="str">
        <f t="shared" si="0"/>
        <v>Yes</v>
      </c>
      <c r="I106" s="7" t="str">
        <f t="shared" si="1"/>
        <v>TN</v>
      </c>
      <c r="J106" s="48"/>
      <c r="K106" s="48"/>
      <c r="L106" s="48"/>
      <c r="M106" s="48"/>
      <c r="N106" s="48"/>
      <c r="O106" s="48"/>
      <c r="P106" s="48"/>
      <c r="Q106" s="7"/>
      <c r="R106" s="7"/>
      <c r="S106" s="7"/>
    </row>
    <row r="107" spans="1:19" ht="15.45" x14ac:dyDescent="0.4">
      <c r="A107" s="8" t="s">
        <v>66</v>
      </c>
      <c r="B107" s="8" t="s">
        <v>81</v>
      </c>
      <c r="C107" s="8" t="s">
        <v>67</v>
      </c>
      <c r="D107" s="8" t="s">
        <v>82</v>
      </c>
      <c r="E107" s="8" t="s">
        <v>68</v>
      </c>
      <c r="F107" s="8" t="s">
        <v>1520</v>
      </c>
      <c r="G107" s="8" t="s">
        <v>1520</v>
      </c>
      <c r="H107" s="23" t="str">
        <f t="shared" si="0"/>
        <v>Yes</v>
      </c>
      <c r="I107" s="7" t="str">
        <f t="shared" si="1"/>
        <v>TN</v>
      </c>
      <c r="J107" s="48"/>
      <c r="K107" s="48"/>
      <c r="L107" s="48"/>
      <c r="M107" s="48"/>
      <c r="N107" s="48"/>
      <c r="O107" s="48"/>
      <c r="P107" s="48"/>
      <c r="Q107" s="7"/>
      <c r="R107" s="7"/>
      <c r="S107" s="7"/>
    </row>
    <row r="108" spans="1:19" ht="15.45" x14ac:dyDescent="0.4">
      <c r="A108" s="8" t="s">
        <v>66</v>
      </c>
      <c r="B108" s="8" t="s">
        <v>119</v>
      </c>
      <c r="C108" s="8" t="s">
        <v>67</v>
      </c>
      <c r="D108" s="8" t="s">
        <v>120</v>
      </c>
      <c r="E108" s="8" t="s">
        <v>68</v>
      </c>
      <c r="F108" s="8" t="s">
        <v>1520</v>
      </c>
      <c r="G108" s="8" t="s">
        <v>1520</v>
      </c>
      <c r="H108" s="23" t="str">
        <f t="shared" si="0"/>
        <v>Yes</v>
      </c>
      <c r="I108" s="7" t="str">
        <f t="shared" si="1"/>
        <v>TN</v>
      </c>
      <c r="J108" s="48"/>
      <c r="K108" s="48"/>
      <c r="L108" s="48"/>
      <c r="M108" s="48"/>
      <c r="N108" s="48"/>
      <c r="O108" s="48"/>
      <c r="P108" s="48"/>
      <c r="Q108" s="7"/>
      <c r="R108" s="7"/>
      <c r="S108" s="7"/>
    </row>
    <row r="109" spans="1:19" ht="15.45" x14ac:dyDescent="0.4">
      <c r="A109" s="8" t="s">
        <v>66</v>
      </c>
      <c r="B109" s="8" t="s">
        <v>134</v>
      </c>
      <c r="C109" s="8" t="s">
        <v>67</v>
      </c>
      <c r="D109" s="8" t="s">
        <v>135</v>
      </c>
      <c r="E109" s="8" t="s">
        <v>68</v>
      </c>
      <c r="F109" s="8" t="s">
        <v>1520</v>
      </c>
      <c r="G109" s="8" t="s">
        <v>1520</v>
      </c>
      <c r="H109" s="23" t="str">
        <f t="shared" si="0"/>
        <v>Yes</v>
      </c>
      <c r="I109" s="7" t="str">
        <f t="shared" si="1"/>
        <v>TN</v>
      </c>
      <c r="J109" s="48"/>
      <c r="K109" s="48"/>
      <c r="L109" s="48"/>
      <c r="M109" s="48"/>
      <c r="N109" s="48"/>
      <c r="O109" s="48"/>
      <c r="P109" s="48"/>
      <c r="Q109" s="7"/>
      <c r="R109" s="7"/>
      <c r="S109" s="7"/>
    </row>
    <row r="110" spans="1:19" ht="15.45" x14ac:dyDescent="0.4">
      <c r="A110" s="8" t="s">
        <v>66</v>
      </c>
      <c r="B110" s="8" t="s">
        <v>1052</v>
      </c>
      <c r="C110" s="8" t="s">
        <v>67</v>
      </c>
      <c r="D110" s="8" t="s">
        <v>1038</v>
      </c>
      <c r="E110" s="8" t="s">
        <v>68</v>
      </c>
      <c r="F110" s="8" t="s">
        <v>1520</v>
      </c>
      <c r="G110" s="8" t="s">
        <v>1520</v>
      </c>
      <c r="H110" s="23" t="str">
        <f t="shared" si="0"/>
        <v>Yes</v>
      </c>
      <c r="I110" s="7" t="str">
        <f t="shared" si="1"/>
        <v>TN</v>
      </c>
      <c r="J110" s="48"/>
      <c r="K110" s="48"/>
      <c r="L110" s="48"/>
      <c r="M110" s="48"/>
      <c r="N110" s="48"/>
      <c r="O110" s="48"/>
      <c r="P110" s="48"/>
      <c r="Q110" s="7"/>
      <c r="R110" s="7"/>
      <c r="S110" s="7"/>
    </row>
    <row r="111" spans="1:19" ht="15.45" x14ac:dyDescent="0.4">
      <c r="A111" s="8" t="s">
        <v>66</v>
      </c>
      <c r="B111" s="8" t="s">
        <v>1055</v>
      </c>
      <c r="C111" s="8" t="s">
        <v>67</v>
      </c>
      <c r="D111" s="8" t="s">
        <v>1029</v>
      </c>
      <c r="E111" s="8" t="s">
        <v>68</v>
      </c>
      <c r="F111" s="8" t="s">
        <v>1520</v>
      </c>
      <c r="G111" s="8" t="s">
        <v>1520</v>
      </c>
      <c r="H111" s="23" t="str">
        <f t="shared" si="0"/>
        <v>Yes</v>
      </c>
      <c r="I111" s="7" t="str">
        <f t="shared" si="1"/>
        <v>TN</v>
      </c>
      <c r="J111" s="48"/>
      <c r="K111" s="48"/>
      <c r="L111" s="48"/>
      <c r="M111" s="48"/>
      <c r="N111" s="48"/>
      <c r="O111" s="48"/>
      <c r="P111" s="48"/>
      <c r="Q111" s="7"/>
      <c r="R111" s="7"/>
      <c r="S111" s="7"/>
    </row>
    <row r="112" spans="1:19" ht="15.45" x14ac:dyDescent="0.4">
      <c r="A112" s="8" t="s">
        <v>66</v>
      </c>
      <c r="B112" s="8" t="s">
        <v>1073</v>
      </c>
      <c r="C112" s="8" t="s">
        <v>67</v>
      </c>
      <c r="D112" s="8" t="s">
        <v>1074</v>
      </c>
      <c r="E112" s="8" t="s">
        <v>68</v>
      </c>
      <c r="F112" s="8" t="s">
        <v>1520</v>
      </c>
      <c r="G112" s="8" t="s">
        <v>1520</v>
      </c>
      <c r="H112" s="23" t="str">
        <f t="shared" si="0"/>
        <v>Yes</v>
      </c>
      <c r="I112" s="7" t="str">
        <f t="shared" si="1"/>
        <v>TN</v>
      </c>
      <c r="J112" s="48"/>
      <c r="K112" s="48"/>
      <c r="L112" s="48"/>
      <c r="M112" s="48"/>
      <c r="N112" s="48"/>
      <c r="O112" s="48"/>
      <c r="P112" s="48"/>
      <c r="Q112" s="7"/>
      <c r="R112" s="7"/>
      <c r="S112" s="7"/>
    </row>
    <row r="113" spans="1:19" ht="15.45" x14ac:dyDescent="0.4">
      <c r="A113" s="8" t="s">
        <v>66</v>
      </c>
      <c r="B113" s="8" t="s">
        <v>1132</v>
      </c>
      <c r="C113" s="8" t="s">
        <v>67</v>
      </c>
      <c r="D113" s="8" t="s">
        <v>1051</v>
      </c>
      <c r="E113" s="8" t="s">
        <v>68</v>
      </c>
      <c r="F113" s="8" t="s">
        <v>1520</v>
      </c>
      <c r="G113" s="8" t="s">
        <v>1520</v>
      </c>
      <c r="H113" s="23" t="str">
        <f t="shared" si="0"/>
        <v>Yes</v>
      </c>
      <c r="I113" s="7" t="str">
        <f t="shared" si="1"/>
        <v>TN</v>
      </c>
      <c r="J113" s="48"/>
      <c r="K113" s="48"/>
      <c r="L113" s="48"/>
      <c r="M113" s="48"/>
      <c r="N113" s="48"/>
      <c r="O113" s="48"/>
      <c r="P113" s="48"/>
      <c r="Q113" s="7"/>
      <c r="R113" s="7"/>
      <c r="S113" s="7"/>
    </row>
    <row r="114" spans="1:19" ht="15.45" x14ac:dyDescent="0.4">
      <c r="A114" s="8" t="s">
        <v>81</v>
      </c>
      <c r="B114" s="8" t="s">
        <v>119</v>
      </c>
      <c r="C114" s="8" t="s">
        <v>82</v>
      </c>
      <c r="D114" s="8" t="s">
        <v>120</v>
      </c>
      <c r="E114" s="8" t="s">
        <v>68</v>
      </c>
      <c r="F114" s="8" t="s">
        <v>1520</v>
      </c>
      <c r="G114" s="8" t="s">
        <v>1520</v>
      </c>
      <c r="H114" s="23" t="str">
        <f t="shared" si="0"/>
        <v>Yes</v>
      </c>
      <c r="I114" s="7" t="str">
        <f t="shared" si="1"/>
        <v>TN</v>
      </c>
      <c r="J114" s="48"/>
      <c r="K114" s="48"/>
      <c r="L114" s="48"/>
      <c r="M114" s="48"/>
      <c r="N114" s="48"/>
      <c r="O114" s="48"/>
      <c r="P114" s="48"/>
      <c r="Q114" s="7"/>
      <c r="R114" s="7"/>
      <c r="S114" s="7"/>
    </row>
    <row r="115" spans="1:19" ht="15.45" x14ac:dyDescent="0.4">
      <c r="A115" s="8" t="s">
        <v>81</v>
      </c>
      <c r="B115" s="8" t="s">
        <v>134</v>
      </c>
      <c r="C115" s="8" t="s">
        <v>82</v>
      </c>
      <c r="D115" s="8" t="s">
        <v>135</v>
      </c>
      <c r="E115" s="8" t="s">
        <v>68</v>
      </c>
      <c r="F115" s="8" t="s">
        <v>1520</v>
      </c>
      <c r="G115" s="8" t="s">
        <v>1520</v>
      </c>
      <c r="H115" s="23" t="str">
        <f t="shared" si="0"/>
        <v>Yes</v>
      </c>
      <c r="I115" s="7" t="str">
        <f t="shared" si="1"/>
        <v>TN</v>
      </c>
      <c r="J115" s="48"/>
      <c r="K115" s="48"/>
      <c r="L115" s="48"/>
      <c r="M115" s="48"/>
      <c r="N115" s="48"/>
      <c r="O115" s="48"/>
      <c r="P115" s="48"/>
      <c r="Q115" s="7"/>
      <c r="R115" s="7"/>
      <c r="S115" s="7"/>
    </row>
    <row r="116" spans="1:19" ht="15.45" x14ac:dyDescent="0.4">
      <c r="A116" s="8" t="s">
        <v>81</v>
      </c>
      <c r="B116" s="8" t="s">
        <v>1052</v>
      </c>
      <c r="C116" s="8" t="s">
        <v>82</v>
      </c>
      <c r="D116" s="8" t="s">
        <v>1038</v>
      </c>
      <c r="E116" s="8" t="s">
        <v>68</v>
      </c>
      <c r="F116" s="8" t="s">
        <v>1520</v>
      </c>
      <c r="G116" s="8" t="s">
        <v>1520</v>
      </c>
      <c r="H116" s="23" t="str">
        <f t="shared" si="0"/>
        <v>Yes</v>
      </c>
      <c r="I116" s="7" t="str">
        <f t="shared" si="1"/>
        <v>TN</v>
      </c>
      <c r="J116" s="48"/>
      <c r="K116" s="48"/>
      <c r="L116" s="48"/>
      <c r="M116" s="48"/>
      <c r="N116" s="48"/>
      <c r="O116" s="48"/>
      <c r="P116" s="48"/>
      <c r="Q116" s="7"/>
      <c r="R116" s="7"/>
      <c r="S116" s="7"/>
    </row>
    <row r="117" spans="1:19" ht="15.45" x14ac:dyDescent="0.4">
      <c r="A117" s="8" t="s">
        <v>81</v>
      </c>
      <c r="B117" s="8" t="s">
        <v>1055</v>
      </c>
      <c r="C117" s="8" t="s">
        <v>82</v>
      </c>
      <c r="D117" s="8" t="s">
        <v>1029</v>
      </c>
      <c r="E117" s="8" t="s">
        <v>68</v>
      </c>
      <c r="F117" s="8" t="s">
        <v>1520</v>
      </c>
      <c r="G117" s="8" t="s">
        <v>1520</v>
      </c>
      <c r="H117" s="23" t="str">
        <f t="shared" si="0"/>
        <v>Yes</v>
      </c>
      <c r="I117" s="7" t="str">
        <f t="shared" si="1"/>
        <v>TN</v>
      </c>
      <c r="J117" s="48"/>
      <c r="K117" s="48"/>
      <c r="L117" s="48"/>
      <c r="M117" s="48"/>
      <c r="N117" s="48"/>
      <c r="O117" s="48"/>
      <c r="P117" s="48"/>
      <c r="Q117" s="7"/>
      <c r="R117" s="7"/>
      <c r="S117" s="7"/>
    </row>
    <row r="118" spans="1:19" ht="15.45" x14ac:dyDescent="0.4">
      <c r="A118" s="8" t="s">
        <v>81</v>
      </c>
      <c r="B118" s="8" t="s">
        <v>1073</v>
      </c>
      <c r="C118" s="8" t="s">
        <v>82</v>
      </c>
      <c r="D118" s="8" t="s">
        <v>1074</v>
      </c>
      <c r="E118" s="8" t="s">
        <v>68</v>
      </c>
      <c r="F118" s="8" t="s">
        <v>1520</v>
      </c>
      <c r="G118" s="8" t="s">
        <v>1520</v>
      </c>
      <c r="H118" s="23" t="str">
        <f t="shared" si="0"/>
        <v>Yes</v>
      </c>
      <c r="I118" s="7" t="str">
        <f t="shared" si="1"/>
        <v>TN</v>
      </c>
      <c r="J118" s="48"/>
      <c r="K118" s="48"/>
      <c r="L118" s="48"/>
      <c r="M118" s="48"/>
      <c r="N118" s="48"/>
      <c r="O118" s="48"/>
      <c r="P118" s="48"/>
      <c r="Q118" s="7"/>
      <c r="R118" s="7"/>
      <c r="S118" s="7"/>
    </row>
    <row r="119" spans="1:19" ht="15.45" x14ac:dyDescent="0.4">
      <c r="A119" s="8" t="s">
        <v>81</v>
      </c>
      <c r="B119" s="8" t="s">
        <v>1132</v>
      </c>
      <c r="C119" s="8" t="s">
        <v>82</v>
      </c>
      <c r="D119" s="8" t="s">
        <v>1051</v>
      </c>
      <c r="E119" s="8" t="s">
        <v>68</v>
      </c>
      <c r="F119" s="8" t="s">
        <v>1520</v>
      </c>
      <c r="G119" s="8" t="s">
        <v>1520</v>
      </c>
      <c r="H119" s="23" t="str">
        <f t="shared" si="0"/>
        <v>Yes</v>
      </c>
      <c r="I119" s="7" t="str">
        <f t="shared" si="1"/>
        <v>TN</v>
      </c>
      <c r="J119" s="48"/>
      <c r="K119" s="48"/>
      <c r="L119" s="48"/>
      <c r="M119" s="48"/>
      <c r="N119" s="48"/>
      <c r="O119" s="48"/>
      <c r="P119" s="48"/>
      <c r="Q119" s="7"/>
      <c r="R119" s="7"/>
      <c r="S119" s="7"/>
    </row>
    <row r="120" spans="1:19" ht="15.45" x14ac:dyDescent="0.4">
      <c r="A120" s="8" t="s">
        <v>119</v>
      </c>
      <c r="B120" s="8" t="s">
        <v>134</v>
      </c>
      <c r="C120" s="8" t="s">
        <v>120</v>
      </c>
      <c r="D120" s="8" t="s">
        <v>135</v>
      </c>
      <c r="E120" s="8" t="s">
        <v>68</v>
      </c>
      <c r="F120" s="8" t="s">
        <v>1520</v>
      </c>
      <c r="G120" s="8" t="s">
        <v>1520</v>
      </c>
      <c r="H120" s="23" t="str">
        <f t="shared" si="0"/>
        <v>Yes</v>
      </c>
      <c r="I120" s="7" t="str">
        <f t="shared" si="1"/>
        <v>TN</v>
      </c>
      <c r="J120" s="48"/>
      <c r="K120" s="48"/>
      <c r="L120" s="48"/>
      <c r="M120" s="48"/>
      <c r="N120" s="48"/>
      <c r="O120" s="48"/>
      <c r="P120" s="48"/>
      <c r="Q120" s="7"/>
      <c r="R120" s="7"/>
      <c r="S120" s="7"/>
    </row>
    <row r="121" spans="1:19" ht="15.45" x14ac:dyDescent="0.4">
      <c r="A121" s="8" t="s">
        <v>119</v>
      </c>
      <c r="B121" s="8" t="s">
        <v>1052</v>
      </c>
      <c r="C121" s="8" t="s">
        <v>120</v>
      </c>
      <c r="D121" s="8" t="s">
        <v>1038</v>
      </c>
      <c r="E121" s="8" t="s">
        <v>68</v>
      </c>
      <c r="F121" s="8" t="s">
        <v>1520</v>
      </c>
      <c r="G121" s="8" t="s">
        <v>1520</v>
      </c>
      <c r="H121" s="23" t="str">
        <f t="shared" si="0"/>
        <v>Yes</v>
      </c>
      <c r="I121" s="7" t="str">
        <f t="shared" si="1"/>
        <v>TN</v>
      </c>
      <c r="J121" s="48"/>
      <c r="K121" s="48"/>
      <c r="L121" s="48"/>
      <c r="M121" s="48"/>
      <c r="N121" s="48"/>
      <c r="O121" s="48"/>
      <c r="P121" s="48"/>
      <c r="Q121" s="7"/>
      <c r="R121" s="7"/>
      <c r="S121" s="7"/>
    </row>
    <row r="122" spans="1:19" ht="15.45" x14ac:dyDescent="0.4">
      <c r="A122" s="8" t="s">
        <v>119</v>
      </c>
      <c r="B122" s="8" t="s">
        <v>1055</v>
      </c>
      <c r="C122" s="8" t="s">
        <v>120</v>
      </c>
      <c r="D122" s="8" t="s">
        <v>1029</v>
      </c>
      <c r="E122" s="8" t="s">
        <v>68</v>
      </c>
      <c r="F122" s="8" t="s">
        <v>1520</v>
      </c>
      <c r="G122" s="8" t="s">
        <v>1520</v>
      </c>
      <c r="H122" s="23" t="str">
        <f t="shared" si="0"/>
        <v>Yes</v>
      </c>
      <c r="I122" s="7" t="str">
        <f t="shared" si="1"/>
        <v>TN</v>
      </c>
      <c r="J122" s="48"/>
      <c r="K122" s="48"/>
      <c r="L122" s="48"/>
      <c r="M122" s="48"/>
      <c r="N122" s="48"/>
      <c r="O122" s="48"/>
      <c r="P122" s="48"/>
      <c r="Q122" s="7"/>
      <c r="R122" s="7"/>
      <c r="S122" s="7"/>
    </row>
    <row r="123" spans="1:19" ht="15.45" x14ac:dyDescent="0.4">
      <c r="A123" s="8" t="s">
        <v>119</v>
      </c>
      <c r="B123" s="8" t="s">
        <v>1073</v>
      </c>
      <c r="C123" s="8" t="s">
        <v>120</v>
      </c>
      <c r="D123" s="8" t="s">
        <v>1074</v>
      </c>
      <c r="E123" s="8" t="s">
        <v>68</v>
      </c>
      <c r="F123" s="8" t="s">
        <v>1520</v>
      </c>
      <c r="G123" s="8" t="s">
        <v>1520</v>
      </c>
      <c r="H123" s="23" t="str">
        <f t="shared" si="0"/>
        <v>Yes</v>
      </c>
      <c r="I123" s="7" t="str">
        <f t="shared" si="1"/>
        <v>TN</v>
      </c>
      <c r="J123" s="48"/>
      <c r="K123" s="48"/>
      <c r="L123" s="48"/>
      <c r="M123" s="48"/>
      <c r="N123" s="48"/>
      <c r="O123" s="48"/>
      <c r="P123" s="48"/>
      <c r="Q123" s="7"/>
      <c r="R123" s="7"/>
      <c r="S123" s="7"/>
    </row>
    <row r="124" spans="1:19" ht="15.45" x14ac:dyDescent="0.4">
      <c r="A124" s="8" t="s">
        <v>119</v>
      </c>
      <c r="B124" s="8" t="s">
        <v>1132</v>
      </c>
      <c r="C124" s="8" t="s">
        <v>120</v>
      </c>
      <c r="D124" s="8" t="s">
        <v>1051</v>
      </c>
      <c r="E124" s="8" t="s">
        <v>68</v>
      </c>
      <c r="F124" s="8" t="s">
        <v>1520</v>
      </c>
      <c r="G124" s="8" t="s">
        <v>1520</v>
      </c>
      <c r="H124" s="23" t="str">
        <f t="shared" si="0"/>
        <v>Yes</v>
      </c>
      <c r="I124" s="7" t="str">
        <f t="shared" si="1"/>
        <v>TN</v>
      </c>
      <c r="J124" s="48"/>
      <c r="K124" s="48"/>
      <c r="L124" s="48"/>
      <c r="M124" s="48"/>
      <c r="N124" s="48"/>
      <c r="O124" s="48"/>
      <c r="P124" s="48"/>
      <c r="Q124" s="7"/>
      <c r="R124" s="7"/>
      <c r="S124" s="7"/>
    </row>
    <row r="125" spans="1:19" ht="15.45" x14ac:dyDescent="0.4">
      <c r="A125" s="8" t="s">
        <v>134</v>
      </c>
      <c r="B125" s="8" t="s">
        <v>1052</v>
      </c>
      <c r="C125" s="8" t="s">
        <v>135</v>
      </c>
      <c r="D125" s="8" t="s">
        <v>1038</v>
      </c>
      <c r="E125" s="8" t="s">
        <v>68</v>
      </c>
      <c r="F125" s="8" t="s">
        <v>1520</v>
      </c>
      <c r="G125" s="8" t="s">
        <v>1520</v>
      </c>
      <c r="H125" s="23" t="str">
        <f t="shared" si="0"/>
        <v>Yes</v>
      </c>
      <c r="I125" s="7" t="str">
        <f t="shared" si="1"/>
        <v>TN</v>
      </c>
      <c r="J125" s="48"/>
      <c r="K125" s="48"/>
      <c r="L125" s="48"/>
      <c r="M125" s="48"/>
      <c r="N125" s="48"/>
      <c r="O125" s="48"/>
      <c r="P125" s="48"/>
      <c r="Q125" s="7"/>
      <c r="R125" s="7"/>
      <c r="S125" s="7"/>
    </row>
    <row r="126" spans="1:19" ht="15.45" x14ac:dyDescent="0.4">
      <c r="A126" s="8" t="s">
        <v>134</v>
      </c>
      <c r="B126" s="8" t="s">
        <v>1055</v>
      </c>
      <c r="C126" s="8" t="s">
        <v>135</v>
      </c>
      <c r="D126" s="8" t="s">
        <v>1029</v>
      </c>
      <c r="E126" s="8" t="s">
        <v>68</v>
      </c>
      <c r="F126" s="8" t="s">
        <v>1520</v>
      </c>
      <c r="G126" s="8" t="s">
        <v>1520</v>
      </c>
      <c r="H126" s="23" t="str">
        <f t="shared" si="0"/>
        <v>Yes</v>
      </c>
      <c r="I126" s="7" t="str">
        <f t="shared" si="1"/>
        <v>TN</v>
      </c>
      <c r="J126" s="48"/>
      <c r="K126" s="48"/>
      <c r="L126" s="48"/>
      <c r="M126" s="48"/>
      <c r="N126" s="48"/>
      <c r="O126" s="48"/>
      <c r="P126" s="48"/>
      <c r="Q126" s="7"/>
      <c r="R126" s="7"/>
      <c r="S126" s="7"/>
    </row>
    <row r="127" spans="1:19" ht="15.45" x14ac:dyDescent="0.4">
      <c r="A127" s="8" t="s">
        <v>134</v>
      </c>
      <c r="B127" s="8" t="s">
        <v>1073</v>
      </c>
      <c r="C127" s="8" t="s">
        <v>135</v>
      </c>
      <c r="D127" s="8" t="s">
        <v>1074</v>
      </c>
      <c r="E127" s="8" t="s">
        <v>68</v>
      </c>
      <c r="F127" s="8" t="s">
        <v>1520</v>
      </c>
      <c r="G127" s="8" t="s">
        <v>1520</v>
      </c>
      <c r="H127" s="23" t="str">
        <f t="shared" si="0"/>
        <v>Yes</v>
      </c>
      <c r="I127" s="7" t="str">
        <f t="shared" si="1"/>
        <v>TN</v>
      </c>
      <c r="J127" s="48"/>
      <c r="K127" s="48"/>
      <c r="L127" s="48"/>
      <c r="M127" s="48"/>
      <c r="N127" s="48"/>
      <c r="O127" s="48"/>
      <c r="P127" s="48"/>
      <c r="Q127" s="7"/>
      <c r="R127" s="7"/>
      <c r="S127" s="7"/>
    </row>
    <row r="128" spans="1:19" ht="15.45" x14ac:dyDescent="0.4">
      <c r="A128" s="8" t="s">
        <v>134</v>
      </c>
      <c r="B128" s="8" t="s">
        <v>1132</v>
      </c>
      <c r="C128" s="8" t="s">
        <v>135</v>
      </c>
      <c r="D128" s="8" t="s">
        <v>1051</v>
      </c>
      <c r="E128" s="8" t="s">
        <v>68</v>
      </c>
      <c r="F128" s="8" t="s">
        <v>1520</v>
      </c>
      <c r="G128" s="8" t="s">
        <v>1520</v>
      </c>
      <c r="H128" s="23" t="str">
        <f t="shared" si="0"/>
        <v>Yes</v>
      </c>
      <c r="I128" s="7" t="str">
        <f t="shared" si="1"/>
        <v>TN</v>
      </c>
      <c r="J128" s="48"/>
      <c r="K128" s="48"/>
      <c r="L128" s="48"/>
      <c r="M128" s="48"/>
      <c r="N128" s="48"/>
      <c r="O128" s="48"/>
      <c r="P128" s="48"/>
      <c r="Q128" s="7"/>
      <c r="R128" s="7"/>
      <c r="S128" s="7"/>
    </row>
    <row r="129" spans="1:19" ht="15.45" x14ac:dyDescent="0.4">
      <c r="A129" s="8" t="s">
        <v>1052</v>
      </c>
      <c r="B129" s="8" t="s">
        <v>1055</v>
      </c>
      <c r="C129" s="8" t="s">
        <v>1038</v>
      </c>
      <c r="D129" s="8" t="s">
        <v>1029</v>
      </c>
      <c r="E129" s="8" t="s">
        <v>68</v>
      </c>
      <c r="F129" s="8" t="s">
        <v>1520</v>
      </c>
      <c r="G129" s="8" t="s">
        <v>1520</v>
      </c>
      <c r="H129" s="23" t="str">
        <f t="shared" si="0"/>
        <v>Yes</v>
      </c>
      <c r="I129" s="7" t="str">
        <f t="shared" si="1"/>
        <v>TN</v>
      </c>
      <c r="J129" s="48"/>
      <c r="K129" s="48"/>
      <c r="L129" s="48"/>
      <c r="M129" s="48"/>
      <c r="N129" s="48"/>
      <c r="O129" s="48"/>
      <c r="P129" s="48"/>
      <c r="Q129" s="7"/>
      <c r="R129" s="7"/>
      <c r="S129" s="7"/>
    </row>
    <row r="130" spans="1:19" ht="15.45" x14ac:dyDescent="0.4">
      <c r="A130" s="8" t="s">
        <v>1052</v>
      </c>
      <c r="B130" s="8" t="s">
        <v>1073</v>
      </c>
      <c r="C130" s="8" t="s">
        <v>1038</v>
      </c>
      <c r="D130" s="8" t="s">
        <v>1074</v>
      </c>
      <c r="E130" s="8" t="s">
        <v>68</v>
      </c>
      <c r="F130" s="8" t="s">
        <v>1522</v>
      </c>
      <c r="G130" s="8" t="s">
        <v>1520</v>
      </c>
      <c r="H130" s="23" t="str">
        <f t="shared" si="0"/>
        <v>No</v>
      </c>
      <c r="I130" s="7" t="str">
        <f t="shared" si="1"/>
        <v>FN</v>
      </c>
      <c r="J130" s="48"/>
      <c r="K130" s="48"/>
      <c r="L130" s="48"/>
      <c r="M130" s="48"/>
      <c r="N130" s="48"/>
      <c r="O130" s="48"/>
      <c r="P130" s="48"/>
      <c r="Q130" s="7"/>
      <c r="R130" s="7"/>
      <c r="S130" s="7"/>
    </row>
    <row r="131" spans="1:19" ht="15.45" x14ac:dyDescent="0.4">
      <c r="A131" s="8" t="s">
        <v>1052</v>
      </c>
      <c r="B131" s="8" t="s">
        <v>1132</v>
      </c>
      <c r="C131" s="8" t="s">
        <v>1038</v>
      </c>
      <c r="D131" s="8" t="s">
        <v>1051</v>
      </c>
      <c r="E131" s="8" t="s">
        <v>68</v>
      </c>
      <c r="F131" s="8" t="s">
        <v>1520</v>
      </c>
      <c r="G131" s="8" t="s">
        <v>1520</v>
      </c>
      <c r="H131" s="23" t="str">
        <f t="shared" si="0"/>
        <v>Yes</v>
      </c>
      <c r="I131" s="7" t="str">
        <f t="shared" si="1"/>
        <v>TN</v>
      </c>
      <c r="J131" s="48"/>
      <c r="K131" s="48"/>
      <c r="L131" s="48"/>
      <c r="M131" s="48"/>
      <c r="N131" s="48"/>
      <c r="O131" s="48"/>
      <c r="P131" s="48"/>
      <c r="Q131" s="7"/>
      <c r="R131" s="7"/>
      <c r="S131" s="7"/>
    </row>
    <row r="132" spans="1:19" ht="15.45" x14ac:dyDescent="0.4">
      <c r="A132" s="8" t="s">
        <v>1055</v>
      </c>
      <c r="B132" s="8" t="s">
        <v>1073</v>
      </c>
      <c r="C132" s="8" t="s">
        <v>1029</v>
      </c>
      <c r="D132" s="8" t="s">
        <v>1074</v>
      </c>
      <c r="E132" s="8" t="s">
        <v>68</v>
      </c>
      <c r="F132" s="8" t="s">
        <v>1520</v>
      </c>
      <c r="G132" s="8" t="s">
        <v>1520</v>
      </c>
      <c r="H132" s="23" t="str">
        <f t="shared" si="0"/>
        <v>Yes</v>
      </c>
      <c r="I132" s="7" t="str">
        <f t="shared" si="1"/>
        <v>TN</v>
      </c>
      <c r="J132" s="48"/>
      <c r="K132" s="48"/>
      <c r="L132" s="48"/>
      <c r="M132" s="48"/>
      <c r="N132" s="48"/>
      <c r="O132" s="48"/>
      <c r="P132" s="48"/>
      <c r="Q132" s="7"/>
      <c r="R132" s="7"/>
      <c r="S132" s="7"/>
    </row>
    <row r="133" spans="1:19" ht="15.45" x14ac:dyDescent="0.4">
      <c r="A133" s="8" t="s">
        <v>1055</v>
      </c>
      <c r="B133" s="8" t="s">
        <v>1132</v>
      </c>
      <c r="C133" s="8" t="s">
        <v>1029</v>
      </c>
      <c r="D133" s="8" t="s">
        <v>1051</v>
      </c>
      <c r="E133" s="8" t="s">
        <v>68</v>
      </c>
      <c r="F133" s="8" t="s">
        <v>1522</v>
      </c>
      <c r="G133" s="8" t="s">
        <v>1520</v>
      </c>
      <c r="H133" s="23" t="str">
        <f t="shared" si="0"/>
        <v>No</v>
      </c>
      <c r="I133" s="7" t="str">
        <f t="shared" si="1"/>
        <v>FN</v>
      </c>
      <c r="J133" s="48"/>
      <c r="K133" s="48"/>
      <c r="L133" s="48"/>
      <c r="M133" s="48"/>
      <c r="N133" s="48"/>
      <c r="O133" s="48"/>
      <c r="P133" s="48"/>
      <c r="Q133" s="7"/>
      <c r="R133" s="7"/>
      <c r="S133" s="7"/>
    </row>
    <row r="134" spans="1:19" ht="15.45" x14ac:dyDescent="0.4">
      <c r="A134" s="8" t="s">
        <v>1073</v>
      </c>
      <c r="B134" s="8" t="s">
        <v>1132</v>
      </c>
      <c r="C134" s="8" t="s">
        <v>1074</v>
      </c>
      <c r="D134" s="8" t="s">
        <v>1051</v>
      </c>
      <c r="E134" s="8" t="s">
        <v>68</v>
      </c>
      <c r="F134" s="8" t="s">
        <v>1520</v>
      </c>
      <c r="G134" s="8" t="s">
        <v>1520</v>
      </c>
      <c r="H134" s="23" t="str">
        <f t="shared" si="0"/>
        <v>Yes</v>
      </c>
      <c r="I134" s="7" t="str">
        <f t="shared" si="1"/>
        <v>TN</v>
      </c>
      <c r="J134" s="48"/>
      <c r="K134" s="48"/>
      <c r="L134" s="48"/>
      <c r="M134" s="48"/>
      <c r="N134" s="48"/>
      <c r="O134" s="48"/>
      <c r="P134" s="48"/>
      <c r="Q134" s="7"/>
      <c r="R134" s="7"/>
      <c r="S134" s="7"/>
    </row>
    <row r="135" spans="1:19" ht="15.45" x14ac:dyDescent="0.4">
      <c r="A135" s="8" t="s">
        <v>1136</v>
      </c>
      <c r="B135" s="8" t="s">
        <v>1137</v>
      </c>
      <c r="C135" s="8" t="s">
        <v>1074</v>
      </c>
      <c r="D135" s="8" t="s">
        <v>1033</v>
      </c>
      <c r="E135" s="8" t="s">
        <v>15</v>
      </c>
      <c r="F135" s="8" t="s">
        <v>1522</v>
      </c>
      <c r="G135" s="8" t="s">
        <v>1522</v>
      </c>
      <c r="H135" s="23" t="str">
        <f t="shared" si="0"/>
        <v>Yes</v>
      </c>
      <c r="I135" s="7" t="str">
        <f t="shared" si="1"/>
        <v>TP</v>
      </c>
      <c r="J135" s="48"/>
      <c r="K135" s="48"/>
      <c r="L135" s="48"/>
      <c r="M135" s="48"/>
      <c r="N135" s="48"/>
      <c r="O135" s="48"/>
      <c r="P135" s="48"/>
      <c r="Q135" s="7"/>
      <c r="R135" s="7"/>
      <c r="S135" s="7"/>
    </row>
    <row r="136" spans="1:19" ht="15.45" x14ac:dyDescent="0.4">
      <c r="A136" s="8" t="s">
        <v>13</v>
      </c>
      <c r="B136" s="8" t="s">
        <v>25</v>
      </c>
      <c r="C136" s="8" t="s">
        <v>14</v>
      </c>
      <c r="D136" s="8" t="s">
        <v>26</v>
      </c>
      <c r="E136" s="8" t="s">
        <v>15</v>
      </c>
      <c r="F136" s="8" t="s">
        <v>1520</v>
      </c>
      <c r="G136" s="8" t="s">
        <v>1520</v>
      </c>
      <c r="H136" s="23" t="str">
        <f t="shared" si="0"/>
        <v>Yes</v>
      </c>
      <c r="I136" s="7" t="str">
        <f t="shared" si="1"/>
        <v>TN</v>
      </c>
      <c r="J136" s="48"/>
      <c r="K136" s="48"/>
      <c r="L136" s="48"/>
      <c r="M136" s="48"/>
      <c r="N136" s="48"/>
      <c r="O136" s="48"/>
      <c r="P136" s="48"/>
      <c r="Q136" s="7"/>
      <c r="R136" s="7"/>
      <c r="S136" s="7"/>
    </row>
    <row r="137" spans="1:19" ht="15.45" x14ac:dyDescent="0.4">
      <c r="A137" s="8" t="s">
        <v>13</v>
      </c>
      <c r="B137" s="8" t="s">
        <v>39</v>
      </c>
      <c r="C137" s="8" t="s">
        <v>14</v>
      </c>
      <c r="D137" s="8" t="s">
        <v>40</v>
      </c>
      <c r="E137" s="8" t="s">
        <v>15</v>
      </c>
      <c r="F137" s="8" t="s">
        <v>1520</v>
      </c>
      <c r="G137" s="8" t="s">
        <v>1520</v>
      </c>
      <c r="H137" s="23" t="str">
        <f t="shared" si="0"/>
        <v>Yes</v>
      </c>
      <c r="I137" s="7" t="str">
        <f t="shared" si="1"/>
        <v>TN</v>
      </c>
      <c r="J137" s="48"/>
      <c r="K137" s="48"/>
      <c r="L137" s="48"/>
      <c r="M137" s="48"/>
      <c r="N137" s="48"/>
      <c r="O137" s="48"/>
      <c r="P137" s="48"/>
      <c r="Q137" s="7"/>
      <c r="R137" s="7"/>
      <c r="S137" s="7"/>
    </row>
    <row r="138" spans="1:19" ht="15.45" x14ac:dyDescent="0.4">
      <c r="A138" s="8" t="s">
        <v>13</v>
      </c>
      <c r="B138" s="8" t="s">
        <v>43</v>
      </c>
      <c r="C138" s="8" t="s">
        <v>14</v>
      </c>
      <c r="D138" s="8" t="s">
        <v>44</v>
      </c>
      <c r="E138" s="8" t="s">
        <v>15</v>
      </c>
      <c r="F138" s="8" t="s">
        <v>1520</v>
      </c>
      <c r="G138" s="8" t="s">
        <v>1520</v>
      </c>
      <c r="H138" s="23" t="str">
        <f t="shared" si="0"/>
        <v>Yes</v>
      </c>
      <c r="I138" s="7" t="str">
        <f t="shared" si="1"/>
        <v>TN</v>
      </c>
      <c r="J138" s="48"/>
      <c r="K138" s="48"/>
      <c r="L138" s="48"/>
      <c r="M138" s="48"/>
      <c r="N138" s="48"/>
      <c r="O138" s="48"/>
      <c r="P138" s="48"/>
      <c r="Q138" s="7"/>
      <c r="R138" s="7"/>
      <c r="S138" s="7"/>
    </row>
    <row r="139" spans="1:19" ht="15.45" x14ac:dyDescent="0.4">
      <c r="A139" s="8" t="s">
        <v>13</v>
      </c>
      <c r="B139" s="8" t="s">
        <v>1136</v>
      </c>
      <c r="C139" s="8" t="s">
        <v>14</v>
      </c>
      <c r="D139" s="8" t="s">
        <v>1074</v>
      </c>
      <c r="E139" s="8" t="s">
        <v>15</v>
      </c>
      <c r="F139" s="8" t="s">
        <v>1520</v>
      </c>
      <c r="G139" s="8" t="s">
        <v>1520</v>
      </c>
      <c r="H139" s="23" t="str">
        <f t="shared" si="0"/>
        <v>Yes</v>
      </c>
      <c r="I139" s="7" t="str">
        <f t="shared" si="1"/>
        <v>TN</v>
      </c>
      <c r="J139" s="48"/>
      <c r="K139" s="48"/>
      <c r="L139" s="48"/>
      <c r="M139" s="48"/>
      <c r="N139" s="48"/>
      <c r="O139" s="48"/>
      <c r="P139" s="48"/>
      <c r="Q139" s="7"/>
      <c r="R139" s="7"/>
      <c r="S139" s="7"/>
    </row>
    <row r="140" spans="1:19" ht="15.45" x14ac:dyDescent="0.4">
      <c r="A140" s="8" t="s">
        <v>13</v>
      </c>
      <c r="B140" s="8" t="s">
        <v>1137</v>
      </c>
      <c r="C140" s="8" t="s">
        <v>14</v>
      </c>
      <c r="D140" s="8" t="s">
        <v>1033</v>
      </c>
      <c r="E140" s="8" t="s">
        <v>15</v>
      </c>
      <c r="F140" s="8" t="s">
        <v>1520</v>
      </c>
      <c r="G140" s="8" t="s">
        <v>1520</v>
      </c>
      <c r="H140" s="23" t="str">
        <f t="shared" si="0"/>
        <v>Yes</v>
      </c>
      <c r="I140" s="7" t="str">
        <f t="shared" si="1"/>
        <v>TN</v>
      </c>
      <c r="J140" s="48"/>
      <c r="K140" s="48"/>
      <c r="L140" s="48"/>
      <c r="M140" s="48"/>
      <c r="N140" s="48"/>
      <c r="O140" s="48"/>
      <c r="P140" s="48"/>
      <c r="Q140" s="7"/>
      <c r="R140" s="7"/>
      <c r="S140" s="7"/>
    </row>
    <row r="141" spans="1:19" ht="15.45" x14ac:dyDescent="0.4">
      <c r="A141" s="8" t="s">
        <v>13</v>
      </c>
      <c r="B141" s="8" t="s">
        <v>1155</v>
      </c>
      <c r="C141" s="8" t="s">
        <v>14</v>
      </c>
      <c r="D141" s="8" t="s">
        <v>1156</v>
      </c>
      <c r="E141" s="8" t="s">
        <v>15</v>
      </c>
      <c r="F141" s="8" t="s">
        <v>1520</v>
      </c>
      <c r="G141" s="8" t="s">
        <v>1520</v>
      </c>
      <c r="H141" s="23" t="str">
        <f t="shared" si="0"/>
        <v>Yes</v>
      </c>
      <c r="I141" s="7" t="str">
        <f t="shared" si="1"/>
        <v>TN</v>
      </c>
      <c r="J141" s="48"/>
      <c r="K141" s="48"/>
      <c r="L141" s="48"/>
      <c r="M141" s="48"/>
      <c r="N141" s="48"/>
      <c r="O141" s="48"/>
      <c r="P141" s="48"/>
      <c r="Q141" s="7"/>
      <c r="R141" s="7"/>
      <c r="S141" s="7"/>
    </row>
    <row r="142" spans="1:19" ht="15.45" x14ac:dyDescent="0.4">
      <c r="A142" s="8" t="s">
        <v>13</v>
      </c>
      <c r="B142" s="8" t="s">
        <v>1163</v>
      </c>
      <c r="C142" s="8" t="s">
        <v>14</v>
      </c>
      <c r="D142" s="8" t="s">
        <v>1156</v>
      </c>
      <c r="E142" s="8" t="s">
        <v>15</v>
      </c>
      <c r="F142" s="8" t="s">
        <v>1520</v>
      </c>
      <c r="G142" s="8" t="s">
        <v>1520</v>
      </c>
      <c r="H142" s="23" t="str">
        <f t="shared" si="0"/>
        <v>Yes</v>
      </c>
      <c r="I142" s="7" t="str">
        <f t="shared" si="1"/>
        <v>TN</v>
      </c>
      <c r="J142" s="48"/>
      <c r="K142" s="48"/>
      <c r="L142" s="48"/>
      <c r="M142" s="48"/>
      <c r="N142" s="48"/>
      <c r="O142" s="48"/>
      <c r="P142" s="48"/>
      <c r="Q142" s="7"/>
      <c r="R142" s="7"/>
      <c r="S142" s="7"/>
    </row>
    <row r="143" spans="1:19" ht="15.45" x14ac:dyDescent="0.4">
      <c r="A143" s="8" t="s">
        <v>25</v>
      </c>
      <c r="B143" s="8" t="s">
        <v>39</v>
      </c>
      <c r="C143" s="8" t="s">
        <v>26</v>
      </c>
      <c r="D143" s="8" t="s">
        <v>40</v>
      </c>
      <c r="E143" s="8" t="s">
        <v>15</v>
      </c>
      <c r="F143" s="8" t="s">
        <v>1520</v>
      </c>
      <c r="G143" s="8" t="s">
        <v>1520</v>
      </c>
      <c r="H143" s="23" t="str">
        <f t="shared" si="0"/>
        <v>Yes</v>
      </c>
      <c r="I143" s="7" t="str">
        <f t="shared" si="1"/>
        <v>TN</v>
      </c>
      <c r="J143" s="48"/>
      <c r="K143" s="48"/>
      <c r="L143" s="48"/>
      <c r="M143" s="48"/>
      <c r="N143" s="48"/>
      <c r="O143" s="48"/>
      <c r="P143" s="48"/>
      <c r="Q143" s="7"/>
      <c r="R143" s="7"/>
      <c r="S143" s="7"/>
    </row>
    <row r="144" spans="1:19" ht="15.45" x14ac:dyDescent="0.4">
      <c r="A144" s="8" t="s">
        <v>25</v>
      </c>
      <c r="B144" s="8" t="s">
        <v>43</v>
      </c>
      <c r="C144" s="8" t="s">
        <v>26</v>
      </c>
      <c r="D144" s="8" t="s">
        <v>44</v>
      </c>
      <c r="E144" s="8" t="s">
        <v>15</v>
      </c>
      <c r="F144" s="8" t="s">
        <v>1520</v>
      </c>
      <c r="G144" s="8" t="s">
        <v>1520</v>
      </c>
      <c r="H144" s="23" t="str">
        <f t="shared" si="0"/>
        <v>Yes</v>
      </c>
      <c r="I144" s="7" t="str">
        <f t="shared" si="1"/>
        <v>TN</v>
      </c>
      <c r="J144" s="48"/>
      <c r="K144" s="48"/>
      <c r="L144" s="48"/>
      <c r="M144" s="48"/>
      <c r="N144" s="48"/>
      <c r="O144" s="48"/>
      <c r="P144" s="48"/>
      <c r="Q144" s="7"/>
      <c r="R144" s="7"/>
      <c r="S144" s="7"/>
    </row>
    <row r="145" spans="1:19" ht="15.45" x14ac:dyDescent="0.4">
      <c r="A145" s="8" t="s">
        <v>25</v>
      </c>
      <c r="B145" s="8" t="s">
        <v>1136</v>
      </c>
      <c r="C145" s="8" t="s">
        <v>26</v>
      </c>
      <c r="D145" s="8" t="s">
        <v>1074</v>
      </c>
      <c r="E145" s="8" t="s">
        <v>15</v>
      </c>
      <c r="F145" s="8" t="s">
        <v>1520</v>
      </c>
      <c r="G145" s="8" t="s">
        <v>1520</v>
      </c>
      <c r="H145" s="23" t="str">
        <f t="shared" si="0"/>
        <v>Yes</v>
      </c>
      <c r="I145" s="7" t="str">
        <f t="shared" si="1"/>
        <v>TN</v>
      </c>
      <c r="J145" s="48"/>
      <c r="K145" s="48"/>
      <c r="L145" s="48"/>
      <c r="M145" s="48"/>
      <c r="N145" s="48"/>
      <c r="O145" s="48"/>
      <c r="P145" s="48"/>
      <c r="Q145" s="7"/>
      <c r="R145" s="7"/>
      <c r="S145" s="7"/>
    </row>
    <row r="146" spans="1:19" ht="15.45" x14ac:dyDescent="0.4">
      <c r="A146" s="8" t="s">
        <v>25</v>
      </c>
      <c r="B146" s="8" t="s">
        <v>1137</v>
      </c>
      <c r="C146" s="8" t="s">
        <v>26</v>
      </c>
      <c r="D146" s="8" t="s">
        <v>1033</v>
      </c>
      <c r="E146" s="8" t="s">
        <v>15</v>
      </c>
      <c r="F146" s="8" t="s">
        <v>1520</v>
      </c>
      <c r="G146" s="8" t="s">
        <v>1520</v>
      </c>
      <c r="H146" s="23" t="str">
        <f t="shared" si="0"/>
        <v>Yes</v>
      </c>
      <c r="I146" s="7" t="str">
        <f t="shared" si="1"/>
        <v>TN</v>
      </c>
      <c r="J146" s="48"/>
      <c r="K146" s="48"/>
      <c r="L146" s="48"/>
      <c r="M146" s="48"/>
      <c r="N146" s="48"/>
      <c r="O146" s="48"/>
      <c r="P146" s="48"/>
      <c r="Q146" s="7"/>
      <c r="R146" s="7"/>
      <c r="S146" s="7"/>
    </row>
    <row r="147" spans="1:19" ht="15.45" x14ac:dyDescent="0.4">
      <c r="A147" s="8" t="s">
        <v>25</v>
      </c>
      <c r="B147" s="8" t="s">
        <v>1155</v>
      </c>
      <c r="C147" s="8" t="s">
        <v>26</v>
      </c>
      <c r="D147" s="8" t="s">
        <v>1156</v>
      </c>
      <c r="E147" s="8" t="s">
        <v>15</v>
      </c>
      <c r="F147" s="8" t="s">
        <v>1520</v>
      </c>
      <c r="G147" s="8" t="s">
        <v>1520</v>
      </c>
      <c r="H147" s="23" t="str">
        <f t="shared" si="0"/>
        <v>Yes</v>
      </c>
      <c r="I147" s="7" t="str">
        <f t="shared" si="1"/>
        <v>TN</v>
      </c>
      <c r="J147" s="48"/>
      <c r="K147" s="48"/>
      <c r="L147" s="48"/>
      <c r="M147" s="48"/>
      <c r="N147" s="48"/>
      <c r="O147" s="48"/>
      <c r="P147" s="48"/>
      <c r="Q147" s="7"/>
      <c r="R147" s="7"/>
      <c r="S147" s="7"/>
    </row>
    <row r="148" spans="1:19" ht="15.45" x14ac:dyDescent="0.4">
      <c r="A148" s="8" t="s">
        <v>25</v>
      </c>
      <c r="B148" s="8" t="s">
        <v>1163</v>
      </c>
      <c r="C148" s="8" t="s">
        <v>26</v>
      </c>
      <c r="D148" s="8" t="s">
        <v>1156</v>
      </c>
      <c r="E148" s="8" t="s">
        <v>15</v>
      </c>
      <c r="F148" s="8" t="s">
        <v>1520</v>
      </c>
      <c r="G148" s="8" t="s">
        <v>1520</v>
      </c>
      <c r="H148" s="23" t="str">
        <f t="shared" si="0"/>
        <v>Yes</v>
      </c>
      <c r="I148" s="7" t="str">
        <f t="shared" si="1"/>
        <v>TN</v>
      </c>
      <c r="J148" s="48"/>
      <c r="K148" s="48"/>
      <c r="L148" s="48"/>
      <c r="M148" s="48"/>
      <c r="N148" s="48"/>
      <c r="O148" s="48"/>
      <c r="P148" s="48"/>
      <c r="Q148" s="7"/>
      <c r="R148" s="7"/>
      <c r="S148" s="7"/>
    </row>
    <row r="149" spans="1:19" ht="15.45" x14ac:dyDescent="0.4">
      <c r="A149" s="8" t="s">
        <v>39</v>
      </c>
      <c r="B149" s="8" t="s">
        <v>43</v>
      </c>
      <c r="C149" s="8" t="s">
        <v>40</v>
      </c>
      <c r="D149" s="8" t="s">
        <v>44</v>
      </c>
      <c r="E149" s="8" t="s">
        <v>15</v>
      </c>
      <c r="F149" s="8" t="s">
        <v>1520</v>
      </c>
      <c r="G149" s="8" t="s">
        <v>1520</v>
      </c>
      <c r="H149" s="23" t="str">
        <f t="shared" si="0"/>
        <v>Yes</v>
      </c>
      <c r="I149" s="7" t="str">
        <f t="shared" si="1"/>
        <v>TN</v>
      </c>
      <c r="J149" s="48"/>
      <c r="K149" s="48"/>
      <c r="L149" s="48"/>
      <c r="M149" s="48"/>
      <c r="N149" s="48"/>
      <c r="O149" s="48"/>
      <c r="P149" s="48"/>
      <c r="Q149" s="7"/>
      <c r="R149" s="7"/>
      <c r="S149" s="7"/>
    </row>
    <row r="150" spans="1:19" ht="15.45" x14ac:dyDescent="0.4">
      <c r="A150" s="8" t="s">
        <v>39</v>
      </c>
      <c r="B150" s="8" t="s">
        <v>1136</v>
      </c>
      <c r="C150" s="8" t="s">
        <v>40</v>
      </c>
      <c r="D150" s="8" t="s">
        <v>1074</v>
      </c>
      <c r="E150" s="8" t="s">
        <v>15</v>
      </c>
      <c r="F150" s="8" t="s">
        <v>1520</v>
      </c>
      <c r="G150" s="8" t="s">
        <v>1520</v>
      </c>
      <c r="H150" s="23" t="str">
        <f t="shared" si="0"/>
        <v>Yes</v>
      </c>
      <c r="I150" s="7" t="str">
        <f t="shared" si="1"/>
        <v>TN</v>
      </c>
      <c r="J150" s="48"/>
      <c r="K150" s="48"/>
      <c r="L150" s="48"/>
      <c r="M150" s="48"/>
      <c r="N150" s="48"/>
      <c r="O150" s="48"/>
      <c r="P150" s="48"/>
      <c r="Q150" s="7"/>
      <c r="R150" s="7"/>
      <c r="S150" s="7"/>
    </row>
    <row r="151" spans="1:19" ht="15.45" x14ac:dyDescent="0.4">
      <c r="A151" s="8" t="s">
        <v>39</v>
      </c>
      <c r="B151" s="8" t="s">
        <v>1137</v>
      </c>
      <c r="C151" s="8" t="s">
        <v>40</v>
      </c>
      <c r="D151" s="8" t="s">
        <v>1033</v>
      </c>
      <c r="E151" s="8" t="s">
        <v>15</v>
      </c>
      <c r="F151" s="8" t="s">
        <v>1520</v>
      </c>
      <c r="G151" s="8" t="s">
        <v>1520</v>
      </c>
      <c r="H151" s="23" t="str">
        <f t="shared" si="0"/>
        <v>Yes</v>
      </c>
      <c r="I151" s="7" t="str">
        <f t="shared" si="1"/>
        <v>TN</v>
      </c>
      <c r="J151" s="48"/>
      <c r="K151" s="48"/>
      <c r="L151" s="48"/>
      <c r="M151" s="48"/>
      <c r="N151" s="48"/>
      <c r="O151" s="48"/>
      <c r="P151" s="48"/>
      <c r="Q151" s="7"/>
      <c r="R151" s="7"/>
      <c r="S151" s="7"/>
    </row>
    <row r="152" spans="1:19" ht="15.45" x14ac:dyDescent="0.4">
      <c r="A152" s="8" t="s">
        <v>39</v>
      </c>
      <c r="B152" s="8" t="s">
        <v>1155</v>
      </c>
      <c r="C152" s="8" t="s">
        <v>40</v>
      </c>
      <c r="D152" s="8" t="s">
        <v>1156</v>
      </c>
      <c r="E152" s="8" t="s">
        <v>15</v>
      </c>
      <c r="F152" s="8" t="s">
        <v>1520</v>
      </c>
      <c r="G152" s="8" t="s">
        <v>1520</v>
      </c>
      <c r="H152" s="23" t="str">
        <f t="shared" si="0"/>
        <v>Yes</v>
      </c>
      <c r="I152" s="7" t="str">
        <f t="shared" si="1"/>
        <v>TN</v>
      </c>
      <c r="J152" s="48"/>
      <c r="K152" s="48"/>
      <c r="L152" s="48"/>
      <c r="M152" s="48"/>
      <c r="N152" s="48"/>
      <c r="O152" s="48"/>
      <c r="P152" s="48"/>
      <c r="Q152" s="7"/>
      <c r="R152" s="7"/>
      <c r="S152" s="7"/>
    </row>
    <row r="153" spans="1:19" ht="15.45" x14ac:dyDescent="0.4">
      <c r="A153" s="8" t="s">
        <v>39</v>
      </c>
      <c r="B153" s="8" t="s">
        <v>1163</v>
      </c>
      <c r="C153" s="8" t="s">
        <v>40</v>
      </c>
      <c r="D153" s="8" t="s">
        <v>1156</v>
      </c>
      <c r="E153" s="8" t="s">
        <v>15</v>
      </c>
      <c r="F153" s="8" t="s">
        <v>1520</v>
      </c>
      <c r="G153" s="8" t="s">
        <v>1520</v>
      </c>
      <c r="H153" s="23" t="str">
        <f t="shared" si="0"/>
        <v>Yes</v>
      </c>
      <c r="I153" s="7" t="str">
        <f t="shared" si="1"/>
        <v>TN</v>
      </c>
      <c r="J153" s="48"/>
      <c r="K153" s="48"/>
      <c r="L153" s="48"/>
      <c r="M153" s="48"/>
      <c r="N153" s="48"/>
      <c r="O153" s="48"/>
      <c r="P153" s="48"/>
      <c r="Q153" s="7"/>
      <c r="R153" s="7"/>
      <c r="S153" s="7"/>
    </row>
    <row r="154" spans="1:19" ht="15.45" x14ac:dyDescent="0.4">
      <c r="A154" s="8" t="s">
        <v>43</v>
      </c>
      <c r="B154" s="8" t="s">
        <v>1136</v>
      </c>
      <c r="C154" s="8" t="s">
        <v>44</v>
      </c>
      <c r="D154" s="8" t="s">
        <v>1074</v>
      </c>
      <c r="E154" s="8" t="s">
        <v>15</v>
      </c>
      <c r="F154" s="8" t="s">
        <v>1520</v>
      </c>
      <c r="G154" s="8" t="s">
        <v>1520</v>
      </c>
      <c r="H154" s="23" t="str">
        <f t="shared" si="0"/>
        <v>Yes</v>
      </c>
      <c r="I154" s="7" t="str">
        <f t="shared" si="1"/>
        <v>TN</v>
      </c>
      <c r="J154" s="48"/>
      <c r="K154" s="48"/>
      <c r="L154" s="48"/>
      <c r="M154" s="48"/>
      <c r="N154" s="48"/>
      <c r="O154" s="48"/>
      <c r="P154" s="48"/>
      <c r="Q154" s="7"/>
      <c r="R154" s="7"/>
      <c r="S154" s="7"/>
    </row>
    <row r="155" spans="1:19" ht="15.45" x14ac:dyDescent="0.4">
      <c r="A155" s="8" t="s">
        <v>43</v>
      </c>
      <c r="B155" s="8" t="s">
        <v>1137</v>
      </c>
      <c r="C155" s="8" t="s">
        <v>44</v>
      </c>
      <c r="D155" s="8" t="s">
        <v>1033</v>
      </c>
      <c r="E155" s="8" t="s">
        <v>15</v>
      </c>
      <c r="F155" s="8" t="s">
        <v>1520</v>
      </c>
      <c r="G155" s="8" t="s">
        <v>1520</v>
      </c>
      <c r="H155" s="23" t="str">
        <f t="shared" si="0"/>
        <v>Yes</v>
      </c>
      <c r="I155" s="7" t="str">
        <f t="shared" si="1"/>
        <v>TN</v>
      </c>
      <c r="J155" s="48"/>
      <c r="K155" s="48"/>
      <c r="L155" s="48"/>
      <c r="M155" s="48"/>
      <c r="N155" s="48"/>
      <c r="O155" s="48"/>
      <c r="P155" s="48"/>
      <c r="Q155" s="7"/>
      <c r="R155" s="7"/>
      <c r="S155" s="7"/>
    </row>
    <row r="156" spans="1:19" ht="15.45" x14ac:dyDescent="0.4">
      <c r="A156" s="8" t="s">
        <v>43</v>
      </c>
      <c r="B156" s="8" t="s">
        <v>1155</v>
      </c>
      <c r="C156" s="8" t="s">
        <v>44</v>
      </c>
      <c r="D156" s="8" t="s">
        <v>1156</v>
      </c>
      <c r="E156" s="8" t="s">
        <v>15</v>
      </c>
      <c r="F156" s="8" t="s">
        <v>1520</v>
      </c>
      <c r="G156" s="8" t="s">
        <v>1520</v>
      </c>
      <c r="H156" s="23" t="str">
        <f t="shared" si="0"/>
        <v>Yes</v>
      </c>
      <c r="I156" s="7" t="str">
        <f t="shared" si="1"/>
        <v>TN</v>
      </c>
      <c r="J156" s="48"/>
      <c r="K156" s="48"/>
      <c r="L156" s="48"/>
      <c r="M156" s="48"/>
      <c r="N156" s="48"/>
      <c r="O156" s="48"/>
      <c r="P156" s="48"/>
      <c r="Q156" s="7"/>
      <c r="R156" s="7"/>
      <c r="S156" s="7"/>
    </row>
    <row r="157" spans="1:19" ht="15.45" x14ac:dyDescent="0.4">
      <c r="A157" s="8" t="s">
        <v>43</v>
      </c>
      <c r="B157" s="8" t="s">
        <v>1163</v>
      </c>
      <c r="C157" s="8" t="s">
        <v>44</v>
      </c>
      <c r="D157" s="8" t="s">
        <v>1156</v>
      </c>
      <c r="E157" s="8" t="s">
        <v>15</v>
      </c>
      <c r="F157" s="8" t="s">
        <v>1520</v>
      </c>
      <c r="G157" s="8" t="s">
        <v>1520</v>
      </c>
      <c r="H157" s="23" t="str">
        <f t="shared" si="0"/>
        <v>Yes</v>
      </c>
      <c r="I157" s="7" t="str">
        <f t="shared" si="1"/>
        <v>TN</v>
      </c>
      <c r="J157" s="48"/>
      <c r="K157" s="48"/>
      <c r="L157" s="48"/>
      <c r="M157" s="48"/>
      <c r="N157" s="48"/>
      <c r="O157" s="48"/>
      <c r="P157" s="48"/>
      <c r="Q157" s="7"/>
      <c r="R157" s="7"/>
      <c r="S157" s="7"/>
    </row>
    <row r="158" spans="1:19" ht="15.45" x14ac:dyDescent="0.4">
      <c r="A158" s="8" t="s">
        <v>1136</v>
      </c>
      <c r="B158" s="8" t="s">
        <v>1155</v>
      </c>
      <c r="C158" s="8" t="s">
        <v>1074</v>
      </c>
      <c r="D158" s="8" t="s">
        <v>1156</v>
      </c>
      <c r="E158" s="8" t="s">
        <v>15</v>
      </c>
      <c r="F158" s="8" t="s">
        <v>1520</v>
      </c>
      <c r="G158" s="8" t="s">
        <v>1520</v>
      </c>
      <c r="H158" s="23" t="str">
        <f t="shared" si="0"/>
        <v>Yes</v>
      </c>
      <c r="I158" s="7" t="str">
        <f t="shared" si="1"/>
        <v>TN</v>
      </c>
      <c r="J158" s="48"/>
      <c r="K158" s="48"/>
      <c r="L158" s="48"/>
      <c r="M158" s="48"/>
      <c r="N158" s="48"/>
      <c r="O158" s="48"/>
      <c r="P158" s="48"/>
      <c r="Q158" s="7"/>
      <c r="R158" s="7"/>
      <c r="S158" s="7"/>
    </row>
    <row r="159" spans="1:19" ht="15.45" x14ac:dyDescent="0.4">
      <c r="A159" s="8" t="s">
        <v>1136</v>
      </c>
      <c r="B159" s="8" t="s">
        <v>1163</v>
      </c>
      <c r="C159" s="8" t="s">
        <v>1074</v>
      </c>
      <c r="D159" s="8" t="s">
        <v>1156</v>
      </c>
      <c r="E159" s="8" t="s">
        <v>15</v>
      </c>
      <c r="F159" s="8" t="s">
        <v>1520</v>
      </c>
      <c r="G159" s="8" t="s">
        <v>1520</v>
      </c>
      <c r="H159" s="23" t="str">
        <f t="shared" si="0"/>
        <v>Yes</v>
      </c>
      <c r="I159" s="7" t="str">
        <f t="shared" si="1"/>
        <v>TN</v>
      </c>
      <c r="J159" s="48"/>
      <c r="K159" s="48"/>
      <c r="L159" s="48"/>
      <c r="M159" s="48"/>
      <c r="N159" s="48"/>
      <c r="O159" s="48"/>
      <c r="P159" s="48"/>
      <c r="Q159" s="7"/>
      <c r="R159" s="7"/>
      <c r="S159" s="7"/>
    </row>
    <row r="160" spans="1:19" ht="15.45" x14ac:dyDescent="0.4">
      <c r="A160" s="8" t="s">
        <v>1137</v>
      </c>
      <c r="B160" s="8" t="s">
        <v>1155</v>
      </c>
      <c r="C160" s="8" t="s">
        <v>1033</v>
      </c>
      <c r="D160" s="8" t="s">
        <v>1156</v>
      </c>
      <c r="E160" s="8" t="s">
        <v>15</v>
      </c>
      <c r="F160" s="8" t="s">
        <v>1520</v>
      </c>
      <c r="G160" s="8" t="s">
        <v>1520</v>
      </c>
      <c r="H160" s="23" t="str">
        <f t="shared" si="0"/>
        <v>Yes</v>
      </c>
      <c r="I160" s="7" t="str">
        <f t="shared" si="1"/>
        <v>TN</v>
      </c>
      <c r="J160" s="48"/>
      <c r="K160" s="48"/>
      <c r="L160" s="48"/>
      <c r="M160" s="48"/>
      <c r="N160" s="48"/>
      <c r="O160" s="48"/>
      <c r="P160" s="48"/>
      <c r="Q160" s="7"/>
      <c r="R160" s="7"/>
      <c r="S160" s="7"/>
    </row>
    <row r="161" spans="1:19" ht="15.45" x14ac:dyDescent="0.4">
      <c r="A161" s="8" t="s">
        <v>1137</v>
      </c>
      <c r="B161" s="8" t="s">
        <v>1163</v>
      </c>
      <c r="C161" s="8" t="s">
        <v>1033</v>
      </c>
      <c r="D161" s="8" t="s">
        <v>1156</v>
      </c>
      <c r="E161" s="8" t="s">
        <v>15</v>
      </c>
      <c r="F161" s="8" t="s">
        <v>1520</v>
      </c>
      <c r="G161" s="8" t="s">
        <v>1520</v>
      </c>
      <c r="H161" s="23" t="str">
        <f t="shared" si="0"/>
        <v>Yes</v>
      </c>
      <c r="I161" s="7" t="str">
        <f t="shared" si="1"/>
        <v>TN</v>
      </c>
      <c r="J161" s="48"/>
      <c r="K161" s="48"/>
      <c r="L161" s="48"/>
      <c r="M161" s="48"/>
      <c r="N161" s="48"/>
      <c r="O161" s="48"/>
      <c r="P161" s="48"/>
      <c r="Q161" s="7"/>
      <c r="R161" s="7"/>
      <c r="S161" s="7"/>
    </row>
    <row r="162" spans="1:19" ht="15.45" x14ac:dyDescent="0.4">
      <c r="A162" s="8" t="s">
        <v>1155</v>
      </c>
      <c r="B162" s="8" t="s">
        <v>1163</v>
      </c>
      <c r="C162" s="8" t="s">
        <v>1156</v>
      </c>
      <c r="D162" s="8" t="s">
        <v>1156</v>
      </c>
      <c r="E162" s="8" t="s">
        <v>15</v>
      </c>
      <c r="F162" s="8" t="s">
        <v>1520</v>
      </c>
      <c r="G162" s="8" t="s">
        <v>1520</v>
      </c>
      <c r="H162" s="23" t="str">
        <f t="shared" si="0"/>
        <v>Yes</v>
      </c>
      <c r="I162" s="7" t="str">
        <f t="shared" si="1"/>
        <v>TN</v>
      </c>
      <c r="J162" s="48"/>
      <c r="K162" s="48"/>
      <c r="L162" s="48"/>
      <c r="M162" s="48"/>
      <c r="N162" s="48"/>
      <c r="O162" s="48"/>
      <c r="P162" s="48"/>
      <c r="Q162" s="7"/>
      <c r="R162" s="7"/>
      <c r="S162" s="7"/>
    </row>
    <row r="163" spans="1:19" ht="15.45" x14ac:dyDescent="0.4">
      <c r="A163" s="8" t="s">
        <v>1358</v>
      </c>
      <c r="B163" s="8" t="s">
        <v>1403</v>
      </c>
      <c r="C163" s="8" t="s">
        <v>1359</v>
      </c>
      <c r="D163" s="8" t="s">
        <v>1345</v>
      </c>
      <c r="E163" s="8" t="s">
        <v>24</v>
      </c>
      <c r="F163" s="8" t="s">
        <v>1522</v>
      </c>
      <c r="G163" s="8" t="s">
        <v>1522</v>
      </c>
      <c r="H163" s="23" t="str">
        <f t="shared" si="0"/>
        <v>Yes</v>
      </c>
      <c r="I163" s="7" t="str">
        <f t="shared" si="1"/>
        <v>TP</v>
      </c>
      <c r="J163" s="48"/>
      <c r="K163" s="48"/>
      <c r="L163" s="48"/>
      <c r="M163" s="48"/>
      <c r="N163" s="48"/>
      <c r="O163" s="48"/>
      <c r="P163" s="48"/>
      <c r="Q163" s="7"/>
      <c r="R163" s="7"/>
      <c r="S163" s="7"/>
    </row>
    <row r="164" spans="1:19" ht="15.45" x14ac:dyDescent="0.4">
      <c r="A164" s="8" t="s">
        <v>1398</v>
      </c>
      <c r="B164" s="8" t="s">
        <v>1403</v>
      </c>
      <c r="C164" s="8" t="s">
        <v>1359</v>
      </c>
      <c r="D164" s="8" t="s">
        <v>1345</v>
      </c>
      <c r="E164" s="8" t="s">
        <v>24</v>
      </c>
      <c r="F164" s="8" t="s">
        <v>1522</v>
      </c>
      <c r="G164" s="8" t="s">
        <v>1522</v>
      </c>
      <c r="H164" s="23" t="str">
        <f t="shared" si="0"/>
        <v>Yes</v>
      </c>
      <c r="I164" s="7" t="str">
        <f t="shared" si="1"/>
        <v>TP</v>
      </c>
      <c r="J164" s="48"/>
      <c r="K164" s="48"/>
      <c r="L164" s="48"/>
      <c r="M164" s="48"/>
      <c r="N164" s="48"/>
      <c r="O164" s="48"/>
      <c r="P164" s="48"/>
      <c r="Q164" s="7"/>
      <c r="R164" s="7"/>
      <c r="S164" s="7"/>
    </row>
    <row r="165" spans="1:19" ht="15.45" x14ac:dyDescent="0.4">
      <c r="A165" s="8" t="s">
        <v>22</v>
      </c>
      <c r="B165" s="8" t="s">
        <v>85</v>
      </c>
      <c r="C165" s="8" t="s">
        <v>23</v>
      </c>
      <c r="D165" s="8" t="s">
        <v>86</v>
      </c>
      <c r="E165" s="8" t="s">
        <v>24</v>
      </c>
      <c r="F165" s="8" t="s">
        <v>1520</v>
      </c>
      <c r="G165" s="8" t="s">
        <v>1520</v>
      </c>
      <c r="H165" s="23" t="str">
        <f t="shared" si="0"/>
        <v>Yes</v>
      </c>
      <c r="I165" s="7" t="str">
        <f t="shared" si="1"/>
        <v>TN</v>
      </c>
      <c r="J165" s="48"/>
      <c r="K165" s="48"/>
      <c r="L165" s="48"/>
      <c r="M165" s="48"/>
      <c r="N165" s="48"/>
      <c r="O165" s="48"/>
      <c r="P165" s="48"/>
      <c r="Q165" s="7"/>
      <c r="R165" s="7"/>
      <c r="S165" s="7"/>
    </row>
    <row r="166" spans="1:19" ht="15.45" x14ac:dyDescent="0.4">
      <c r="A166" s="8" t="s">
        <v>22</v>
      </c>
      <c r="B166" s="8" t="s">
        <v>196</v>
      </c>
      <c r="C166" s="8" t="s">
        <v>23</v>
      </c>
      <c r="D166" s="8" t="s">
        <v>197</v>
      </c>
      <c r="E166" s="8" t="s">
        <v>24</v>
      </c>
      <c r="F166" s="8" t="s">
        <v>1520</v>
      </c>
      <c r="G166" s="8" t="s">
        <v>1520</v>
      </c>
      <c r="H166" s="23" t="str">
        <f t="shared" si="0"/>
        <v>Yes</v>
      </c>
      <c r="I166" s="7" t="str">
        <f t="shared" si="1"/>
        <v>TN</v>
      </c>
      <c r="J166" s="48"/>
      <c r="K166" s="48"/>
      <c r="L166" s="48"/>
      <c r="M166" s="48"/>
      <c r="N166" s="48"/>
      <c r="O166" s="48"/>
      <c r="P166" s="48"/>
      <c r="Q166" s="7"/>
      <c r="R166" s="7"/>
      <c r="S166" s="7"/>
    </row>
    <row r="167" spans="1:19" ht="15.45" x14ac:dyDescent="0.4">
      <c r="A167" s="8" t="s">
        <v>22</v>
      </c>
      <c r="B167" s="8" t="s">
        <v>1368</v>
      </c>
      <c r="C167" s="8" t="s">
        <v>23</v>
      </c>
      <c r="D167" s="8" t="s">
        <v>1355</v>
      </c>
      <c r="E167" s="8" t="s">
        <v>24</v>
      </c>
      <c r="F167" s="8" t="s">
        <v>1520</v>
      </c>
      <c r="G167" s="8" t="s">
        <v>1520</v>
      </c>
      <c r="H167" s="23" t="str">
        <f t="shared" si="0"/>
        <v>Yes</v>
      </c>
      <c r="I167" s="7" t="str">
        <f t="shared" si="1"/>
        <v>TN</v>
      </c>
      <c r="J167" s="48"/>
      <c r="K167" s="48"/>
      <c r="L167" s="48"/>
      <c r="M167" s="48"/>
      <c r="N167" s="48"/>
      <c r="O167" s="48"/>
      <c r="P167" s="48"/>
      <c r="Q167" s="7"/>
      <c r="R167" s="7"/>
      <c r="S167" s="7"/>
    </row>
    <row r="168" spans="1:19" ht="15.45" x14ac:dyDescent="0.4">
      <c r="A168" s="8" t="s">
        <v>22</v>
      </c>
      <c r="B168" s="8" t="s">
        <v>1358</v>
      </c>
      <c r="C168" s="8" t="s">
        <v>23</v>
      </c>
      <c r="D168" s="8" t="s">
        <v>1359</v>
      </c>
      <c r="E168" s="8" t="s">
        <v>24</v>
      </c>
      <c r="F168" s="8" t="s">
        <v>1520</v>
      </c>
      <c r="G168" s="8" t="s">
        <v>1520</v>
      </c>
      <c r="H168" s="23" t="str">
        <f t="shared" si="0"/>
        <v>Yes</v>
      </c>
      <c r="I168" s="7" t="str">
        <f t="shared" si="1"/>
        <v>TN</v>
      </c>
      <c r="J168" s="48"/>
      <c r="K168" s="48"/>
      <c r="L168" s="48"/>
      <c r="M168" s="48"/>
      <c r="N168" s="48"/>
      <c r="O168" s="48"/>
      <c r="P168" s="48"/>
      <c r="Q168" s="7"/>
      <c r="R168" s="7"/>
      <c r="S168" s="7"/>
    </row>
    <row r="169" spans="1:19" ht="15.45" x14ac:dyDescent="0.4">
      <c r="A169" s="8" t="s">
        <v>22</v>
      </c>
      <c r="B169" s="8" t="s">
        <v>1398</v>
      </c>
      <c r="C169" s="8" t="s">
        <v>23</v>
      </c>
      <c r="D169" s="8" t="s">
        <v>1359</v>
      </c>
      <c r="E169" s="8" t="s">
        <v>24</v>
      </c>
      <c r="F169" s="8" t="s">
        <v>1520</v>
      </c>
      <c r="G169" s="8" t="s">
        <v>1520</v>
      </c>
      <c r="H169" s="23" t="str">
        <f t="shared" si="0"/>
        <v>Yes</v>
      </c>
      <c r="I169" s="7" t="str">
        <f t="shared" si="1"/>
        <v>TN</v>
      </c>
      <c r="J169" s="48"/>
      <c r="K169" s="48"/>
      <c r="L169" s="48"/>
      <c r="M169" s="48"/>
      <c r="N169" s="48"/>
      <c r="O169" s="48"/>
      <c r="P169" s="48"/>
      <c r="Q169" s="7"/>
      <c r="R169" s="7"/>
      <c r="S169" s="7"/>
    </row>
    <row r="170" spans="1:19" ht="15.45" x14ac:dyDescent="0.4">
      <c r="A170" s="8" t="s">
        <v>22</v>
      </c>
      <c r="B170" s="8" t="s">
        <v>1403</v>
      </c>
      <c r="C170" s="8" t="s">
        <v>23</v>
      </c>
      <c r="D170" s="8" t="s">
        <v>1345</v>
      </c>
      <c r="E170" s="8" t="s">
        <v>24</v>
      </c>
      <c r="F170" s="8" t="s">
        <v>1520</v>
      </c>
      <c r="G170" s="8" t="s">
        <v>1520</v>
      </c>
      <c r="H170" s="23" t="str">
        <f t="shared" si="0"/>
        <v>Yes</v>
      </c>
      <c r="I170" s="7" t="str">
        <f t="shared" si="1"/>
        <v>TN</v>
      </c>
      <c r="J170" s="48"/>
      <c r="K170" s="48"/>
      <c r="L170" s="48"/>
      <c r="M170" s="48"/>
      <c r="N170" s="48"/>
      <c r="O170" s="48"/>
      <c r="P170" s="48"/>
      <c r="Q170" s="7"/>
      <c r="R170" s="7"/>
      <c r="S170" s="7"/>
    </row>
    <row r="171" spans="1:19" ht="15.45" x14ac:dyDescent="0.4">
      <c r="A171" s="8" t="s">
        <v>85</v>
      </c>
      <c r="B171" s="8" t="s">
        <v>196</v>
      </c>
      <c r="C171" s="8" t="s">
        <v>86</v>
      </c>
      <c r="D171" s="8" t="s">
        <v>197</v>
      </c>
      <c r="E171" s="8" t="s">
        <v>24</v>
      </c>
      <c r="F171" s="8" t="s">
        <v>1520</v>
      </c>
      <c r="G171" s="8" t="s">
        <v>1520</v>
      </c>
      <c r="H171" s="23" t="str">
        <f t="shared" si="0"/>
        <v>Yes</v>
      </c>
      <c r="I171" s="7" t="str">
        <f t="shared" si="1"/>
        <v>TN</v>
      </c>
      <c r="J171" s="48"/>
      <c r="K171" s="48"/>
      <c r="L171" s="48"/>
      <c r="M171" s="48"/>
      <c r="N171" s="48"/>
      <c r="O171" s="48"/>
      <c r="P171" s="48"/>
      <c r="Q171" s="7"/>
      <c r="R171" s="7"/>
      <c r="S171" s="7"/>
    </row>
    <row r="172" spans="1:19" ht="15.45" x14ac:dyDescent="0.4">
      <c r="A172" s="8" t="s">
        <v>85</v>
      </c>
      <c r="B172" s="8" t="s">
        <v>1368</v>
      </c>
      <c r="C172" s="8" t="s">
        <v>86</v>
      </c>
      <c r="D172" s="8" t="s">
        <v>1355</v>
      </c>
      <c r="E172" s="8" t="s">
        <v>24</v>
      </c>
      <c r="F172" s="8" t="s">
        <v>1520</v>
      </c>
      <c r="G172" s="8" t="s">
        <v>1520</v>
      </c>
      <c r="H172" s="23" t="str">
        <f t="shared" si="0"/>
        <v>Yes</v>
      </c>
      <c r="I172" s="7" t="str">
        <f t="shared" si="1"/>
        <v>TN</v>
      </c>
      <c r="J172" s="48"/>
      <c r="K172" s="48"/>
      <c r="L172" s="48"/>
      <c r="M172" s="48"/>
      <c r="N172" s="48"/>
      <c r="O172" s="48"/>
      <c r="P172" s="48"/>
      <c r="Q172" s="7"/>
      <c r="R172" s="7"/>
      <c r="S172" s="7"/>
    </row>
    <row r="173" spans="1:19" ht="15.45" x14ac:dyDescent="0.4">
      <c r="A173" s="8" t="s">
        <v>85</v>
      </c>
      <c r="B173" s="8" t="s">
        <v>1358</v>
      </c>
      <c r="C173" s="8" t="s">
        <v>86</v>
      </c>
      <c r="D173" s="8" t="s">
        <v>1359</v>
      </c>
      <c r="E173" s="8" t="s">
        <v>24</v>
      </c>
      <c r="F173" s="8" t="s">
        <v>1520</v>
      </c>
      <c r="G173" s="8" t="s">
        <v>1520</v>
      </c>
      <c r="H173" s="23" t="str">
        <f t="shared" si="0"/>
        <v>Yes</v>
      </c>
      <c r="I173" s="7" t="str">
        <f t="shared" si="1"/>
        <v>TN</v>
      </c>
      <c r="J173" s="48"/>
      <c r="K173" s="48"/>
      <c r="L173" s="48"/>
      <c r="M173" s="48"/>
      <c r="N173" s="48"/>
      <c r="O173" s="48"/>
      <c r="P173" s="48"/>
      <c r="Q173" s="7"/>
      <c r="R173" s="7"/>
      <c r="S173" s="7"/>
    </row>
    <row r="174" spans="1:19" ht="15.45" x14ac:dyDescent="0.4">
      <c r="A174" s="8" t="s">
        <v>85</v>
      </c>
      <c r="B174" s="8" t="s">
        <v>1398</v>
      </c>
      <c r="C174" s="8" t="s">
        <v>86</v>
      </c>
      <c r="D174" s="8" t="s">
        <v>1359</v>
      </c>
      <c r="E174" s="8" t="s">
        <v>24</v>
      </c>
      <c r="F174" s="8" t="s">
        <v>1520</v>
      </c>
      <c r="G174" s="8" t="s">
        <v>1520</v>
      </c>
      <c r="H174" s="23" t="str">
        <f t="shared" si="0"/>
        <v>Yes</v>
      </c>
      <c r="I174" s="7" t="str">
        <f t="shared" si="1"/>
        <v>TN</v>
      </c>
      <c r="J174" s="48"/>
      <c r="K174" s="48"/>
      <c r="L174" s="48"/>
      <c r="M174" s="48"/>
      <c r="N174" s="48"/>
      <c r="O174" s="48"/>
      <c r="P174" s="48"/>
      <c r="Q174" s="7"/>
      <c r="R174" s="7"/>
      <c r="S174" s="7"/>
    </row>
    <row r="175" spans="1:19" ht="15.45" x14ac:dyDescent="0.4">
      <c r="A175" s="8" t="s">
        <v>85</v>
      </c>
      <c r="B175" s="8" t="s">
        <v>1403</v>
      </c>
      <c r="C175" s="8" t="s">
        <v>86</v>
      </c>
      <c r="D175" s="8" t="s">
        <v>1345</v>
      </c>
      <c r="E175" s="8" t="s">
        <v>24</v>
      </c>
      <c r="F175" s="8" t="s">
        <v>1520</v>
      </c>
      <c r="G175" s="8" t="s">
        <v>1520</v>
      </c>
      <c r="H175" s="23" t="str">
        <f t="shared" si="0"/>
        <v>Yes</v>
      </c>
      <c r="I175" s="7" t="str">
        <f t="shared" si="1"/>
        <v>TN</v>
      </c>
      <c r="J175" s="48"/>
      <c r="K175" s="48"/>
      <c r="L175" s="48"/>
      <c r="M175" s="48"/>
      <c r="N175" s="48"/>
      <c r="O175" s="48"/>
      <c r="P175" s="48"/>
      <c r="Q175" s="7"/>
      <c r="R175" s="7"/>
      <c r="S175" s="7"/>
    </row>
    <row r="176" spans="1:19" ht="15.45" x14ac:dyDescent="0.4">
      <c r="A176" s="8" t="s">
        <v>196</v>
      </c>
      <c r="B176" s="8" t="s">
        <v>1368</v>
      </c>
      <c r="C176" s="8" t="s">
        <v>197</v>
      </c>
      <c r="D176" s="8" t="s">
        <v>1355</v>
      </c>
      <c r="E176" s="8" t="s">
        <v>24</v>
      </c>
      <c r="F176" s="8" t="s">
        <v>1520</v>
      </c>
      <c r="G176" s="8" t="s">
        <v>1520</v>
      </c>
      <c r="H176" s="23" t="str">
        <f t="shared" si="0"/>
        <v>Yes</v>
      </c>
      <c r="I176" s="7" t="str">
        <f t="shared" si="1"/>
        <v>TN</v>
      </c>
      <c r="J176" s="48"/>
      <c r="K176" s="48"/>
      <c r="L176" s="48"/>
      <c r="M176" s="48"/>
      <c r="N176" s="48"/>
      <c r="O176" s="48"/>
      <c r="P176" s="48"/>
      <c r="Q176" s="7"/>
      <c r="R176" s="7"/>
      <c r="S176" s="7"/>
    </row>
    <row r="177" spans="1:19" ht="15.45" x14ac:dyDescent="0.4">
      <c r="A177" s="8" t="s">
        <v>196</v>
      </c>
      <c r="B177" s="8" t="s">
        <v>1358</v>
      </c>
      <c r="C177" s="8" t="s">
        <v>197</v>
      </c>
      <c r="D177" s="8" t="s">
        <v>1359</v>
      </c>
      <c r="E177" s="8" t="s">
        <v>24</v>
      </c>
      <c r="F177" s="8" t="s">
        <v>1520</v>
      </c>
      <c r="G177" s="8" t="s">
        <v>1520</v>
      </c>
      <c r="H177" s="23" t="str">
        <f t="shared" si="0"/>
        <v>Yes</v>
      </c>
      <c r="I177" s="7" t="str">
        <f t="shared" si="1"/>
        <v>TN</v>
      </c>
      <c r="J177" s="48"/>
      <c r="K177" s="48"/>
      <c r="L177" s="48"/>
      <c r="M177" s="48"/>
      <c r="N177" s="48"/>
      <c r="O177" s="48"/>
      <c r="P177" s="48"/>
      <c r="Q177" s="7"/>
      <c r="R177" s="7"/>
      <c r="S177" s="7"/>
    </row>
    <row r="178" spans="1:19" ht="15.45" x14ac:dyDescent="0.4">
      <c r="A178" s="8" t="s">
        <v>196</v>
      </c>
      <c r="B178" s="8" t="s">
        <v>1398</v>
      </c>
      <c r="C178" s="8" t="s">
        <v>197</v>
      </c>
      <c r="D178" s="8" t="s">
        <v>1359</v>
      </c>
      <c r="E178" s="8" t="s">
        <v>24</v>
      </c>
      <c r="F178" s="8" t="s">
        <v>1520</v>
      </c>
      <c r="G178" s="8" t="s">
        <v>1520</v>
      </c>
      <c r="H178" s="23" t="str">
        <f t="shared" si="0"/>
        <v>Yes</v>
      </c>
      <c r="I178" s="7" t="str">
        <f t="shared" si="1"/>
        <v>TN</v>
      </c>
      <c r="J178" s="48"/>
      <c r="K178" s="48"/>
      <c r="L178" s="48"/>
      <c r="M178" s="48"/>
      <c r="N178" s="48"/>
      <c r="O178" s="48"/>
      <c r="P178" s="48"/>
      <c r="Q178" s="7"/>
      <c r="R178" s="7"/>
      <c r="S178" s="7"/>
    </row>
    <row r="179" spans="1:19" ht="15.45" x14ac:dyDescent="0.4">
      <c r="A179" s="8" t="s">
        <v>196</v>
      </c>
      <c r="B179" s="8" t="s">
        <v>1403</v>
      </c>
      <c r="C179" s="8" t="s">
        <v>197</v>
      </c>
      <c r="D179" s="8" t="s">
        <v>1345</v>
      </c>
      <c r="E179" s="8" t="s">
        <v>24</v>
      </c>
      <c r="F179" s="8" t="s">
        <v>1520</v>
      </c>
      <c r="G179" s="8" t="s">
        <v>1520</v>
      </c>
      <c r="H179" s="23" t="str">
        <f t="shared" si="0"/>
        <v>Yes</v>
      </c>
      <c r="I179" s="7" t="str">
        <f t="shared" si="1"/>
        <v>TN</v>
      </c>
      <c r="J179" s="48"/>
      <c r="K179" s="48"/>
      <c r="L179" s="48"/>
      <c r="M179" s="48"/>
      <c r="N179" s="48"/>
      <c r="O179" s="48"/>
      <c r="P179" s="48"/>
      <c r="Q179" s="7"/>
      <c r="R179" s="7"/>
      <c r="S179" s="7"/>
    </row>
    <row r="180" spans="1:19" ht="15.45" x14ac:dyDescent="0.4">
      <c r="A180" s="8" t="s">
        <v>1368</v>
      </c>
      <c r="B180" s="8" t="s">
        <v>1358</v>
      </c>
      <c r="C180" s="8" t="s">
        <v>1355</v>
      </c>
      <c r="D180" s="8" t="s">
        <v>1359</v>
      </c>
      <c r="E180" s="8" t="s">
        <v>24</v>
      </c>
      <c r="F180" s="8" t="s">
        <v>1520</v>
      </c>
      <c r="G180" s="8" t="s">
        <v>1520</v>
      </c>
      <c r="H180" s="23" t="str">
        <f t="shared" si="0"/>
        <v>Yes</v>
      </c>
      <c r="I180" s="7" t="str">
        <f t="shared" si="1"/>
        <v>TN</v>
      </c>
      <c r="J180" s="48"/>
      <c r="K180" s="48"/>
      <c r="L180" s="48"/>
      <c r="M180" s="48"/>
      <c r="N180" s="48"/>
      <c r="O180" s="48"/>
      <c r="P180" s="48"/>
      <c r="Q180" s="7"/>
      <c r="R180" s="7"/>
      <c r="S180" s="7"/>
    </row>
    <row r="181" spans="1:19" ht="15.45" x14ac:dyDescent="0.4">
      <c r="A181" s="8" t="s">
        <v>1368</v>
      </c>
      <c r="B181" s="8" t="s">
        <v>1398</v>
      </c>
      <c r="C181" s="8" t="s">
        <v>1355</v>
      </c>
      <c r="D181" s="8" t="s">
        <v>1359</v>
      </c>
      <c r="E181" s="8" t="s">
        <v>24</v>
      </c>
      <c r="F181" s="8" t="s">
        <v>1520</v>
      </c>
      <c r="G181" s="8" t="s">
        <v>1520</v>
      </c>
      <c r="H181" s="23" t="str">
        <f t="shared" si="0"/>
        <v>Yes</v>
      </c>
      <c r="I181" s="7" t="str">
        <f t="shared" si="1"/>
        <v>TN</v>
      </c>
      <c r="J181" s="48"/>
      <c r="K181" s="48"/>
      <c r="L181" s="48"/>
      <c r="M181" s="48"/>
      <c r="N181" s="48"/>
      <c r="O181" s="48"/>
      <c r="P181" s="48"/>
      <c r="Q181" s="7"/>
      <c r="R181" s="7"/>
      <c r="S181" s="7"/>
    </row>
    <row r="182" spans="1:19" ht="15.45" x14ac:dyDescent="0.4">
      <c r="A182" s="8" t="s">
        <v>1368</v>
      </c>
      <c r="B182" s="8" t="s">
        <v>1403</v>
      </c>
      <c r="C182" s="8" t="s">
        <v>1355</v>
      </c>
      <c r="D182" s="8" t="s">
        <v>1345</v>
      </c>
      <c r="E182" s="8" t="s">
        <v>24</v>
      </c>
      <c r="F182" s="8" t="s">
        <v>1520</v>
      </c>
      <c r="G182" s="8" t="s">
        <v>1520</v>
      </c>
      <c r="H182" s="23" t="str">
        <f t="shared" si="0"/>
        <v>Yes</v>
      </c>
      <c r="I182" s="7" t="str">
        <f t="shared" si="1"/>
        <v>TN</v>
      </c>
      <c r="J182" s="48"/>
      <c r="K182" s="48"/>
      <c r="L182" s="48"/>
      <c r="M182" s="48"/>
      <c r="N182" s="48"/>
      <c r="O182" s="48"/>
      <c r="P182" s="48"/>
      <c r="Q182" s="7"/>
      <c r="R182" s="7"/>
      <c r="S182" s="7"/>
    </row>
    <row r="183" spans="1:19" ht="15.45" x14ac:dyDescent="0.4">
      <c r="A183" s="8" t="s">
        <v>1358</v>
      </c>
      <c r="B183" s="8" t="s">
        <v>1398</v>
      </c>
      <c r="C183" s="8" t="s">
        <v>1359</v>
      </c>
      <c r="D183" s="8" t="s">
        <v>1359</v>
      </c>
      <c r="E183" s="8" t="s">
        <v>24</v>
      </c>
      <c r="F183" s="8" t="s">
        <v>1520</v>
      </c>
      <c r="G183" s="8" t="s">
        <v>1520</v>
      </c>
      <c r="H183" s="23" t="str">
        <f t="shared" si="0"/>
        <v>Yes</v>
      </c>
      <c r="I183" s="7" t="str">
        <f t="shared" si="1"/>
        <v>TN</v>
      </c>
      <c r="J183" s="48"/>
      <c r="K183" s="48"/>
      <c r="L183" s="48"/>
      <c r="M183" s="48"/>
      <c r="N183" s="48"/>
      <c r="O183" s="48"/>
      <c r="P183" s="48"/>
      <c r="Q183" s="7"/>
      <c r="R183" s="7"/>
      <c r="S183" s="7"/>
    </row>
    <row r="184" spans="1:19" ht="15.45" x14ac:dyDescent="0.4">
      <c r="A184" s="8" t="s">
        <v>1370</v>
      </c>
      <c r="B184" s="8" t="s">
        <v>1380</v>
      </c>
      <c r="C184" s="8" t="s">
        <v>1359</v>
      </c>
      <c r="D184" s="8" t="s">
        <v>1353</v>
      </c>
      <c r="E184" s="8" t="s">
        <v>52</v>
      </c>
      <c r="F184" s="8" t="s">
        <v>1522</v>
      </c>
      <c r="G184" s="8" t="s">
        <v>1522</v>
      </c>
      <c r="H184" s="23" t="str">
        <f t="shared" si="0"/>
        <v>Yes</v>
      </c>
      <c r="I184" s="7" t="str">
        <f t="shared" si="1"/>
        <v>TP</v>
      </c>
      <c r="J184" s="48"/>
      <c r="K184" s="48"/>
      <c r="L184" s="48"/>
      <c r="M184" s="48"/>
      <c r="N184" s="48"/>
      <c r="O184" s="48"/>
      <c r="P184" s="48"/>
      <c r="Q184" s="7"/>
      <c r="R184" s="7"/>
      <c r="S184" s="7"/>
    </row>
    <row r="185" spans="1:19" ht="15.45" x14ac:dyDescent="0.4">
      <c r="A185" s="8" t="s">
        <v>1370</v>
      </c>
      <c r="B185" s="8" t="s">
        <v>1399</v>
      </c>
      <c r="C185" s="8" t="s">
        <v>1359</v>
      </c>
      <c r="D185" s="8" t="s">
        <v>1351</v>
      </c>
      <c r="E185" s="8" t="s">
        <v>52</v>
      </c>
      <c r="F185" s="8" t="s">
        <v>1522</v>
      </c>
      <c r="G185" s="8" t="s">
        <v>1522</v>
      </c>
      <c r="H185" s="23" t="str">
        <f t="shared" si="0"/>
        <v>Yes</v>
      </c>
      <c r="I185" s="7" t="str">
        <f t="shared" si="1"/>
        <v>TP</v>
      </c>
      <c r="J185" s="48"/>
      <c r="K185" s="48"/>
      <c r="L185" s="48"/>
      <c r="M185" s="48"/>
      <c r="N185" s="48"/>
      <c r="O185" s="48"/>
      <c r="P185" s="48"/>
      <c r="Q185" s="7"/>
      <c r="R185" s="7"/>
      <c r="S185" s="7"/>
    </row>
    <row r="186" spans="1:19" ht="15.45" x14ac:dyDescent="0.4">
      <c r="A186" s="8" t="s">
        <v>1380</v>
      </c>
      <c r="B186" s="8" t="s">
        <v>1399</v>
      </c>
      <c r="C186" s="8" t="s">
        <v>1353</v>
      </c>
      <c r="D186" s="8" t="s">
        <v>1351</v>
      </c>
      <c r="E186" s="8" t="s">
        <v>52</v>
      </c>
      <c r="F186" s="8" t="s">
        <v>1522</v>
      </c>
      <c r="G186" s="8" t="s">
        <v>1522</v>
      </c>
      <c r="H186" s="23" t="str">
        <f t="shared" si="0"/>
        <v>Yes</v>
      </c>
      <c r="I186" s="7" t="str">
        <f t="shared" si="1"/>
        <v>TP</v>
      </c>
      <c r="J186" s="48"/>
      <c r="K186" s="48"/>
      <c r="L186" s="48"/>
      <c r="M186" s="48"/>
      <c r="N186" s="48"/>
      <c r="O186" s="48"/>
      <c r="P186" s="48"/>
      <c r="Q186" s="7"/>
      <c r="R186" s="7"/>
      <c r="S186" s="7"/>
    </row>
    <row r="187" spans="1:19" ht="15.45" x14ac:dyDescent="0.4">
      <c r="A187" s="8" t="s">
        <v>51</v>
      </c>
      <c r="B187" s="8" t="s">
        <v>102</v>
      </c>
      <c r="C187" s="8" t="s">
        <v>46</v>
      </c>
      <c r="D187" s="8" t="s">
        <v>103</v>
      </c>
      <c r="E187" s="8" t="s">
        <v>52</v>
      </c>
      <c r="F187" s="8" t="s">
        <v>1520</v>
      </c>
      <c r="G187" s="8" t="s">
        <v>1520</v>
      </c>
      <c r="H187" s="23" t="str">
        <f t="shared" si="0"/>
        <v>Yes</v>
      </c>
      <c r="I187" s="7" t="str">
        <f t="shared" si="1"/>
        <v>TN</v>
      </c>
      <c r="J187" s="48"/>
      <c r="K187" s="48"/>
      <c r="L187" s="48"/>
      <c r="M187" s="48"/>
      <c r="N187" s="48"/>
      <c r="O187" s="48"/>
      <c r="P187" s="48"/>
      <c r="Q187" s="7"/>
      <c r="R187" s="7"/>
      <c r="S187" s="7"/>
    </row>
    <row r="188" spans="1:19" ht="15.45" x14ac:dyDescent="0.4">
      <c r="A188" s="8" t="s">
        <v>51</v>
      </c>
      <c r="B188" s="8" t="s">
        <v>155</v>
      </c>
      <c r="C188" s="8" t="s">
        <v>46</v>
      </c>
      <c r="D188" s="8" t="s">
        <v>156</v>
      </c>
      <c r="E188" s="8" t="s">
        <v>52</v>
      </c>
      <c r="F188" s="8" t="s">
        <v>1520</v>
      </c>
      <c r="G188" s="8" t="s">
        <v>1520</v>
      </c>
      <c r="H188" s="23" t="str">
        <f t="shared" si="0"/>
        <v>Yes</v>
      </c>
      <c r="I188" s="7" t="str">
        <f t="shared" si="1"/>
        <v>TN</v>
      </c>
      <c r="J188" s="48"/>
      <c r="K188" s="48"/>
      <c r="L188" s="48"/>
      <c r="M188" s="48"/>
      <c r="N188" s="48"/>
      <c r="O188" s="48"/>
      <c r="P188" s="48"/>
      <c r="Q188" s="7"/>
      <c r="R188" s="7"/>
      <c r="S188" s="7"/>
    </row>
    <row r="189" spans="1:19" ht="15.45" x14ac:dyDescent="0.4">
      <c r="A189" s="8" t="s">
        <v>51</v>
      </c>
      <c r="B189" s="8" t="s">
        <v>168</v>
      </c>
      <c r="C189" s="8" t="s">
        <v>46</v>
      </c>
      <c r="D189" s="8" t="s">
        <v>169</v>
      </c>
      <c r="E189" s="8" t="s">
        <v>52</v>
      </c>
      <c r="F189" s="8" t="s">
        <v>1520</v>
      </c>
      <c r="G189" s="8" t="s">
        <v>1520</v>
      </c>
      <c r="H189" s="23" t="str">
        <f t="shared" si="0"/>
        <v>Yes</v>
      </c>
      <c r="I189" s="7" t="str">
        <f t="shared" si="1"/>
        <v>TN</v>
      </c>
      <c r="J189" s="48"/>
      <c r="K189" s="48"/>
      <c r="L189" s="48"/>
      <c r="M189" s="48"/>
      <c r="N189" s="48"/>
      <c r="O189" s="48"/>
      <c r="P189" s="48"/>
      <c r="Q189" s="7"/>
      <c r="R189" s="7"/>
      <c r="S189" s="7"/>
    </row>
    <row r="190" spans="1:19" ht="15.45" x14ac:dyDescent="0.4">
      <c r="A190" s="8" t="s">
        <v>51</v>
      </c>
      <c r="B190" s="8" t="s">
        <v>1370</v>
      </c>
      <c r="C190" s="8" t="s">
        <v>46</v>
      </c>
      <c r="D190" s="8" t="s">
        <v>1359</v>
      </c>
      <c r="E190" s="8" t="s">
        <v>52</v>
      </c>
      <c r="F190" s="8" t="s">
        <v>1520</v>
      </c>
      <c r="G190" s="8" t="s">
        <v>1520</v>
      </c>
      <c r="H190" s="23" t="str">
        <f t="shared" si="0"/>
        <v>Yes</v>
      </c>
      <c r="I190" s="7" t="str">
        <f t="shared" si="1"/>
        <v>TN</v>
      </c>
      <c r="J190" s="48"/>
      <c r="K190" s="48"/>
      <c r="L190" s="48"/>
      <c r="M190" s="48"/>
      <c r="N190" s="48"/>
      <c r="O190" s="48"/>
      <c r="P190" s="48"/>
      <c r="Q190" s="7"/>
      <c r="R190" s="7"/>
      <c r="S190" s="7"/>
    </row>
    <row r="191" spans="1:19" ht="15.45" x14ac:dyDescent="0.4">
      <c r="A191" s="8" t="s">
        <v>51</v>
      </c>
      <c r="B191" s="8" t="s">
        <v>1380</v>
      </c>
      <c r="C191" s="8" t="s">
        <v>46</v>
      </c>
      <c r="D191" s="8" t="s">
        <v>1353</v>
      </c>
      <c r="E191" s="8" t="s">
        <v>52</v>
      </c>
      <c r="F191" s="8" t="s">
        <v>1520</v>
      </c>
      <c r="G191" s="8" t="s">
        <v>1520</v>
      </c>
      <c r="H191" s="23" t="str">
        <f t="shared" si="0"/>
        <v>Yes</v>
      </c>
      <c r="I191" s="7" t="str">
        <f t="shared" si="1"/>
        <v>TN</v>
      </c>
      <c r="J191" s="48"/>
      <c r="K191" s="48"/>
      <c r="L191" s="48"/>
      <c r="M191" s="48"/>
      <c r="N191" s="48"/>
      <c r="O191" s="48"/>
      <c r="P191" s="48"/>
      <c r="Q191" s="7"/>
      <c r="R191" s="7"/>
      <c r="S191" s="7"/>
    </row>
    <row r="192" spans="1:19" ht="15.45" x14ac:dyDescent="0.4">
      <c r="A192" s="8" t="s">
        <v>51</v>
      </c>
      <c r="B192" s="8" t="s">
        <v>1399</v>
      </c>
      <c r="C192" s="8" t="s">
        <v>46</v>
      </c>
      <c r="D192" s="8" t="s">
        <v>1351</v>
      </c>
      <c r="E192" s="8" t="s">
        <v>52</v>
      </c>
      <c r="F192" s="8" t="s">
        <v>1520</v>
      </c>
      <c r="G192" s="8" t="s">
        <v>1520</v>
      </c>
      <c r="H192" s="23" t="str">
        <f t="shared" si="0"/>
        <v>Yes</v>
      </c>
      <c r="I192" s="7" t="str">
        <f t="shared" si="1"/>
        <v>TN</v>
      </c>
      <c r="J192" s="48"/>
      <c r="K192" s="48"/>
      <c r="L192" s="48"/>
      <c r="M192" s="48"/>
      <c r="N192" s="48"/>
      <c r="O192" s="48"/>
      <c r="P192" s="48"/>
      <c r="Q192" s="7"/>
      <c r="R192" s="7"/>
      <c r="S192" s="7"/>
    </row>
    <row r="193" spans="1:19" ht="15.45" x14ac:dyDescent="0.4">
      <c r="A193" s="8" t="s">
        <v>51</v>
      </c>
      <c r="B193" s="8" t="s">
        <v>1044</v>
      </c>
      <c r="C193" s="8" t="s">
        <v>46</v>
      </c>
      <c r="D193" s="8" t="s">
        <v>1045</v>
      </c>
      <c r="E193" s="8" t="s">
        <v>52</v>
      </c>
      <c r="F193" s="8" t="s">
        <v>1520</v>
      </c>
      <c r="G193" s="8" t="s">
        <v>1520</v>
      </c>
      <c r="H193" s="23" t="str">
        <f t="shared" si="0"/>
        <v>Yes</v>
      </c>
      <c r="I193" s="7" t="str">
        <f t="shared" si="1"/>
        <v>TN</v>
      </c>
      <c r="J193" s="48"/>
      <c r="K193" s="48"/>
      <c r="L193" s="48"/>
      <c r="M193" s="48"/>
      <c r="N193" s="48"/>
      <c r="O193" s="48"/>
      <c r="P193" s="48"/>
      <c r="Q193" s="7"/>
      <c r="R193" s="7"/>
      <c r="S193" s="7"/>
    </row>
    <row r="194" spans="1:19" ht="15.45" x14ac:dyDescent="0.4">
      <c r="A194" s="8" t="s">
        <v>102</v>
      </c>
      <c r="B194" s="8" t="s">
        <v>155</v>
      </c>
      <c r="C194" s="8" t="s">
        <v>103</v>
      </c>
      <c r="D194" s="8" t="s">
        <v>156</v>
      </c>
      <c r="E194" s="8" t="s">
        <v>52</v>
      </c>
      <c r="F194" s="8" t="s">
        <v>1520</v>
      </c>
      <c r="G194" s="8" t="s">
        <v>1520</v>
      </c>
      <c r="H194" s="23" t="str">
        <f t="shared" si="0"/>
        <v>Yes</v>
      </c>
      <c r="I194" s="7" t="str">
        <f t="shared" si="1"/>
        <v>TN</v>
      </c>
      <c r="J194" s="48"/>
      <c r="K194" s="48"/>
      <c r="L194" s="48"/>
      <c r="M194" s="48"/>
      <c r="N194" s="48"/>
      <c r="O194" s="48"/>
      <c r="P194" s="48"/>
      <c r="Q194" s="7"/>
      <c r="R194" s="7"/>
      <c r="S194" s="7"/>
    </row>
    <row r="195" spans="1:19" ht="15.45" x14ac:dyDescent="0.4">
      <c r="A195" s="8" t="s">
        <v>102</v>
      </c>
      <c r="B195" s="8" t="s">
        <v>168</v>
      </c>
      <c r="C195" s="8" t="s">
        <v>103</v>
      </c>
      <c r="D195" s="8" t="s">
        <v>169</v>
      </c>
      <c r="E195" s="8" t="s">
        <v>52</v>
      </c>
      <c r="F195" s="8" t="s">
        <v>1520</v>
      </c>
      <c r="G195" s="8" t="s">
        <v>1520</v>
      </c>
      <c r="H195" s="23" t="str">
        <f t="shared" si="0"/>
        <v>Yes</v>
      </c>
      <c r="I195" s="7" t="str">
        <f t="shared" si="1"/>
        <v>TN</v>
      </c>
      <c r="J195" s="48"/>
      <c r="K195" s="48"/>
      <c r="L195" s="48"/>
      <c r="M195" s="48"/>
      <c r="N195" s="48"/>
      <c r="O195" s="48"/>
      <c r="P195" s="48"/>
      <c r="Q195" s="7"/>
      <c r="R195" s="7"/>
      <c r="S195" s="7"/>
    </row>
    <row r="196" spans="1:19" ht="15.45" x14ac:dyDescent="0.4">
      <c r="A196" s="8" t="s">
        <v>102</v>
      </c>
      <c r="B196" s="8" t="s">
        <v>1370</v>
      </c>
      <c r="C196" s="8" t="s">
        <v>103</v>
      </c>
      <c r="D196" s="8" t="s">
        <v>1359</v>
      </c>
      <c r="E196" s="8" t="s">
        <v>52</v>
      </c>
      <c r="F196" s="8" t="s">
        <v>1520</v>
      </c>
      <c r="G196" s="8" t="s">
        <v>1520</v>
      </c>
      <c r="H196" s="23" t="str">
        <f t="shared" si="0"/>
        <v>Yes</v>
      </c>
      <c r="I196" s="7" t="str">
        <f t="shared" si="1"/>
        <v>TN</v>
      </c>
      <c r="J196" s="48"/>
      <c r="K196" s="48"/>
      <c r="L196" s="48"/>
      <c r="M196" s="48"/>
      <c r="N196" s="48"/>
      <c r="O196" s="48"/>
      <c r="P196" s="48"/>
      <c r="Q196" s="7"/>
      <c r="R196" s="7"/>
      <c r="S196" s="7"/>
    </row>
    <row r="197" spans="1:19" ht="15.45" x14ac:dyDescent="0.4">
      <c r="A197" s="8" t="s">
        <v>102</v>
      </c>
      <c r="B197" s="8" t="s">
        <v>1380</v>
      </c>
      <c r="C197" s="8" t="s">
        <v>103</v>
      </c>
      <c r="D197" s="8" t="s">
        <v>1353</v>
      </c>
      <c r="E197" s="8" t="s">
        <v>52</v>
      </c>
      <c r="F197" s="8" t="s">
        <v>1520</v>
      </c>
      <c r="G197" s="8" t="s">
        <v>1520</v>
      </c>
      <c r="H197" s="23" t="str">
        <f t="shared" si="0"/>
        <v>Yes</v>
      </c>
      <c r="I197" s="7" t="str">
        <f t="shared" si="1"/>
        <v>TN</v>
      </c>
      <c r="J197" s="48"/>
      <c r="K197" s="48"/>
      <c r="L197" s="48"/>
      <c r="M197" s="48"/>
      <c r="N197" s="48"/>
      <c r="O197" s="48"/>
      <c r="P197" s="48"/>
      <c r="Q197" s="7"/>
      <c r="R197" s="7"/>
      <c r="S197" s="7"/>
    </row>
    <row r="198" spans="1:19" ht="15.45" x14ac:dyDescent="0.4">
      <c r="A198" s="8" t="s">
        <v>102</v>
      </c>
      <c r="B198" s="8" t="s">
        <v>1399</v>
      </c>
      <c r="C198" s="8" t="s">
        <v>103</v>
      </c>
      <c r="D198" s="8" t="s">
        <v>1351</v>
      </c>
      <c r="E198" s="8" t="s">
        <v>52</v>
      </c>
      <c r="F198" s="8" t="s">
        <v>1520</v>
      </c>
      <c r="G198" s="8" t="s">
        <v>1520</v>
      </c>
      <c r="H198" s="23" t="str">
        <f t="shared" si="0"/>
        <v>Yes</v>
      </c>
      <c r="I198" s="7" t="str">
        <f t="shared" si="1"/>
        <v>TN</v>
      </c>
      <c r="J198" s="48"/>
      <c r="K198" s="48"/>
      <c r="L198" s="48"/>
      <c r="M198" s="48"/>
      <c r="N198" s="48"/>
      <c r="O198" s="48"/>
      <c r="P198" s="48"/>
      <c r="Q198" s="7"/>
      <c r="R198" s="7"/>
      <c r="S198" s="7"/>
    </row>
    <row r="199" spans="1:19" ht="15.45" x14ac:dyDescent="0.4">
      <c r="A199" s="8" t="s">
        <v>102</v>
      </c>
      <c r="B199" s="8" t="s">
        <v>1044</v>
      </c>
      <c r="C199" s="8" t="s">
        <v>103</v>
      </c>
      <c r="D199" s="8" t="s">
        <v>1045</v>
      </c>
      <c r="E199" s="8" t="s">
        <v>52</v>
      </c>
      <c r="F199" s="8" t="s">
        <v>1520</v>
      </c>
      <c r="G199" s="8" t="s">
        <v>1520</v>
      </c>
      <c r="H199" s="23" t="str">
        <f t="shared" si="0"/>
        <v>Yes</v>
      </c>
      <c r="I199" s="7" t="str">
        <f t="shared" si="1"/>
        <v>TN</v>
      </c>
      <c r="J199" s="48"/>
      <c r="K199" s="48"/>
      <c r="L199" s="48"/>
      <c r="M199" s="48"/>
      <c r="N199" s="48"/>
      <c r="O199" s="48"/>
      <c r="P199" s="48"/>
      <c r="Q199" s="7"/>
      <c r="R199" s="7"/>
      <c r="S199" s="7"/>
    </row>
    <row r="200" spans="1:19" ht="15.45" x14ac:dyDescent="0.4">
      <c r="A200" s="8" t="s">
        <v>155</v>
      </c>
      <c r="B200" s="8" t="s">
        <v>168</v>
      </c>
      <c r="C200" s="8" t="s">
        <v>156</v>
      </c>
      <c r="D200" s="8" t="s">
        <v>169</v>
      </c>
      <c r="E200" s="8" t="s">
        <v>52</v>
      </c>
      <c r="F200" s="8" t="s">
        <v>1520</v>
      </c>
      <c r="G200" s="8" t="s">
        <v>1520</v>
      </c>
      <c r="H200" s="23" t="str">
        <f t="shared" si="0"/>
        <v>Yes</v>
      </c>
      <c r="I200" s="7" t="str">
        <f t="shared" si="1"/>
        <v>TN</v>
      </c>
      <c r="J200" s="48"/>
      <c r="K200" s="48"/>
      <c r="L200" s="48"/>
      <c r="M200" s="48"/>
      <c r="N200" s="48"/>
      <c r="O200" s="48"/>
      <c r="P200" s="48"/>
      <c r="Q200" s="7"/>
      <c r="R200" s="7"/>
      <c r="S200" s="7"/>
    </row>
    <row r="201" spans="1:19" ht="15.45" x14ac:dyDescent="0.4">
      <c r="A201" s="8" t="s">
        <v>155</v>
      </c>
      <c r="B201" s="8" t="s">
        <v>1370</v>
      </c>
      <c r="C201" s="8" t="s">
        <v>156</v>
      </c>
      <c r="D201" s="8" t="s">
        <v>1359</v>
      </c>
      <c r="E201" s="8" t="s">
        <v>52</v>
      </c>
      <c r="F201" s="8" t="s">
        <v>1520</v>
      </c>
      <c r="G201" s="8" t="s">
        <v>1520</v>
      </c>
      <c r="H201" s="23" t="str">
        <f t="shared" si="0"/>
        <v>Yes</v>
      </c>
      <c r="I201" s="7" t="str">
        <f t="shared" si="1"/>
        <v>TN</v>
      </c>
      <c r="J201" s="48"/>
      <c r="K201" s="48"/>
      <c r="L201" s="48"/>
      <c r="M201" s="48"/>
      <c r="N201" s="48"/>
      <c r="O201" s="48"/>
      <c r="P201" s="48"/>
      <c r="Q201" s="7"/>
      <c r="R201" s="7"/>
      <c r="S201" s="7"/>
    </row>
    <row r="202" spans="1:19" ht="15.45" x14ac:dyDescent="0.4">
      <c r="A202" s="8" t="s">
        <v>155</v>
      </c>
      <c r="B202" s="8" t="s">
        <v>1380</v>
      </c>
      <c r="C202" s="8" t="s">
        <v>156</v>
      </c>
      <c r="D202" s="8" t="s">
        <v>1353</v>
      </c>
      <c r="E202" s="8" t="s">
        <v>52</v>
      </c>
      <c r="F202" s="8" t="s">
        <v>1520</v>
      </c>
      <c r="G202" s="8" t="s">
        <v>1520</v>
      </c>
      <c r="H202" s="23" t="str">
        <f t="shared" si="0"/>
        <v>Yes</v>
      </c>
      <c r="I202" s="7" t="str">
        <f t="shared" si="1"/>
        <v>TN</v>
      </c>
      <c r="J202" s="48"/>
      <c r="K202" s="48"/>
      <c r="L202" s="48"/>
      <c r="M202" s="48"/>
      <c r="N202" s="48"/>
      <c r="O202" s="48"/>
      <c r="P202" s="48"/>
      <c r="Q202" s="7"/>
      <c r="R202" s="7"/>
      <c r="S202" s="7"/>
    </row>
    <row r="203" spans="1:19" ht="15.45" x14ac:dyDescent="0.4">
      <c r="A203" s="8" t="s">
        <v>155</v>
      </c>
      <c r="B203" s="8" t="s">
        <v>1399</v>
      </c>
      <c r="C203" s="8" t="s">
        <v>156</v>
      </c>
      <c r="D203" s="8" t="s">
        <v>1351</v>
      </c>
      <c r="E203" s="8" t="s">
        <v>52</v>
      </c>
      <c r="F203" s="8" t="s">
        <v>1520</v>
      </c>
      <c r="G203" s="8" t="s">
        <v>1520</v>
      </c>
      <c r="H203" s="23" t="str">
        <f t="shared" si="0"/>
        <v>Yes</v>
      </c>
      <c r="I203" s="7" t="str">
        <f t="shared" si="1"/>
        <v>TN</v>
      </c>
      <c r="J203" s="48"/>
      <c r="K203" s="48"/>
      <c r="L203" s="48"/>
      <c r="M203" s="48"/>
      <c r="N203" s="48"/>
      <c r="O203" s="48"/>
      <c r="P203" s="48"/>
      <c r="Q203" s="7"/>
      <c r="R203" s="7"/>
      <c r="S203" s="7"/>
    </row>
    <row r="204" spans="1:19" ht="15.45" x14ac:dyDescent="0.4">
      <c r="A204" s="8" t="s">
        <v>155</v>
      </c>
      <c r="B204" s="8" t="s">
        <v>1044</v>
      </c>
      <c r="C204" s="8" t="s">
        <v>156</v>
      </c>
      <c r="D204" s="8" t="s">
        <v>1045</v>
      </c>
      <c r="E204" s="8" t="s">
        <v>52</v>
      </c>
      <c r="F204" s="8" t="s">
        <v>1520</v>
      </c>
      <c r="G204" s="8" t="s">
        <v>1520</v>
      </c>
      <c r="H204" s="23" t="str">
        <f t="shared" si="0"/>
        <v>Yes</v>
      </c>
      <c r="I204" s="7" t="str">
        <f t="shared" si="1"/>
        <v>TN</v>
      </c>
      <c r="J204" s="48"/>
      <c r="K204" s="48"/>
      <c r="L204" s="48"/>
      <c r="M204" s="48"/>
      <c r="N204" s="48"/>
      <c r="O204" s="48"/>
      <c r="P204" s="48"/>
      <c r="Q204" s="7"/>
      <c r="R204" s="7"/>
      <c r="S204" s="7"/>
    </row>
    <row r="205" spans="1:19" ht="15.45" x14ac:dyDescent="0.4">
      <c r="A205" s="8" t="s">
        <v>168</v>
      </c>
      <c r="B205" s="8" t="s">
        <v>1370</v>
      </c>
      <c r="C205" s="8" t="s">
        <v>169</v>
      </c>
      <c r="D205" s="8" t="s">
        <v>1359</v>
      </c>
      <c r="E205" s="8" t="s">
        <v>52</v>
      </c>
      <c r="F205" s="8" t="s">
        <v>1520</v>
      </c>
      <c r="G205" s="8" t="s">
        <v>1520</v>
      </c>
      <c r="H205" s="23" t="str">
        <f t="shared" si="0"/>
        <v>Yes</v>
      </c>
      <c r="I205" s="7" t="str">
        <f t="shared" si="1"/>
        <v>TN</v>
      </c>
      <c r="J205" s="48"/>
      <c r="K205" s="48"/>
      <c r="L205" s="48"/>
      <c r="M205" s="48"/>
      <c r="N205" s="48"/>
      <c r="O205" s="48"/>
      <c r="P205" s="48"/>
      <c r="Q205" s="7"/>
      <c r="R205" s="7"/>
      <c r="S205" s="7"/>
    </row>
    <row r="206" spans="1:19" ht="15.45" x14ac:dyDescent="0.4">
      <c r="A206" s="8" t="s">
        <v>168</v>
      </c>
      <c r="B206" s="8" t="s">
        <v>1380</v>
      </c>
      <c r="C206" s="8" t="s">
        <v>169</v>
      </c>
      <c r="D206" s="8" t="s">
        <v>1353</v>
      </c>
      <c r="E206" s="8" t="s">
        <v>52</v>
      </c>
      <c r="F206" s="8" t="s">
        <v>1520</v>
      </c>
      <c r="G206" s="8" t="s">
        <v>1520</v>
      </c>
      <c r="H206" s="23" t="str">
        <f t="shared" si="0"/>
        <v>Yes</v>
      </c>
      <c r="I206" s="7" t="str">
        <f t="shared" si="1"/>
        <v>TN</v>
      </c>
      <c r="J206" s="48"/>
      <c r="K206" s="48"/>
      <c r="L206" s="48"/>
      <c r="M206" s="48"/>
      <c r="N206" s="48"/>
      <c r="O206" s="48"/>
      <c r="P206" s="48"/>
      <c r="Q206" s="7"/>
      <c r="R206" s="7"/>
      <c r="S206" s="7"/>
    </row>
    <row r="207" spans="1:19" ht="15.45" x14ac:dyDescent="0.4">
      <c r="A207" s="8" t="s">
        <v>168</v>
      </c>
      <c r="B207" s="8" t="s">
        <v>1399</v>
      </c>
      <c r="C207" s="8" t="s">
        <v>169</v>
      </c>
      <c r="D207" s="8" t="s">
        <v>1351</v>
      </c>
      <c r="E207" s="8" t="s">
        <v>52</v>
      </c>
      <c r="F207" s="8" t="s">
        <v>1520</v>
      </c>
      <c r="G207" s="8" t="s">
        <v>1520</v>
      </c>
      <c r="H207" s="23" t="str">
        <f t="shared" si="0"/>
        <v>Yes</v>
      </c>
      <c r="I207" s="7" t="str">
        <f t="shared" si="1"/>
        <v>TN</v>
      </c>
      <c r="J207" s="48"/>
      <c r="K207" s="48"/>
      <c r="L207" s="48"/>
      <c r="M207" s="48"/>
      <c r="N207" s="48"/>
      <c r="O207" s="48"/>
      <c r="P207" s="48"/>
      <c r="Q207" s="7"/>
      <c r="R207" s="7"/>
      <c r="S207" s="7"/>
    </row>
    <row r="208" spans="1:19" ht="15.45" x14ac:dyDescent="0.4">
      <c r="A208" s="8" t="s">
        <v>168</v>
      </c>
      <c r="B208" s="8" t="s">
        <v>1044</v>
      </c>
      <c r="C208" s="8" t="s">
        <v>169</v>
      </c>
      <c r="D208" s="8" t="s">
        <v>1045</v>
      </c>
      <c r="E208" s="8" t="s">
        <v>52</v>
      </c>
      <c r="F208" s="8" t="s">
        <v>1520</v>
      </c>
      <c r="G208" s="8" t="s">
        <v>1520</v>
      </c>
      <c r="H208" s="23" t="str">
        <f t="shared" si="0"/>
        <v>Yes</v>
      </c>
      <c r="I208" s="7" t="str">
        <f t="shared" si="1"/>
        <v>TN</v>
      </c>
      <c r="J208" s="48"/>
      <c r="K208" s="48"/>
      <c r="L208" s="48"/>
      <c r="M208" s="48"/>
      <c r="N208" s="48"/>
      <c r="O208" s="48"/>
      <c r="P208" s="48"/>
      <c r="Q208" s="7"/>
      <c r="R208" s="7"/>
      <c r="S208" s="7"/>
    </row>
    <row r="209" spans="1:19" ht="15.45" x14ac:dyDescent="0.4">
      <c r="A209" s="8" t="s">
        <v>1370</v>
      </c>
      <c r="B209" s="8" t="s">
        <v>1044</v>
      </c>
      <c r="C209" s="8" t="s">
        <v>1359</v>
      </c>
      <c r="D209" s="8" t="s">
        <v>1045</v>
      </c>
      <c r="E209" s="8" t="s">
        <v>52</v>
      </c>
      <c r="F209" s="8" t="s">
        <v>1520</v>
      </c>
      <c r="G209" s="8" t="s">
        <v>1520</v>
      </c>
      <c r="H209" s="23" t="str">
        <f t="shared" si="0"/>
        <v>Yes</v>
      </c>
      <c r="I209" s="7" t="str">
        <f t="shared" si="1"/>
        <v>TN</v>
      </c>
      <c r="J209" s="48"/>
      <c r="K209" s="48"/>
      <c r="L209" s="48"/>
      <c r="M209" s="48"/>
      <c r="N209" s="48"/>
      <c r="O209" s="48"/>
      <c r="P209" s="48"/>
      <c r="Q209" s="7"/>
      <c r="R209" s="7"/>
      <c r="S209" s="7"/>
    </row>
    <row r="210" spans="1:19" ht="15.45" x14ac:dyDescent="0.4">
      <c r="A210" s="8" t="s">
        <v>1380</v>
      </c>
      <c r="B210" s="8" t="s">
        <v>1044</v>
      </c>
      <c r="C210" s="8" t="s">
        <v>1353</v>
      </c>
      <c r="D210" s="8" t="s">
        <v>1045</v>
      </c>
      <c r="E210" s="8" t="s">
        <v>52</v>
      </c>
      <c r="F210" s="8" t="s">
        <v>1520</v>
      </c>
      <c r="G210" s="8" t="s">
        <v>1520</v>
      </c>
      <c r="H210" s="23" t="str">
        <f t="shared" si="0"/>
        <v>Yes</v>
      </c>
      <c r="I210" s="7" t="str">
        <f t="shared" si="1"/>
        <v>TN</v>
      </c>
      <c r="J210" s="48"/>
      <c r="K210" s="48"/>
      <c r="L210" s="48"/>
      <c r="M210" s="48"/>
      <c r="N210" s="48"/>
      <c r="O210" s="48"/>
      <c r="P210" s="48"/>
      <c r="Q210" s="7"/>
      <c r="R210" s="7"/>
      <c r="S210" s="7"/>
    </row>
    <row r="211" spans="1:19" ht="15.45" x14ac:dyDescent="0.4">
      <c r="A211" s="8" t="s">
        <v>1399</v>
      </c>
      <c r="B211" s="8" t="s">
        <v>1044</v>
      </c>
      <c r="C211" s="8" t="s">
        <v>1351</v>
      </c>
      <c r="D211" s="8" t="s">
        <v>1045</v>
      </c>
      <c r="E211" s="8" t="s">
        <v>52</v>
      </c>
      <c r="F211" s="8" t="s">
        <v>1520</v>
      </c>
      <c r="G211" s="8" t="s">
        <v>1520</v>
      </c>
      <c r="H211" s="23" t="str">
        <f t="shared" si="0"/>
        <v>Yes</v>
      </c>
      <c r="I211" s="7" t="str">
        <f t="shared" si="1"/>
        <v>TN</v>
      </c>
      <c r="J211" s="48"/>
      <c r="K211" s="48"/>
      <c r="L211" s="48"/>
      <c r="M211" s="48"/>
      <c r="N211" s="48"/>
      <c r="O211" s="48"/>
      <c r="P211" s="48"/>
      <c r="Q211" s="7"/>
      <c r="R211" s="7"/>
      <c r="S211" s="7"/>
    </row>
    <row r="212" spans="1:19" ht="15.45" x14ac:dyDescent="0.4">
      <c r="A212" s="8" t="s">
        <v>1026</v>
      </c>
      <c r="B212" s="8" t="s">
        <v>1043</v>
      </c>
      <c r="C212" s="8" t="s">
        <v>1027</v>
      </c>
      <c r="D212" s="8" t="s">
        <v>1031</v>
      </c>
      <c r="E212" s="8" t="s">
        <v>6</v>
      </c>
      <c r="F212" s="8" t="s">
        <v>1522</v>
      </c>
      <c r="G212" s="8" t="s">
        <v>1522</v>
      </c>
      <c r="H212" s="23" t="str">
        <f t="shared" si="0"/>
        <v>Yes</v>
      </c>
      <c r="I212" s="7" t="str">
        <f t="shared" si="1"/>
        <v>TP</v>
      </c>
      <c r="J212" s="48"/>
      <c r="K212" s="48"/>
      <c r="L212" s="48"/>
      <c r="M212" s="48"/>
      <c r="N212" s="48"/>
      <c r="O212" s="48"/>
      <c r="P212" s="48"/>
      <c r="Q212" s="7"/>
      <c r="R212" s="7"/>
      <c r="S212" s="7"/>
    </row>
    <row r="213" spans="1:19" ht="15.45" x14ac:dyDescent="0.4">
      <c r="A213" s="8" t="s">
        <v>1026</v>
      </c>
      <c r="B213" s="8" t="s">
        <v>1053</v>
      </c>
      <c r="C213" s="8" t="s">
        <v>1027</v>
      </c>
      <c r="D213" s="8" t="s">
        <v>1054</v>
      </c>
      <c r="E213" s="8" t="s">
        <v>6</v>
      </c>
      <c r="F213" s="8" t="s">
        <v>1522</v>
      </c>
      <c r="G213" s="8" t="s">
        <v>1522</v>
      </c>
      <c r="H213" s="23" t="str">
        <f t="shared" si="0"/>
        <v>Yes</v>
      </c>
      <c r="I213" s="7" t="str">
        <f t="shared" si="1"/>
        <v>TP</v>
      </c>
      <c r="J213" s="48"/>
      <c r="K213" s="48"/>
      <c r="L213" s="48"/>
      <c r="M213" s="48"/>
      <c r="N213" s="48"/>
      <c r="O213" s="48"/>
      <c r="P213" s="48"/>
      <c r="Q213" s="7"/>
      <c r="R213" s="7"/>
      <c r="S213" s="7"/>
    </row>
    <row r="214" spans="1:19" ht="15.45" x14ac:dyDescent="0.4">
      <c r="A214" s="8" t="s">
        <v>1026</v>
      </c>
      <c r="B214" s="8" t="s">
        <v>1122</v>
      </c>
      <c r="C214" s="8" t="s">
        <v>1027</v>
      </c>
      <c r="D214" s="8" t="s">
        <v>1054</v>
      </c>
      <c r="E214" s="8" t="s">
        <v>6</v>
      </c>
      <c r="F214" s="8" t="s">
        <v>1522</v>
      </c>
      <c r="G214" s="8" t="s">
        <v>1522</v>
      </c>
      <c r="H214" s="23" t="str">
        <f t="shared" si="0"/>
        <v>Yes</v>
      </c>
      <c r="I214" s="7" t="str">
        <f t="shared" si="1"/>
        <v>TP</v>
      </c>
      <c r="J214" s="48"/>
      <c r="K214" s="48"/>
      <c r="L214" s="48"/>
      <c r="M214" s="48"/>
      <c r="N214" s="48"/>
      <c r="O214" s="48"/>
      <c r="P214" s="48"/>
      <c r="Q214" s="7"/>
      <c r="R214" s="7"/>
      <c r="S214" s="7"/>
    </row>
    <row r="215" spans="1:19" ht="15.45" x14ac:dyDescent="0.4">
      <c r="A215" s="8" t="s">
        <v>1043</v>
      </c>
      <c r="B215" s="8" t="s">
        <v>1053</v>
      </c>
      <c r="C215" s="8" t="s">
        <v>1031</v>
      </c>
      <c r="D215" s="8" t="s">
        <v>1054</v>
      </c>
      <c r="E215" s="8" t="s">
        <v>6</v>
      </c>
      <c r="F215" s="8" t="s">
        <v>1522</v>
      </c>
      <c r="G215" s="8" t="s">
        <v>1522</v>
      </c>
      <c r="H215" s="23" t="str">
        <f t="shared" si="0"/>
        <v>Yes</v>
      </c>
      <c r="I215" s="7" t="str">
        <f t="shared" si="1"/>
        <v>TP</v>
      </c>
      <c r="J215" s="48"/>
      <c r="K215" s="48"/>
      <c r="L215" s="48"/>
      <c r="M215" s="48"/>
      <c r="N215" s="48"/>
      <c r="O215" s="48"/>
      <c r="P215" s="48"/>
      <c r="Q215" s="7"/>
      <c r="R215" s="7"/>
      <c r="S215" s="7"/>
    </row>
    <row r="216" spans="1:19" ht="15.45" x14ac:dyDescent="0.4">
      <c r="A216" s="8" t="s">
        <v>1043</v>
      </c>
      <c r="B216" s="8" t="s">
        <v>1122</v>
      </c>
      <c r="C216" s="8" t="s">
        <v>1031</v>
      </c>
      <c r="D216" s="8" t="s">
        <v>1054</v>
      </c>
      <c r="E216" s="8" t="s">
        <v>6</v>
      </c>
      <c r="F216" s="8" t="s">
        <v>1522</v>
      </c>
      <c r="G216" s="8" t="s">
        <v>1522</v>
      </c>
      <c r="H216" s="23" t="str">
        <f t="shared" si="0"/>
        <v>Yes</v>
      </c>
      <c r="I216" s="7" t="str">
        <f t="shared" si="1"/>
        <v>TP</v>
      </c>
      <c r="J216" s="48"/>
      <c r="K216" s="48"/>
      <c r="L216" s="48"/>
      <c r="M216" s="48"/>
      <c r="N216" s="48"/>
      <c r="O216" s="48"/>
      <c r="P216" s="48"/>
      <c r="Q216" s="7"/>
      <c r="R216" s="7"/>
      <c r="S216" s="7"/>
    </row>
    <row r="217" spans="1:19" ht="15.45" x14ac:dyDescent="0.4">
      <c r="A217" s="8" t="s">
        <v>4</v>
      </c>
      <c r="B217" s="8" t="s">
        <v>99</v>
      </c>
      <c r="C217" s="8" t="s">
        <v>5</v>
      </c>
      <c r="D217" s="8" t="s">
        <v>98</v>
      </c>
      <c r="E217" s="8" t="s">
        <v>6</v>
      </c>
      <c r="F217" s="8" t="s">
        <v>1520</v>
      </c>
      <c r="G217" s="8" t="s">
        <v>1520</v>
      </c>
      <c r="H217" s="23" t="str">
        <f t="shared" si="0"/>
        <v>Yes</v>
      </c>
      <c r="I217" s="7" t="str">
        <f t="shared" si="1"/>
        <v>TN</v>
      </c>
      <c r="J217" s="48"/>
      <c r="K217" s="48"/>
      <c r="L217" s="48"/>
      <c r="M217" s="48"/>
      <c r="N217" s="48"/>
      <c r="O217" s="48"/>
      <c r="P217" s="48"/>
      <c r="Q217" s="7"/>
      <c r="R217" s="7"/>
      <c r="S217" s="7"/>
    </row>
    <row r="218" spans="1:19" ht="15.45" x14ac:dyDescent="0.4">
      <c r="A218" s="8" t="s">
        <v>4</v>
      </c>
      <c r="B218" s="8" t="s">
        <v>130</v>
      </c>
      <c r="C218" s="8" t="s">
        <v>5</v>
      </c>
      <c r="D218" s="8" t="s">
        <v>131</v>
      </c>
      <c r="E218" s="8" t="s">
        <v>6</v>
      </c>
      <c r="F218" s="8" t="s">
        <v>1520</v>
      </c>
      <c r="G218" s="8" t="s">
        <v>1520</v>
      </c>
      <c r="H218" s="23" t="str">
        <f t="shared" si="0"/>
        <v>Yes</v>
      </c>
      <c r="I218" s="7" t="str">
        <f t="shared" si="1"/>
        <v>TN</v>
      </c>
      <c r="J218" s="48"/>
      <c r="K218" s="48"/>
      <c r="L218" s="48"/>
      <c r="M218" s="48"/>
      <c r="N218" s="48"/>
      <c r="O218" s="48"/>
      <c r="P218" s="48"/>
      <c r="Q218" s="7"/>
      <c r="R218" s="7"/>
      <c r="S218" s="7"/>
    </row>
    <row r="219" spans="1:19" ht="15.45" x14ac:dyDescent="0.4">
      <c r="A219" s="8" t="s">
        <v>4</v>
      </c>
      <c r="B219" s="8" t="s">
        <v>140</v>
      </c>
      <c r="C219" s="8" t="s">
        <v>5</v>
      </c>
      <c r="D219" s="8" t="s">
        <v>141</v>
      </c>
      <c r="E219" s="8" t="s">
        <v>6</v>
      </c>
      <c r="F219" s="8" t="s">
        <v>1520</v>
      </c>
      <c r="G219" s="8" t="s">
        <v>1520</v>
      </c>
      <c r="H219" s="23" t="str">
        <f t="shared" si="0"/>
        <v>Yes</v>
      </c>
      <c r="I219" s="7" t="str">
        <f t="shared" si="1"/>
        <v>TN</v>
      </c>
      <c r="J219" s="48"/>
      <c r="K219" s="48"/>
      <c r="L219" s="48"/>
      <c r="M219" s="48"/>
      <c r="N219" s="48"/>
      <c r="O219" s="48"/>
      <c r="P219" s="48"/>
      <c r="Q219" s="7"/>
      <c r="R219" s="7"/>
      <c r="S219" s="7"/>
    </row>
    <row r="220" spans="1:19" ht="15.45" x14ac:dyDescent="0.4">
      <c r="A220" s="8" t="s">
        <v>4</v>
      </c>
      <c r="B220" s="8" t="s">
        <v>1026</v>
      </c>
      <c r="C220" s="8" t="s">
        <v>5</v>
      </c>
      <c r="D220" s="8" t="s">
        <v>1027</v>
      </c>
      <c r="E220" s="8" t="s">
        <v>6</v>
      </c>
      <c r="F220" s="8" t="s">
        <v>1520</v>
      </c>
      <c r="G220" s="8" t="s">
        <v>1520</v>
      </c>
      <c r="H220" s="23" t="str">
        <f t="shared" si="0"/>
        <v>Yes</v>
      </c>
      <c r="I220" s="7" t="str">
        <f t="shared" si="1"/>
        <v>TN</v>
      </c>
      <c r="J220" s="48"/>
      <c r="K220" s="48"/>
      <c r="L220" s="48"/>
      <c r="M220" s="48"/>
      <c r="N220" s="48"/>
      <c r="O220" s="48"/>
      <c r="P220" s="48"/>
      <c r="Q220" s="7"/>
      <c r="R220" s="7"/>
      <c r="S220" s="7"/>
    </row>
    <row r="221" spans="1:19" ht="15.45" x14ac:dyDescent="0.4">
      <c r="A221" s="8" t="s">
        <v>4</v>
      </c>
      <c r="B221" s="8" t="s">
        <v>1043</v>
      </c>
      <c r="C221" s="8" t="s">
        <v>5</v>
      </c>
      <c r="D221" s="8" t="s">
        <v>1031</v>
      </c>
      <c r="E221" s="8" t="s">
        <v>6</v>
      </c>
      <c r="F221" s="8" t="s">
        <v>1520</v>
      </c>
      <c r="G221" s="8" t="s">
        <v>1520</v>
      </c>
      <c r="H221" s="23" t="str">
        <f t="shared" si="0"/>
        <v>Yes</v>
      </c>
      <c r="I221" s="7" t="str">
        <f t="shared" si="1"/>
        <v>TN</v>
      </c>
      <c r="J221" s="48"/>
      <c r="K221" s="48"/>
      <c r="L221" s="48"/>
      <c r="M221" s="48"/>
      <c r="N221" s="48"/>
      <c r="O221" s="48"/>
      <c r="P221" s="48"/>
      <c r="Q221" s="7"/>
      <c r="R221" s="7"/>
      <c r="S221" s="7"/>
    </row>
    <row r="222" spans="1:19" ht="15.45" x14ac:dyDescent="0.4">
      <c r="A222" s="8" t="s">
        <v>4</v>
      </c>
      <c r="B222" s="8" t="s">
        <v>1053</v>
      </c>
      <c r="C222" s="8" t="s">
        <v>5</v>
      </c>
      <c r="D222" s="8" t="s">
        <v>1054</v>
      </c>
      <c r="E222" s="8" t="s">
        <v>6</v>
      </c>
      <c r="F222" s="8" t="s">
        <v>1520</v>
      </c>
      <c r="G222" s="8" t="s">
        <v>1520</v>
      </c>
      <c r="H222" s="23" t="str">
        <f t="shared" si="0"/>
        <v>Yes</v>
      </c>
      <c r="I222" s="7" t="str">
        <f t="shared" si="1"/>
        <v>TN</v>
      </c>
      <c r="J222" s="48"/>
      <c r="K222" s="48"/>
      <c r="L222" s="48"/>
      <c r="M222" s="48"/>
      <c r="N222" s="48"/>
      <c r="O222" s="48"/>
      <c r="P222" s="48"/>
      <c r="Q222" s="7"/>
      <c r="R222" s="7"/>
      <c r="S222" s="7"/>
    </row>
    <row r="223" spans="1:19" ht="15.45" x14ac:dyDescent="0.4">
      <c r="A223" s="8" t="s">
        <v>4</v>
      </c>
      <c r="B223" s="8" t="s">
        <v>1122</v>
      </c>
      <c r="C223" s="8" t="s">
        <v>5</v>
      </c>
      <c r="D223" s="8" t="s">
        <v>1054</v>
      </c>
      <c r="E223" s="8" t="s">
        <v>6</v>
      </c>
      <c r="F223" s="8" t="s">
        <v>1520</v>
      </c>
      <c r="G223" s="8" t="s">
        <v>1520</v>
      </c>
      <c r="H223" s="23" t="str">
        <f t="shared" si="0"/>
        <v>Yes</v>
      </c>
      <c r="I223" s="7" t="str">
        <f t="shared" si="1"/>
        <v>TN</v>
      </c>
      <c r="J223" s="48"/>
      <c r="K223" s="48"/>
      <c r="L223" s="48"/>
      <c r="M223" s="48"/>
      <c r="N223" s="48"/>
      <c r="O223" s="48"/>
      <c r="P223" s="48"/>
      <c r="Q223" s="7"/>
      <c r="R223" s="7"/>
      <c r="S223" s="7"/>
    </row>
    <row r="224" spans="1:19" ht="15.45" x14ac:dyDescent="0.4">
      <c r="A224" s="8" t="s">
        <v>99</v>
      </c>
      <c r="B224" s="8" t="s">
        <v>130</v>
      </c>
      <c r="C224" s="8" t="s">
        <v>98</v>
      </c>
      <c r="D224" s="8" t="s">
        <v>131</v>
      </c>
      <c r="E224" s="8" t="s">
        <v>6</v>
      </c>
      <c r="F224" s="8" t="s">
        <v>1520</v>
      </c>
      <c r="G224" s="8" t="s">
        <v>1520</v>
      </c>
      <c r="H224" s="23" t="str">
        <f t="shared" si="0"/>
        <v>Yes</v>
      </c>
      <c r="I224" s="7" t="str">
        <f t="shared" si="1"/>
        <v>TN</v>
      </c>
      <c r="J224" s="48"/>
      <c r="K224" s="48"/>
      <c r="L224" s="48"/>
      <c r="M224" s="48"/>
      <c r="N224" s="48"/>
      <c r="O224" s="48"/>
      <c r="P224" s="48"/>
      <c r="Q224" s="7"/>
      <c r="R224" s="7"/>
      <c r="S224" s="7"/>
    </row>
    <row r="225" spans="1:19" ht="15.45" x14ac:dyDescent="0.4">
      <c r="A225" s="8" t="s">
        <v>99</v>
      </c>
      <c r="B225" s="8" t="s">
        <v>140</v>
      </c>
      <c r="C225" s="8" t="s">
        <v>98</v>
      </c>
      <c r="D225" s="8" t="s">
        <v>141</v>
      </c>
      <c r="E225" s="8" t="s">
        <v>6</v>
      </c>
      <c r="F225" s="8" t="s">
        <v>1520</v>
      </c>
      <c r="G225" s="8" t="s">
        <v>1520</v>
      </c>
      <c r="H225" s="23" t="str">
        <f t="shared" si="0"/>
        <v>Yes</v>
      </c>
      <c r="I225" s="7" t="str">
        <f t="shared" si="1"/>
        <v>TN</v>
      </c>
      <c r="J225" s="48"/>
      <c r="K225" s="48"/>
      <c r="L225" s="48"/>
      <c r="M225" s="48"/>
      <c r="N225" s="48"/>
      <c r="O225" s="48"/>
      <c r="P225" s="48"/>
      <c r="Q225" s="7"/>
      <c r="R225" s="7"/>
      <c r="S225" s="7"/>
    </row>
    <row r="226" spans="1:19" ht="15.45" x14ac:dyDescent="0.4">
      <c r="A226" s="8" t="s">
        <v>99</v>
      </c>
      <c r="B226" s="8" t="s">
        <v>1026</v>
      </c>
      <c r="C226" s="8" t="s">
        <v>98</v>
      </c>
      <c r="D226" s="8" t="s">
        <v>1027</v>
      </c>
      <c r="E226" s="8" t="s">
        <v>6</v>
      </c>
      <c r="F226" s="8" t="s">
        <v>1520</v>
      </c>
      <c r="G226" s="8" t="s">
        <v>1520</v>
      </c>
      <c r="H226" s="23" t="str">
        <f t="shared" si="0"/>
        <v>Yes</v>
      </c>
      <c r="I226" s="7" t="str">
        <f t="shared" si="1"/>
        <v>TN</v>
      </c>
      <c r="J226" s="48"/>
      <c r="K226" s="48"/>
      <c r="L226" s="48"/>
      <c r="M226" s="48"/>
      <c r="N226" s="48"/>
      <c r="O226" s="48"/>
      <c r="P226" s="48"/>
      <c r="Q226" s="7"/>
      <c r="R226" s="7"/>
      <c r="S226" s="7"/>
    </row>
    <row r="227" spans="1:19" ht="15.45" x14ac:dyDescent="0.4">
      <c r="A227" s="8" t="s">
        <v>99</v>
      </c>
      <c r="B227" s="8" t="s">
        <v>1043</v>
      </c>
      <c r="C227" s="8" t="s">
        <v>98</v>
      </c>
      <c r="D227" s="8" t="s">
        <v>1031</v>
      </c>
      <c r="E227" s="8" t="s">
        <v>6</v>
      </c>
      <c r="F227" s="8" t="s">
        <v>1520</v>
      </c>
      <c r="G227" s="8" t="s">
        <v>1520</v>
      </c>
      <c r="H227" s="23" t="str">
        <f t="shared" si="0"/>
        <v>Yes</v>
      </c>
      <c r="I227" s="7" t="str">
        <f t="shared" si="1"/>
        <v>TN</v>
      </c>
      <c r="J227" s="48"/>
      <c r="K227" s="48"/>
      <c r="L227" s="48"/>
      <c r="M227" s="48"/>
      <c r="N227" s="48"/>
      <c r="O227" s="48"/>
      <c r="P227" s="48"/>
      <c r="Q227" s="7"/>
      <c r="R227" s="7"/>
      <c r="S227" s="7"/>
    </row>
    <row r="228" spans="1:19" ht="15.45" x14ac:dyDescent="0.4">
      <c r="A228" s="8" t="s">
        <v>99</v>
      </c>
      <c r="B228" s="8" t="s">
        <v>1053</v>
      </c>
      <c r="C228" s="8" t="s">
        <v>98</v>
      </c>
      <c r="D228" s="8" t="s">
        <v>1054</v>
      </c>
      <c r="E228" s="8" t="s">
        <v>6</v>
      </c>
      <c r="F228" s="8" t="s">
        <v>1520</v>
      </c>
      <c r="G228" s="8" t="s">
        <v>1520</v>
      </c>
      <c r="H228" s="23" t="str">
        <f t="shared" si="0"/>
        <v>Yes</v>
      </c>
      <c r="I228" s="7" t="str">
        <f t="shared" si="1"/>
        <v>TN</v>
      </c>
      <c r="J228" s="48"/>
      <c r="K228" s="48"/>
      <c r="L228" s="48"/>
      <c r="M228" s="48"/>
      <c r="N228" s="48"/>
      <c r="O228" s="48"/>
      <c r="P228" s="48"/>
      <c r="Q228" s="7"/>
      <c r="R228" s="7"/>
      <c r="S228" s="7"/>
    </row>
    <row r="229" spans="1:19" ht="15.45" x14ac:dyDescent="0.4">
      <c r="A229" s="8" t="s">
        <v>99</v>
      </c>
      <c r="B229" s="8" t="s">
        <v>1122</v>
      </c>
      <c r="C229" s="8" t="s">
        <v>98</v>
      </c>
      <c r="D229" s="8" t="s">
        <v>1054</v>
      </c>
      <c r="E229" s="8" t="s">
        <v>6</v>
      </c>
      <c r="F229" s="8" t="s">
        <v>1520</v>
      </c>
      <c r="G229" s="8" t="s">
        <v>1520</v>
      </c>
      <c r="H229" s="23" t="str">
        <f t="shared" si="0"/>
        <v>Yes</v>
      </c>
      <c r="I229" s="7" t="str">
        <f t="shared" si="1"/>
        <v>TN</v>
      </c>
      <c r="J229" s="48"/>
      <c r="K229" s="48"/>
      <c r="L229" s="48"/>
      <c r="M229" s="48"/>
      <c r="N229" s="48"/>
      <c r="O229" s="48"/>
      <c r="P229" s="48"/>
      <c r="Q229" s="7"/>
      <c r="R229" s="7"/>
      <c r="S229" s="7"/>
    </row>
    <row r="230" spans="1:19" ht="15.45" x14ac:dyDescent="0.4">
      <c r="A230" s="8" t="s">
        <v>130</v>
      </c>
      <c r="B230" s="8" t="s">
        <v>140</v>
      </c>
      <c r="C230" s="8" t="s">
        <v>131</v>
      </c>
      <c r="D230" s="8" t="s">
        <v>141</v>
      </c>
      <c r="E230" s="8" t="s">
        <v>6</v>
      </c>
      <c r="F230" s="8" t="s">
        <v>1520</v>
      </c>
      <c r="G230" s="8" t="s">
        <v>1520</v>
      </c>
      <c r="H230" s="23" t="str">
        <f t="shared" si="0"/>
        <v>Yes</v>
      </c>
      <c r="I230" s="7" t="str">
        <f t="shared" si="1"/>
        <v>TN</v>
      </c>
      <c r="J230" s="48"/>
      <c r="K230" s="48"/>
      <c r="L230" s="48"/>
      <c r="M230" s="48"/>
      <c r="N230" s="48"/>
      <c r="O230" s="48"/>
      <c r="P230" s="48"/>
      <c r="Q230" s="7"/>
      <c r="R230" s="7"/>
      <c r="S230" s="7"/>
    </row>
    <row r="231" spans="1:19" ht="15.45" x14ac:dyDescent="0.4">
      <c r="A231" s="8" t="s">
        <v>130</v>
      </c>
      <c r="B231" s="8" t="s">
        <v>1026</v>
      </c>
      <c r="C231" s="8" t="s">
        <v>131</v>
      </c>
      <c r="D231" s="8" t="s">
        <v>1027</v>
      </c>
      <c r="E231" s="8" t="s">
        <v>6</v>
      </c>
      <c r="F231" s="8" t="s">
        <v>1520</v>
      </c>
      <c r="G231" s="8" t="s">
        <v>1520</v>
      </c>
      <c r="H231" s="23" t="str">
        <f t="shared" si="0"/>
        <v>Yes</v>
      </c>
      <c r="I231" s="7" t="str">
        <f t="shared" si="1"/>
        <v>TN</v>
      </c>
      <c r="J231" s="48"/>
      <c r="K231" s="48"/>
      <c r="L231" s="48"/>
      <c r="M231" s="48"/>
      <c r="N231" s="48"/>
      <c r="O231" s="48"/>
      <c r="P231" s="48"/>
      <c r="Q231" s="7"/>
      <c r="R231" s="7"/>
      <c r="S231" s="7"/>
    </row>
    <row r="232" spans="1:19" ht="15.45" x14ac:dyDescent="0.4">
      <c r="A232" s="8" t="s">
        <v>130</v>
      </c>
      <c r="B232" s="8" t="s">
        <v>1043</v>
      </c>
      <c r="C232" s="8" t="s">
        <v>131</v>
      </c>
      <c r="D232" s="8" t="s">
        <v>1031</v>
      </c>
      <c r="E232" s="8" t="s">
        <v>6</v>
      </c>
      <c r="F232" s="8" t="s">
        <v>1520</v>
      </c>
      <c r="G232" s="8" t="s">
        <v>1520</v>
      </c>
      <c r="H232" s="23" t="str">
        <f t="shared" si="0"/>
        <v>Yes</v>
      </c>
      <c r="I232" s="7" t="str">
        <f t="shared" si="1"/>
        <v>TN</v>
      </c>
      <c r="J232" s="48"/>
      <c r="K232" s="48"/>
      <c r="L232" s="48"/>
      <c r="M232" s="48"/>
      <c r="N232" s="48"/>
      <c r="O232" s="48"/>
      <c r="P232" s="48"/>
      <c r="Q232" s="7"/>
      <c r="R232" s="7"/>
      <c r="S232" s="7"/>
    </row>
    <row r="233" spans="1:19" ht="15.45" x14ac:dyDescent="0.4">
      <c r="A233" s="8" t="s">
        <v>130</v>
      </c>
      <c r="B233" s="8" t="s">
        <v>1053</v>
      </c>
      <c r="C233" s="8" t="s">
        <v>131</v>
      </c>
      <c r="D233" s="8" t="s">
        <v>1054</v>
      </c>
      <c r="E233" s="8" t="s">
        <v>6</v>
      </c>
      <c r="F233" s="8" t="s">
        <v>1520</v>
      </c>
      <c r="G233" s="8" t="s">
        <v>1520</v>
      </c>
      <c r="H233" s="23" t="str">
        <f t="shared" si="0"/>
        <v>Yes</v>
      </c>
      <c r="I233" s="7" t="str">
        <f t="shared" si="1"/>
        <v>TN</v>
      </c>
      <c r="J233" s="48"/>
      <c r="K233" s="48"/>
      <c r="L233" s="48"/>
      <c r="M233" s="48"/>
      <c r="N233" s="48"/>
      <c r="O233" s="48"/>
      <c r="P233" s="48"/>
      <c r="Q233" s="7"/>
      <c r="R233" s="7"/>
      <c r="S233" s="7"/>
    </row>
    <row r="234" spans="1:19" ht="15.45" x14ac:dyDescent="0.4">
      <c r="A234" s="8" t="s">
        <v>130</v>
      </c>
      <c r="B234" s="8" t="s">
        <v>1122</v>
      </c>
      <c r="C234" s="8" t="s">
        <v>131</v>
      </c>
      <c r="D234" s="8" t="s">
        <v>1054</v>
      </c>
      <c r="E234" s="8" t="s">
        <v>6</v>
      </c>
      <c r="F234" s="8" t="s">
        <v>1520</v>
      </c>
      <c r="G234" s="8" t="s">
        <v>1520</v>
      </c>
      <c r="H234" s="23" t="str">
        <f t="shared" si="0"/>
        <v>Yes</v>
      </c>
      <c r="I234" s="7" t="str">
        <f t="shared" si="1"/>
        <v>TN</v>
      </c>
      <c r="J234" s="48"/>
      <c r="K234" s="48"/>
      <c r="L234" s="48"/>
      <c r="M234" s="48"/>
      <c r="N234" s="48"/>
      <c r="O234" s="48"/>
      <c r="P234" s="48"/>
      <c r="Q234" s="7"/>
      <c r="R234" s="7"/>
      <c r="S234" s="7"/>
    </row>
    <row r="235" spans="1:19" ht="15.45" x14ac:dyDescent="0.4">
      <c r="A235" s="8" t="s">
        <v>140</v>
      </c>
      <c r="B235" s="8" t="s">
        <v>1026</v>
      </c>
      <c r="C235" s="8" t="s">
        <v>141</v>
      </c>
      <c r="D235" s="8" t="s">
        <v>1027</v>
      </c>
      <c r="E235" s="8" t="s">
        <v>6</v>
      </c>
      <c r="F235" s="8" t="s">
        <v>1520</v>
      </c>
      <c r="G235" s="8" t="s">
        <v>1520</v>
      </c>
      <c r="H235" s="23" t="str">
        <f t="shared" si="0"/>
        <v>Yes</v>
      </c>
      <c r="I235" s="7" t="str">
        <f t="shared" si="1"/>
        <v>TN</v>
      </c>
      <c r="J235" s="48"/>
      <c r="K235" s="48"/>
      <c r="L235" s="48"/>
      <c r="M235" s="48"/>
      <c r="N235" s="48"/>
      <c r="O235" s="48"/>
      <c r="P235" s="48"/>
      <c r="Q235" s="7"/>
      <c r="R235" s="7"/>
      <c r="S235" s="7"/>
    </row>
    <row r="236" spans="1:19" ht="15.45" x14ac:dyDescent="0.4">
      <c r="A236" s="8" t="s">
        <v>140</v>
      </c>
      <c r="B236" s="8" t="s">
        <v>1043</v>
      </c>
      <c r="C236" s="8" t="s">
        <v>141</v>
      </c>
      <c r="D236" s="8" t="s">
        <v>1031</v>
      </c>
      <c r="E236" s="8" t="s">
        <v>6</v>
      </c>
      <c r="F236" s="8" t="s">
        <v>1520</v>
      </c>
      <c r="G236" s="8" t="s">
        <v>1520</v>
      </c>
      <c r="H236" s="23" t="str">
        <f t="shared" si="0"/>
        <v>Yes</v>
      </c>
      <c r="I236" s="7" t="str">
        <f t="shared" si="1"/>
        <v>TN</v>
      </c>
      <c r="J236" s="48"/>
      <c r="K236" s="48"/>
      <c r="L236" s="48"/>
      <c r="M236" s="48"/>
      <c r="N236" s="48"/>
      <c r="O236" s="48"/>
      <c r="P236" s="48"/>
      <c r="Q236" s="7"/>
      <c r="R236" s="7"/>
      <c r="S236" s="7"/>
    </row>
    <row r="237" spans="1:19" ht="15.45" x14ac:dyDescent="0.4">
      <c r="A237" s="8" t="s">
        <v>140</v>
      </c>
      <c r="B237" s="8" t="s">
        <v>1053</v>
      </c>
      <c r="C237" s="8" t="s">
        <v>141</v>
      </c>
      <c r="D237" s="8" t="s">
        <v>1054</v>
      </c>
      <c r="E237" s="8" t="s">
        <v>6</v>
      </c>
      <c r="F237" s="8" t="s">
        <v>1520</v>
      </c>
      <c r="G237" s="8" t="s">
        <v>1520</v>
      </c>
      <c r="H237" s="23" t="str">
        <f t="shared" si="0"/>
        <v>Yes</v>
      </c>
      <c r="I237" s="7" t="str">
        <f t="shared" si="1"/>
        <v>TN</v>
      </c>
      <c r="J237" s="48"/>
      <c r="K237" s="48"/>
      <c r="L237" s="48"/>
      <c r="M237" s="48"/>
      <c r="N237" s="48"/>
      <c r="O237" s="48"/>
      <c r="P237" s="48"/>
      <c r="Q237" s="7"/>
      <c r="R237" s="7"/>
      <c r="S237" s="7"/>
    </row>
    <row r="238" spans="1:19" ht="15.45" x14ac:dyDescent="0.4">
      <c r="A238" s="8" t="s">
        <v>140</v>
      </c>
      <c r="B238" s="8" t="s">
        <v>1122</v>
      </c>
      <c r="C238" s="8" t="s">
        <v>141</v>
      </c>
      <c r="D238" s="8" t="s">
        <v>1054</v>
      </c>
      <c r="E238" s="8" t="s">
        <v>6</v>
      </c>
      <c r="F238" s="8" t="s">
        <v>1520</v>
      </c>
      <c r="G238" s="8" t="s">
        <v>1520</v>
      </c>
      <c r="H238" s="23" t="str">
        <f t="shared" si="0"/>
        <v>Yes</v>
      </c>
      <c r="I238" s="7" t="str">
        <f t="shared" si="1"/>
        <v>TN</v>
      </c>
      <c r="J238" s="48"/>
      <c r="K238" s="48"/>
      <c r="L238" s="48"/>
      <c r="M238" s="48"/>
      <c r="N238" s="48"/>
      <c r="O238" s="48"/>
      <c r="P238" s="48"/>
      <c r="Q238" s="7"/>
      <c r="R238" s="7"/>
      <c r="S238" s="7"/>
    </row>
    <row r="239" spans="1:19" ht="15.45" x14ac:dyDescent="0.4">
      <c r="A239" s="8" t="s">
        <v>1053</v>
      </c>
      <c r="B239" s="8" t="s">
        <v>1122</v>
      </c>
      <c r="C239" s="8" t="s">
        <v>1054</v>
      </c>
      <c r="D239" s="8" t="s">
        <v>1054</v>
      </c>
      <c r="E239" s="8" t="s">
        <v>6</v>
      </c>
      <c r="F239" s="8" t="s">
        <v>1520</v>
      </c>
      <c r="G239" s="8" t="s">
        <v>1520</v>
      </c>
      <c r="H239" s="23" t="str">
        <f t="shared" si="0"/>
        <v>Yes</v>
      </c>
      <c r="I239" s="7" t="str">
        <f t="shared" si="1"/>
        <v>TN</v>
      </c>
      <c r="J239" s="48"/>
      <c r="K239" s="48"/>
      <c r="L239" s="48"/>
      <c r="M239" s="48"/>
      <c r="N239" s="48"/>
      <c r="O239" s="48"/>
      <c r="P239" s="48"/>
      <c r="Q239" s="7"/>
      <c r="R239" s="7"/>
      <c r="S239" s="7"/>
    </row>
    <row r="240" spans="1:19" ht="15.45" x14ac:dyDescent="0.4">
      <c r="A240" s="8" t="s">
        <v>1028</v>
      </c>
      <c r="B240" s="8" t="s">
        <v>1036</v>
      </c>
      <c r="C240" s="8" t="s">
        <v>1029</v>
      </c>
      <c r="D240" s="8" t="s">
        <v>1035</v>
      </c>
      <c r="E240" s="8" t="s">
        <v>55</v>
      </c>
      <c r="F240" s="8" t="s">
        <v>1522</v>
      </c>
      <c r="G240" s="8" t="s">
        <v>1522</v>
      </c>
      <c r="H240" s="23" t="str">
        <f t="shared" si="0"/>
        <v>Yes</v>
      </c>
      <c r="I240" s="7" t="str">
        <f t="shared" si="1"/>
        <v>TP</v>
      </c>
      <c r="J240" s="48"/>
      <c r="K240" s="48"/>
      <c r="L240" s="48"/>
      <c r="M240" s="48"/>
      <c r="N240" s="48"/>
      <c r="O240" s="48"/>
      <c r="P240" s="48"/>
      <c r="Q240" s="7"/>
      <c r="R240" s="7"/>
      <c r="S240" s="7"/>
    </row>
    <row r="241" spans="1:19" ht="15.45" x14ac:dyDescent="0.4">
      <c r="A241" s="8" t="s">
        <v>1028</v>
      </c>
      <c r="B241" s="8" t="s">
        <v>1093</v>
      </c>
      <c r="C241" s="8" t="s">
        <v>1029</v>
      </c>
      <c r="D241" s="8" t="s">
        <v>1051</v>
      </c>
      <c r="E241" s="8" t="s">
        <v>55</v>
      </c>
      <c r="F241" s="8" t="s">
        <v>1522</v>
      </c>
      <c r="G241" s="8" t="s">
        <v>1522</v>
      </c>
      <c r="H241" s="23" t="str">
        <f t="shared" si="0"/>
        <v>Yes</v>
      </c>
      <c r="I241" s="7" t="str">
        <f t="shared" si="1"/>
        <v>TP</v>
      </c>
      <c r="J241" s="48"/>
      <c r="K241" s="48"/>
      <c r="L241" s="48"/>
      <c r="M241" s="48"/>
      <c r="N241" s="48"/>
      <c r="O241" s="48"/>
      <c r="P241" s="48"/>
      <c r="Q241" s="7"/>
      <c r="R241" s="7"/>
      <c r="S241" s="7"/>
    </row>
    <row r="242" spans="1:19" ht="15.45" x14ac:dyDescent="0.4">
      <c r="A242" s="8" t="s">
        <v>1036</v>
      </c>
      <c r="B242" s="8" t="s">
        <v>1093</v>
      </c>
      <c r="C242" s="8" t="s">
        <v>1035</v>
      </c>
      <c r="D242" s="8" t="s">
        <v>1051</v>
      </c>
      <c r="E242" s="8" t="s">
        <v>55</v>
      </c>
      <c r="F242" s="8" t="s">
        <v>1522</v>
      </c>
      <c r="G242" s="8" t="s">
        <v>1522</v>
      </c>
      <c r="H242" s="23" t="str">
        <f t="shared" si="0"/>
        <v>Yes</v>
      </c>
      <c r="I242" s="7" t="str">
        <f t="shared" si="1"/>
        <v>TP</v>
      </c>
      <c r="J242" s="48"/>
      <c r="K242" s="48"/>
      <c r="L242" s="48"/>
      <c r="M242" s="48"/>
      <c r="N242" s="48"/>
      <c r="O242" s="48"/>
      <c r="P242" s="48"/>
      <c r="Q242" s="7"/>
      <c r="R242" s="7"/>
      <c r="S242" s="7"/>
    </row>
    <row r="243" spans="1:19" ht="15.45" x14ac:dyDescent="0.4">
      <c r="A243" s="8" t="s">
        <v>53</v>
      </c>
      <c r="B243" s="8" t="s">
        <v>77</v>
      </c>
      <c r="C243" s="8" t="s">
        <v>54</v>
      </c>
      <c r="D243" s="8" t="s">
        <v>78</v>
      </c>
      <c r="E243" s="8" t="s">
        <v>55</v>
      </c>
      <c r="F243" s="8" t="s">
        <v>1520</v>
      </c>
      <c r="G243" s="8" t="s">
        <v>1520</v>
      </c>
      <c r="H243" s="23" t="str">
        <f t="shared" si="0"/>
        <v>Yes</v>
      </c>
      <c r="I243" s="7" t="str">
        <f t="shared" si="1"/>
        <v>TN</v>
      </c>
      <c r="J243" s="48"/>
      <c r="K243" s="48"/>
      <c r="L243" s="48"/>
      <c r="M243" s="48"/>
      <c r="N243" s="48"/>
      <c r="O243" s="48"/>
      <c r="P243" s="48"/>
      <c r="Q243" s="7"/>
      <c r="R243" s="7"/>
      <c r="S243" s="7"/>
    </row>
    <row r="244" spans="1:19" ht="15.45" x14ac:dyDescent="0.4">
      <c r="A244" s="8" t="s">
        <v>53</v>
      </c>
      <c r="B244" s="8" t="s">
        <v>79</v>
      </c>
      <c r="C244" s="8" t="s">
        <v>54</v>
      </c>
      <c r="D244" s="8" t="s">
        <v>80</v>
      </c>
      <c r="E244" s="8" t="s">
        <v>55</v>
      </c>
      <c r="F244" s="8" t="s">
        <v>1520</v>
      </c>
      <c r="G244" s="8" t="s">
        <v>1520</v>
      </c>
      <c r="H244" s="23" t="str">
        <f t="shared" si="0"/>
        <v>Yes</v>
      </c>
      <c r="I244" s="7" t="str">
        <f t="shared" si="1"/>
        <v>TN</v>
      </c>
      <c r="J244" s="48"/>
      <c r="K244" s="48"/>
      <c r="L244" s="48"/>
      <c r="M244" s="48"/>
      <c r="N244" s="48"/>
      <c r="O244" s="48"/>
      <c r="P244" s="48"/>
      <c r="Q244" s="7"/>
      <c r="R244" s="7"/>
      <c r="S244" s="7"/>
    </row>
    <row r="245" spans="1:19" ht="15.45" x14ac:dyDescent="0.4">
      <c r="A245" s="8" t="s">
        <v>53</v>
      </c>
      <c r="B245" s="8" t="s">
        <v>115</v>
      </c>
      <c r="C245" s="8" t="s">
        <v>54</v>
      </c>
      <c r="D245" s="8" t="s">
        <v>116</v>
      </c>
      <c r="E245" s="8" t="s">
        <v>55</v>
      </c>
      <c r="F245" s="8" t="s">
        <v>1520</v>
      </c>
      <c r="G245" s="8" t="s">
        <v>1520</v>
      </c>
      <c r="H245" s="23" t="str">
        <f t="shared" si="0"/>
        <v>Yes</v>
      </c>
      <c r="I245" s="7" t="str">
        <f t="shared" si="1"/>
        <v>TN</v>
      </c>
      <c r="J245" s="48"/>
      <c r="K245" s="48"/>
      <c r="L245" s="48"/>
      <c r="M245" s="48"/>
      <c r="N245" s="48"/>
      <c r="O245" s="48"/>
      <c r="P245" s="48"/>
      <c r="Q245" s="7"/>
      <c r="R245" s="7"/>
      <c r="S245" s="7"/>
    </row>
    <row r="246" spans="1:19" ht="15.45" x14ac:dyDescent="0.4">
      <c r="A246" s="8" t="s">
        <v>53</v>
      </c>
      <c r="B246" s="8" t="s">
        <v>1390</v>
      </c>
      <c r="C246" s="8" t="s">
        <v>54</v>
      </c>
      <c r="D246" s="8" t="s">
        <v>1353</v>
      </c>
      <c r="E246" s="8" t="s">
        <v>55</v>
      </c>
      <c r="F246" s="8" t="s">
        <v>1520</v>
      </c>
      <c r="G246" s="8" t="s">
        <v>1520</v>
      </c>
      <c r="H246" s="23" t="str">
        <f t="shared" si="0"/>
        <v>Yes</v>
      </c>
      <c r="I246" s="7" t="str">
        <f t="shared" si="1"/>
        <v>TN</v>
      </c>
      <c r="J246" s="48"/>
      <c r="K246" s="48"/>
      <c r="L246" s="48"/>
      <c r="M246" s="48"/>
      <c r="N246" s="48"/>
      <c r="O246" s="48"/>
      <c r="P246" s="48"/>
      <c r="Q246" s="7"/>
      <c r="R246" s="7"/>
      <c r="S246" s="7"/>
    </row>
    <row r="247" spans="1:19" ht="15.45" x14ac:dyDescent="0.4">
      <c r="A247" s="8" t="s">
        <v>53</v>
      </c>
      <c r="B247" s="8" t="s">
        <v>1028</v>
      </c>
      <c r="C247" s="8" t="s">
        <v>54</v>
      </c>
      <c r="D247" s="8" t="s">
        <v>1029</v>
      </c>
      <c r="E247" s="8" t="s">
        <v>55</v>
      </c>
      <c r="F247" s="8" t="s">
        <v>1520</v>
      </c>
      <c r="G247" s="8" t="s">
        <v>1520</v>
      </c>
      <c r="H247" s="23" t="str">
        <f t="shared" si="0"/>
        <v>Yes</v>
      </c>
      <c r="I247" s="7" t="str">
        <f t="shared" si="1"/>
        <v>TN</v>
      </c>
      <c r="J247" s="48"/>
      <c r="K247" s="48"/>
      <c r="L247" s="48"/>
      <c r="M247" s="48"/>
      <c r="N247" s="48"/>
      <c r="O247" s="48"/>
      <c r="P247" s="48"/>
      <c r="Q247" s="7"/>
      <c r="R247" s="7"/>
      <c r="S247" s="7"/>
    </row>
    <row r="248" spans="1:19" ht="15.45" x14ac:dyDescent="0.4">
      <c r="A248" s="8" t="s">
        <v>53</v>
      </c>
      <c r="B248" s="8" t="s">
        <v>1036</v>
      </c>
      <c r="C248" s="8" t="s">
        <v>54</v>
      </c>
      <c r="D248" s="8" t="s">
        <v>1035</v>
      </c>
      <c r="E248" s="8" t="s">
        <v>55</v>
      </c>
      <c r="F248" s="8" t="s">
        <v>1520</v>
      </c>
      <c r="G248" s="8" t="s">
        <v>1520</v>
      </c>
      <c r="H248" s="23" t="str">
        <f t="shared" si="0"/>
        <v>Yes</v>
      </c>
      <c r="I248" s="7" t="str">
        <f t="shared" si="1"/>
        <v>TN</v>
      </c>
      <c r="J248" s="48"/>
      <c r="K248" s="48"/>
      <c r="L248" s="48"/>
      <c r="M248" s="48"/>
      <c r="N248" s="48"/>
      <c r="O248" s="48"/>
      <c r="P248" s="48"/>
      <c r="Q248" s="7"/>
      <c r="R248" s="7"/>
      <c r="S248" s="7"/>
    </row>
    <row r="249" spans="1:19" ht="15.45" x14ac:dyDescent="0.4">
      <c r="A249" s="8" t="s">
        <v>53</v>
      </c>
      <c r="B249" s="8" t="s">
        <v>1093</v>
      </c>
      <c r="C249" s="8" t="s">
        <v>54</v>
      </c>
      <c r="D249" s="8" t="s">
        <v>1051</v>
      </c>
      <c r="E249" s="8" t="s">
        <v>55</v>
      </c>
      <c r="F249" s="8" t="s">
        <v>1520</v>
      </c>
      <c r="G249" s="8" t="s">
        <v>1520</v>
      </c>
      <c r="H249" s="23" t="str">
        <f t="shared" si="0"/>
        <v>Yes</v>
      </c>
      <c r="I249" s="7" t="str">
        <f t="shared" si="1"/>
        <v>TN</v>
      </c>
      <c r="J249" s="48"/>
      <c r="K249" s="48"/>
      <c r="L249" s="48"/>
      <c r="M249" s="48"/>
      <c r="N249" s="48"/>
      <c r="O249" s="48"/>
      <c r="P249" s="48"/>
      <c r="Q249" s="7"/>
      <c r="R249" s="7"/>
      <c r="S249" s="7"/>
    </row>
    <row r="250" spans="1:19" ht="15.45" x14ac:dyDescent="0.4">
      <c r="A250" s="8" t="s">
        <v>77</v>
      </c>
      <c r="B250" s="8" t="s">
        <v>79</v>
      </c>
      <c r="C250" s="8" t="s">
        <v>78</v>
      </c>
      <c r="D250" s="8" t="s">
        <v>80</v>
      </c>
      <c r="E250" s="8" t="s">
        <v>55</v>
      </c>
      <c r="F250" s="8" t="s">
        <v>1520</v>
      </c>
      <c r="G250" s="8" t="s">
        <v>1520</v>
      </c>
      <c r="H250" s="23" t="str">
        <f t="shared" si="0"/>
        <v>Yes</v>
      </c>
      <c r="I250" s="7" t="str">
        <f t="shared" si="1"/>
        <v>TN</v>
      </c>
      <c r="J250" s="48"/>
      <c r="K250" s="48"/>
      <c r="L250" s="48"/>
      <c r="M250" s="48"/>
      <c r="N250" s="48"/>
      <c r="O250" s="48"/>
      <c r="P250" s="48"/>
      <c r="Q250" s="7"/>
      <c r="R250" s="7"/>
      <c r="S250" s="7"/>
    </row>
    <row r="251" spans="1:19" ht="15.45" x14ac:dyDescent="0.4">
      <c r="A251" s="8" t="s">
        <v>77</v>
      </c>
      <c r="B251" s="8" t="s">
        <v>115</v>
      </c>
      <c r="C251" s="8" t="s">
        <v>78</v>
      </c>
      <c r="D251" s="8" t="s">
        <v>116</v>
      </c>
      <c r="E251" s="8" t="s">
        <v>55</v>
      </c>
      <c r="F251" s="8" t="s">
        <v>1520</v>
      </c>
      <c r="G251" s="8" t="s">
        <v>1520</v>
      </c>
      <c r="H251" s="23" t="str">
        <f t="shared" si="0"/>
        <v>Yes</v>
      </c>
      <c r="I251" s="7" t="str">
        <f t="shared" si="1"/>
        <v>TN</v>
      </c>
      <c r="J251" s="48"/>
      <c r="K251" s="48"/>
      <c r="L251" s="48"/>
      <c r="M251" s="48"/>
      <c r="N251" s="48"/>
      <c r="O251" s="48"/>
      <c r="P251" s="48"/>
      <c r="Q251" s="7"/>
      <c r="R251" s="7"/>
      <c r="S251" s="7"/>
    </row>
    <row r="252" spans="1:19" ht="15.45" x14ac:dyDescent="0.4">
      <c r="A252" s="8" t="s">
        <v>77</v>
      </c>
      <c r="B252" s="8" t="s">
        <v>1390</v>
      </c>
      <c r="C252" s="8" t="s">
        <v>78</v>
      </c>
      <c r="D252" s="8" t="s">
        <v>1353</v>
      </c>
      <c r="E252" s="8" t="s">
        <v>55</v>
      </c>
      <c r="F252" s="8" t="s">
        <v>1520</v>
      </c>
      <c r="G252" s="8" t="s">
        <v>1520</v>
      </c>
      <c r="H252" s="23" t="str">
        <f t="shared" si="0"/>
        <v>Yes</v>
      </c>
      <c r="I252" s="7" t="str">
        <f t="shared" si="1"/>
        <v>TN</v>
      </c>
      <c r="J252" s="48"/>
      <c r="K252" s="48"/>
      <c r="L252" s="48"/>
      <c r="M252" s="48"/>
      <c r="N252" s="48"/>
      <c r="O252" s="48"/>
      <c r="P252" s="48"/>
      <c r="Q252" s="7"/>
      <c r="R252" s="7"/>
      <c r="S252" s="7"/>
    </row>
    <row r="253" spans="1:19" ht="15.45" x14ac:dyDescent="0.4">
      <c r="A253" s="8" t="s">
        <v>77</v>
      </c>
      <c r="B253" s="8" t="s">
        <v>1028</v>
      </c>
      <c r="C253" s="8" t="s">
        <v>78</v>
      </c>
      <c r="D253" s="8" t="s">
        <v>1029</v>
      </c>
      <c r="E253" s="8" t="s">
        <v>55</v>
      </c>
      <c r="F253" s="8" t="s">
        <v>1520</v>
      </c>
      <c r="G253" s="8" t="s">
        <v>1520</v>
      </c>
      <c r="H253" s="23" t="str">
        <f t="shared" si="0"/>
        <v>Yes</v>
      </c>
      <c r="I253" s="7" t="str">
        <f t="shared" si="1"/>
        <v>TN</v>
      </c>
      <c r="J253" s="48"/>
      <c r="K253" s="48"/>
      <c r="L253" s="48"/>
      <c r="M253" s="48"/>
      <c r="N253" s="48"/>
      <c r="O253" s="48"/>
      <c r="P253" s="48"/>
      <c r="Q253" s="7"/>
      <c r="R253" s="7"/>
      <c r="S253" s="7"/>
    </row>
    <row r="254" spans="1:19" ht="15.45" x14ac:dyDescent="0.4">
      <c r="A254" s="8" t="s">
        <v>77</v>
      </c>
      <c r="B254" s="8" t="s">
        <v>1036</v>
      </c>
      <c r="C254" s="8" t="s">
        <v>78</v>
      </c>
      <c r="D254" s="8" t="s">
        <v>1035</v>
      </c>
      <c r="E254" s="8" t="s">
        <v>55</v>
      </c>
      <c r="F254" s="8" t="s">
        <v>1520</v>
      </c>
      <c r="G254" s="8" t="s">
        <v>1520</v>
      </c>
      <c r="H254" s="23" t="str">
        <f t="shared" si="0"/>
        <v>Yes</v>
      </c>
      <c r="I254" s="7" t="str">
        <f t="shared" si="1"/>
        <v>TN</v>
      </c>
      <c r="J254" s="48"/>
      <c r="K254" s="48"/>
      <c r="L254" s="48"/>
      <c r="M254" s="48"/>
      <c r="N254" s="48"/>
      <c r="O254" s="48"/>
      <c r="P254" s="48"/>
      <c r="Q254" s="7"/>
      <c r="R254" s="7"/>
      <c r="S254" s="7"/>
    </row>
    <row r="255" spans="1:19" ht="15.45" x14ac:dyDescent="0.4">
      <c r="A255" s="8" t="s">
        <v>77</v>
      </c>
      <c r="B255" s="8" t="s">
        <v>1093</v>
      </c>
      <c r="C255" s="8" t="s">
        <v>78</v>
      </c>
      <c r="D255" s="8" t="s">
        <v>1051</v>
      </c>
      <c r="E255" s="8" t="s">
        <v>55</v>
      </c>
      <c r="F255" s="8" t="s">
        <v>1520</v>
      </c>
      <c r="G255" s="8" t="s">
        <v>1520</v>
      </c>
      <c r="H255" s="23" t="str">
        <f t="shared" si="0"/>
        <v>Yes</v>
      </c>
      <c r="I255" s="7" t="str">
        <f t="shared" si="1"/>
        <v>TN</v>
      </c>
      <c r="J255" s="48"/>
      <c r="K255" s="48"/>
      <c r="L255" s="48"/>
      <c r="M255" s="48"/>
      <c r="N255" s="48"/>
      <c r="O255" s="48"/>
      <c r="P255" s="48"/>
      <c r="Q255" s="7"/>
      <c r="R255" s="7"/>
      <c r="S255" s="7"/>
    </row>
    <row r="256" spans="1:19" ht="15.45" x14ac:dyDescent="0.4">
      <c r="A256" s="8" t="s">
        <v>79</v>
      </c>
      <c r="B256" s="8" t="s">
        <v>115</v>
      </c>
      <c r="C256" s="8" t="s">
        <v>80</v>
      </c>
      <c r="D256" s="8" t="s">
        <v>116</v>
      </c>
      <c r="E256" s="8" t="s">
        <v>55</v>
      </c>
      <c r="F256" s="8" t="s">
        <v>1520</v>
      </c>
      <c r="G256" s="8" t="s">
        <v>1520</v>
      </c>
      <c r="H256" s="23" t="str">
        <f t="shared" si="0"/>
        <v>Yes</v>
      </c>
      <c r="I256" s="7" t="str">
        <f t="shared" si="1"/>
        <v>TN</v>
      </c>
      <c r="J256" s="48"/>
      <c r="K256" s="48"/>
      <c r="L256" s="48"/>
      <c r="M256" s="48"/>
      <c r="N256" s="48"/>
      <c r="O256" s="48"/>
      <c r="P256" s="48"/>
      <c r="Q256" s="7"/>
      <c r="R256" s="7"/>
      <c r="S256" s="7"/>
    </row>
    <row r="257" spans="1:19" ht="15.45" x14ac:dyDescent="0.4">
      <c r="A257" s="8" t="s">
        <v>79</v>
      </c>
      <c r="B257" s="8" t="s">
        <v>1390</v>
      </c>
      <c r="C257" s="8" t="s">
        <v>80</v>
      </c>
      <c r="D257" s="8" t="s">
        <v>1353</v>
      </c>
      <c r="E257" s="8" t="s">
        <v>55</v>
      </c>
      <c r="F257" s="8" t="s">
        <v>1520</v>
      </c>
      <c r="G257" s="8" t="s">
        <v>1520</v>
      </c>
      <c r="H257" s="23" t="str">
        <f t="shared" si="0"/>
        <v>Yes</v>
      </c>
      <c r="I257" s="7" t="str">
        <f t="shared" si="1"/>
        <v>TN</v>
      </c>
      <c r="J257" s="48"/>
      <c r="K257" s="48"/>
      <c r="L257" s="48"/>
      <c r="M257" s="48"/>
      <c r="N257" s="48"/>
      <c r="O257" s="48"/>
      <c r="P257" s="48"/>
      <c r="Q257" s="7"/>
      <c r="R257" s="7"/>
      <c r="S257" s="7"/>
    </row>
    <row r="258" spans="1:19" ht="15.45" x14ac:dyDescent="0.4">
      <c r="A258" s="8" t="s">
        <v>79</v>
      </c>
      <c r="B258" s="8" t="s">
        <v>1028</v>
      </c>
      <c r="C258" s="8" t="s">
        <v>80</v>
      </c>
      <c r="D258" s="8" t="s">
        <v>1029</v>
      </c>
      <c r="E258" s="8" t="s">
        <v>55</v>
      </c>
      <c r="F258" s="8" t="s">
        <v>1520</v>
      </c>
      <c r="G258" s="8" t="s">
        <v>1520</v>
      </c>
      <c r="H258" s="23" t="str">
        <f t="shared" si="0"/>
        <v>Yes</v>
      </c>
      <c r="I258" s="7" t="str">
        <f t="shared" si="1"/>
        <v>TN</v>
      </c>
      <c r="J258" s="48"/>
      <c r="K258" s="48"/>
      <c r="L258" s="48"/>
      <c r="M258" s="48"/>
      <c r="N258" s="48"/>
      <c r="O258" s="48"/>
      <c r="P258" s="48"/>
      <c r="Q258" s="7"/>
      <c r="R258" s="7"/>
      <c r="S258" s="7"/>
    </row>
    <row r="259" spans="1:19" ht="15.45" x14ac:dyDescent="0.4">
      <c r="A259" s="8" t="s">
        <v>79</v>
      </c>
      <c r="B259" s="8" t="s">
        <v>1036</v>
      </c>
      <c r="C259" s="8" t="s">
        <v>80</v>
      </c>
      <c r="D259" s="8" t="s">
        <v>1035</v>
      </c>
      <c r="E259" s="8" t="s">
        <v>55</v>
      </c>
      <c r="F259" s="8" t="s">
        <v>1520</v>
      </c>
      <c r="G259" s="8" t="s">
        <v>1520</v>
      </c>
      <c r="H259" s="23" t="str">
        <f t="shared" si="0"/>
        <v>Yes</v>
      </c>
      <c r="I259" s="7" t="str">
        <f t="shared" si="1"/>
        <v>TN</v>
      </c>
      <c r="J259" s="48"/>
      <c r="K259" s="48"/>
      <c r="L259" s="48"/>
      <c r="M259" s="48"/>
      <c r="N259" s="48"/>
      <c r="O259" s="48"/>
      <c r="P259" s="48"/>
      <c r="Q259" s="7"/>
      <c r="R259" s="7"/>
      <c r="S259" s="7"/>
    </row>
    <row r="260" spans="1:19" ht="15.45" x14ac:dyDescent="0.4">
      <c r="A260" s="8" t="s">
        <v>79</v>
      </c>
      <c r="B260" s="8" t="s">
        <v>1093</v>
      </c>
      <c r="C260" s="8" t="s">
        <v>80</v>
      </c>
      <c r="D260" s="8" t="s">
        <v>1051</v>
      </c>
      <c r="E260" s="8" t="s">
        <v>55</v>
      </c>
      <c r="F260" s="8" t="s">
        <v>1520</v>
      </c>
      <c r="G260" s="8" t="s">
        <v>1520</v>
      </c>
      <c r="H260" s="23" t="str">
        <f t="shared" si="0"/>
        <v>Yes</v>
      </c>
      <c r="I260" s="7" t="str">
        <f t="shared" si="1"/>
        <v>TN</v>
      </c>
      <c r="J260" s="48"/>
      <c r="K260" s="48"/>
      <c r="L260" s="48"/>
      <c r="M260" s="48"/>
      <c r="N260" s="48"/>
      <c r="O260" s="48"/>
      <c r="P260" s="48"/>
      <c r="Q260" s="7"/>
      <c r="R260" s="7"/>
      <c r="S260" s="7"/>
    </row>
    <row r="261" spans="1:19" ht="15.45" x14ac:dyDescent="0.4">
      <c r="A261" s="8" t="s">
        <v>115</v>
      </c>
      <c r="B261" s="8" t="s">
        <v>1390</v>
      </c>
      <c r="C261" s="8" t="s">
        <v>116</v>
      </c>
      <c r="D261" s="8" t="s">
        <v>1353</v>
      </c>
      <c r="E261" s="8" t="s">
        <v>55</v>
      </c>
      <c r="F261" s="8" t="s">
        <v>1520</v>
      </c>
      <c r="G261" s="8" t="s">
        <v>1520</v>
      </c>
      <c r="H261" s="23" t="str">
        <f t="shared" si="0"/>
        <v>Yes</v>
      </c>
      <c r="I261" s="7" t="str">
        <f t="shared" si="1"/>
        <v>TN</v>
      </c>
      <c r="J261" s="48"/>
      <c r="K261" s="48"/>
      <c r="L261" s="48"/>
      <c r="M261" s="48"/>
      <c r="N261" s="48"/>
      <c r="O261" s="48"/>
      <c r="P261" s="48"/>
      <c r="Q261" s="7"/>
      <c r="R261" s="7"/>
      <c r="S261" s="7"/>
    </row>
    <row r="262" spans="1:19" ht="15.45" x14ac:dyDescent="0.4">
      <c r="A262" s="8" t="s">
        <v>115</v>
      </c>
      <c r="B262" s="8" t="s">
        <v>1028</v>
      </c>
      <c r="C262" s="8" t="s">
        <v>116</v>
      </c>
      <c r="D262" s="8" t="s">
        <v>1029</v>
      </c>
      <c r="E262" s="8" t="s">
        <v>55</v>
      </c>
      <c r="F262" s="8" t="s">
        <v>1520</v>
      </c>
      <c r="G262" s="8" t="s">
        <v>1520</v>
      </c>
      <c r="H262" s="23" t="str">
        <f t="shared" si="0"/>
        <v>Yes</v>
      </c>
      <c r="I262" s="7" t="str">
        <f t="shared" si="1"/>
        <v>TN</v>
      </c>
      <c r="J262" s="48"/>
      <c r="K262" s="48"/>
      <c r="L262" s="48"/>
      <c r="M262" s="48"/>
      <c r="N262" s="48"/>
      <c r="O262" s="48"/>
      <c r="P262" s="48"/>
      <c r="Q262" s="7"/>
      <c r="R262" s="7"/>
      <c r="S262" s="7"/>
    </row>
    <row r="263" spans="1:19" ht="15.45" x14ac:dyDescent="0.4">
      <c r="A263" s="8" t="s">
        <v>115</v>
      </c>
      <c r="B263" s="8" t="s">
        <v>1036</v>
      </c>
      <c r="C263" s="8" t="s">
        <v>116</v>
      </c>
      <c r="D263" s="8" t="s">
        <v>1035</v>
      </c>
      <c r="E263" s="8" t="s">
        <v>55</v>
      </c>
      <c r="F263" s="8" t="s">
        <v>1520</v>
      </c>
      <c r="G263" s="8" t="s">
        <v>1520</v>
      </c>
      <c r="H263" s="23" t="str">
        <f t="shared" si="0"/>
        <v>Yes</v>
      </c>
      <c r="I263" s="7" t="str">
        <f t="shared" si="1"/>
        <v>TN</v>
      </c>
      <c r="J263" s="48"/>
      <c r="K263" s="48"/>
      <c r="L263" s="48"/>
      <c r="M263" s="48"/>
      <c r="N263" s="48"/>
      <c r="O263" s="48"/>
      <c r="P263" s="48"/>
      <c r="Q263" s="7"/>
      <c r="R263" s="7"/>
      <c r="S263" s="7"/>
    </row>
    <row r="264" spans="1:19" ht="15.45" x14ac:dyDescent="0.4">
      <c r="A264" s="8" t="s">
        <v>115</v>
      </c>
      <c r="B264" s="8" t="s">
        <v>1093</v>
      </c>
      <c r="C264" s="8" t="s">
        <v>116</v>
      </c>
      <c r="D264" s="8" t="s">
        <v>1051</v>
      </c>
      <c r="E264" s="8" t="s">
        <v>55</v>
      </c>
      <c r="F264" s="8" t="s">
        <v>1520</v>
      </c>
      <c r="G264" s="8" t="s">
        <v>1520</v>
      </c>
      <c r="H264" s="23" t="str">
        <f t="shared" si="0"/>
        <v>Yes</v>
      </c>
      <c r="I264" s="7" t="str">
        <f t="shared" si="1"/>
        <v>TN</v>
      </c>
      <c r="J264" s="48"/>
      <c r="K264" s="48"/>
      <c r="L264" s="48"/>
      <c r="M264" s="48"/>
      <c r="N264" s="48"/>
      <c r="O264" s="48"/>
      <c r="P264" s="48"/>
      <c r="Q264" s="7"/>
      <c r="R264" s="7"/>
      <c r="S264" s="7"/>
    </row>
    <row r="265" spans="1:19" ht="15.45" x14ac:dyDescent="0.4">
      <c r="A265" s="8" t="s">
        <v>1390</v>
      </c>
      <c r="B265" s="8" t="s">
        <v>1028</v>
      </c>
      <c r="C265" s="8" t="s">
        <v>1353</v>
      </c>
      <c r="D265" s="8" t="s">
        <v>1029</v>
      </c>
      <c r="E265" s="8" t="s">
        <v>55</v>
      </c>
      <c r="F265" s="8" t="s">
        <v>1520</v>
      </c>
      <c r="G265" s="8" t="s">
        <v>1520</v>
      </c>
      <c r="H265" s="23" t="str">
        <f t="shared" si="0"/>
        <v>Yes</v>
      </c>
      <c r="I265" s="7" t="str">
        <f t="shared" si="1"/>
        <v>TN</v>
      </c>
      <c r="J265" s="48"/>
      <c r="K265" s="48"/>
      <c r="L265" s="48"/>
      <c r="M265" s="48"/>
      <c r="N265" s="48"/>
      <c r="O265" s="48"/>
      <c r="P265" s="48"/>
      <c r="Q265" s="7"/>
      <c r="R265" s="7"/>
      <c r="S265" s="7"/>
    </row>
    <row r="266" spans="1:19" ht="15.45" x14ac:dyDescent="0.4">
      <c r="A266" s="8" t="s">
        <v>1390</v>
      </c>
      <c r="B266" s="8" t="s">
        <v>1036</v>
      </c>
      <c r="C266" s="8" t="s">
        <v>1353</v>
      </c>
      <c r="D266" s="8" t="s">
        <v>1035</v>
      </c>
      <c r="E266" s="8" t="s">
        <v>55</v>
      </c>
      <c r="F266" s="8" t="s">
        <v>1520</v>
      </c>
      <c r="G266" s="8" t="s">
        <v>1520</v>
      </c>
      <c r="H266" s="23" t="str">
        <f t="shared" si="0"/>
        <v>Yes</v>
      </c>
      <c r="I266" s="7" t="str">
        <f t="shared" si="1"/>
        <v>TN</v>
      </c>
      <c r="J266" s="48"/>
      <c r="K266" s="48"/>
      <c r="L266" s="48"/>
      <c r="M266" s="48"/>
      <c r="N266" s="48"/>
      <c r="O266" s="48"/>
      <c r="P266" s="48"/>
      <c r="Q266" s="7"/>
      <c r="R266" s="7"/>
      <c r="S266" s="7"/>
    </row>
    <row r="267" spans="1:19" ht="15.45" x14ac:dyDescent="0.4">
      <c r="A267" s="8" t="s">
        <v>1390</v>
      </c>
      <c r="B267" s="8" t="s">
        <v>1093</v>
      </c>
      <c r="C267" s="8" t="s">
        <v>1353</v>
      </c>
      <c r="D267" s="8" t="s">
        <v>1051</v>
      </c>
      <c r="E267" s="8" t="s">
        <v>55</v>
      </c>
      <c r="F267" s="8" t="s">
        <v>1520</v>
      </c>
      <c r="G267" s="8" t="s">
        <v>1520</v>
      </c>
      <c r="H267" s="23" t="str">
        <f t="shared" si="0"/>
        <v>Yes</v>
      </c>
      <c r="I267" s="7" t="str">
        <f t="shared" si="1"/>
        <v>TN</v>
      </c>
      <c r="J267" s="48"/>
      <c r="K267" s="48"/>
      <c r="L267" s="48"/>
      <c r="M267" s="48"/>
      <c r="N267" s="48"/>
      <c r="O267" s="48"/>
      <c r="P267" s="48"/>
      <c r="Q267" s="7"/>
      <c r="R267" s="7"/>
      <c r="S267" s="7"/>
    </row>
    <row r="268" spans="1:19" ht="15.45" x14ac:dyDescent="0.4">
      <c r="A268" s="8" t="s">
        <v>1050</v>
      </c>
      <c r="B268" s="8" t="s">
        <v>1088</v>
      </c>
      <c r="C268" s="8" t="s">
        <v>1051</v>
      </c>
      <c r="D268" s="8" t="s">
        <v>1029</v>
      </c>
      <c r="E268" s="8" t="s">
        <v>34</v>
      </c>
      <c r="F268" s="8" t="s">
        <v>1522</v>
      </c>
      <c r="G268" s="8" t="s">
        <v>1522</v>
      </c>
      <c r="H268" s="23" t="str">
        <f t="shared" si="0"/>
        <v>Yes</v>
      </c>
      <c r="I268" s="7" t="str">
        <f t="shared" si="1"/>
        <v>TP</v>
      </c>
      <c r="J268" s="48"/>
      <c r="K268" s="48"/>
      <c r="L268" s="48"/>
      <c r="M268" s="48"/>
      <c r="N268" s="48"/>
      <c r="O268" s="48"/>
      <c r="P268" s="48"/>
      <c r="Q268" s="7"/>
      <c r="R268" s="7"/>
      <c r="S268" s="7"/>
    </row>
    <row r="269" spans="1:19" ht="15.45" x14ac:dyDescent="0.4">
      <c r="A269" s="8" t="s">
        <v>1050</v>
      </c>
      <c r="B269" s="8" t="s">
        <v>1116</v>
      </c>
      <c r="C269" s="8" t="s">
        <v>1051</v>
      </c>
      <c r="D269" s="8" t="s">
        <v>1080</v>
      </c>
      <c r="E269" s="8" t="s">
        <v>34</v>
      </c>
      <c r="F269" s="8" t="s">
        <v>1522</v>
      </c>
      <c r="G269" s="8" t="s">
        <v>1522</v>
      </c>
      <c r="H269" s="23" t="str">
        <f t="shared" si="0"/>
        <v>Yes</v>
      </c>
      <c r="I269" s="7" t="str">
        <f t="shared" si="1"/>
        <v>TP</v>
      </c>
      <c r="J269" s="48"/>
      <c r="K269" s="48"/>
      <c r="L269" s="48"/>
      <c r="M269" s="48"/>
      <c r="N269" s="48"/>
      <c r="O269" s="48"/>
      <c r="P269" s="48"/>
      <c r="Q269" s="7"/>
      <c r="R269" s="7"/>
      <c r="S269" s="7"/>
    </row>
    <row r="270" spans="1:19" ht="15.45" x14ac:dyDescent="0.4">
      <c r="A270" s="8" t="s">
        <v>1088</v>
      </c>
      <c r="B270" s="8" t="s">
        <v>1116</v>
      </c>
      <c r="C270" s="8" t="s">
        <v>1029</v>
      </c>
      <c r="D270" s="8" t="s">
        <v>1080</v>
      </c>
      <c r="E270" s="8" t="s">
        <v>34</v>
      </c>
      <c r="F270" s="8" t="s">
        <v>1522</v>
      </c>
      <c r="G270" s="8" t="s">
        <v>1522</v>
      </c>
      <c r="H270" s="23" t="str">
        <f t="shared" si="0"/>
        <v>Yes</v>
      </c>
      <c r="I270" s="7" t="str">
        <f t="shared" si="1"/>
        <v>TP</v>
      </c>
      <c r="J270" s="48"/>
      <c r="K270" s="48"/>
      <c r="L270" s="48"/>
      <c r="M270" s="48"/>
      <c r="N270" s="48"/>
      <c r="O270" s="48"/>
      <c r="P270" s="48"/>
      <c r="Q270" s="7"/>
      <c r="R270" s="7"/>
      <c r="S270" s="7"/>
    </row>
    <row r="271" spans="1:19" ht="15.45" x14ac:dyDescent="0.4">
      <c r="A271" s="8" t="s">
        <v>32</v>
      </c>
      <c r="B271" s="8" t="s">
        <v>41</v>
      </c>
      <c r="C271" s="8" t="s">
        <v>33</v>
      </c>
      <c r="D271" s="8" t="s">
        <v>42</v>
      </c>
      <c r="E271" s="8" t="s">
        <v>34</v>
      </c>
      <c r="F271" s="8" t="s">
        <v>1520</v>
      </c>
      <c r="G271" s="8" t="s">
        <v>1520</v>
      </c>
      <c r="H271" s="23" t="str">
        <f t="shared" si="0"/>
        <v>Yes</v>
      </c>
      <c r="I271" s="7" t="str">
        <f t="shared" si="1"/>
        <v>TN</v>
      </c>
      <c r="J271" s="48"/>
      <c r="K271" s="48"/>
      <c r="L271" s="48"/>
      <c r="M271" s="48"/>
      <c r="N271" s="48"/>
      <c r="O271" s="48"/>
      <c r="P271" s="48"/>
      <c r="Q271" s="7"/>
      <c r="R271" s="7"/>
      <c r="S271" s="7"/>
    </row>
    <row r="272" spans="1:19" ht="15.45" x14ac:dyDescent="0.4">
      <c r="A272" s="8" t="s">
        <v>32</v>
      </c>
      <c r="B272" s="8" t="s">
        <v>50</v>
      </c>
      <c r="C272" s="8" t="s">
        <v>33</v>
      </c>
      <c r="D272" s="8" t="s">
        <v>40</v>
      </c>
      <c r="E272" s="8" t="s">
        <v>34</v>
      </c>
      <c r="F272" s="8" t="s">
        <v>1520</v>
      </c>
      <c r="G272" s="8" t="s">
        <v>1520</v>
      </c>
      <c r="H272" s="23" t="str">
        <f t="shared" si="0"/>
        <v>Yes</v>
      </c>
      <c r="I272" s="7" t="str">
        <f t="shared" si="1"/>
        <v>TN</v>
      </c>
      <c r="J272" s="48"/>
      <c r="K272" s="48"/>
      <c r="L272" s="48"/>
      <c r="M272" s="48"/>
      <c r="N272" s="48"/>
      <c r="O272" s="48"/>
      <c r="P272" s="48"/>
      <c r="Q272" s="7"/>
      <c r="R272" s="7"/>
      <c r="S272" s="7"/>
    </row>
    <row r="273" spans="1:19" ht="15.45" x14ac:dyDescent="0.4">
      <c r="A273" s="8" t="s">
        <v>32</v>
      </c>
      <c r="B273" s="8" t="s">
        <v>106</v>
      </c>
      <c r="C273" s="8" t="s">
        <v>33</v>
      </c>
      <c r="D273" s="8" t="s">
        <v>82</v>
      </c>
      <c r="E273" s="8" t="s">
        <v>34</v>
      </c>
      <c r="F273" s="8" t="s">
        <v>1520</v>
      </c>
      <c r="G273" s="8" t="s">
        <v>1520</v>
      </c>
      <c r="H273" s="23" t="str">
        <f t="shared" si="0"/>
        <v>Yes</v>
      </c>
      <c r="I273" s="7" t="str">
        <f t="shared" si="1"/>
        <v>TN</v>
      </c>
      <c r="J273" s="48"/>
      <c r="K273" s="48"/>
      <c r="L273" s="48"/>
      <c r="M273" s="48"/>
      <c r="N273" s="48"/>
      <c r="O273" s="48"/>
      <c r="P273" s="48"/>
      <c r="Q273" s="7"/>
      <c r="R273" s="7"/>
      <c r="S273" s="7"/>
    </row>
    <row r="274" spans="1:19" ht="15.45" x14ac:dyDescent="0.4">
      <c r="A274" s="8" t="s">
        <v>32</v>
      </c>
      <c r="B274" s="8" t="s">
        <v>1050</v>
      </c>
      <c r="C274" s="8" t="s">
        <v>33</v>
      </c>
      <c r="D274" s="8" t="s">
        <v>1051</v>
      </c>
      <c r="E274" s="8" t="s">
        <v>34</v>
      </c>
      <c r="F274" s="8" t="s">
        <v>1520</v>
      </c>
      <c r="G274" s="8" t="s">
        <v>1520</v>
      </c>
      <c r="H274" s="23" t="str">
        <f t="shared" si="0"/>
        <v>Yes</v>
      </c>
      <c r="I274" s="7" t="str">
        <f t="shared" si="1"/>
        <v>TN</v>
      </c>
      <c r="J274" s="48"/>
      <c r="K274" s="48"/>
      <c r="L274" s="48"/>
      <c r="M274" s="48"/>
      <c r="N274" s="48"/>
      <c r="O274" s="48"/>
      <c r="P274" s="48"/>
      <c r="Q274" s="7"/>
      <c r="R274" s="7"/>
      <c r="S274" s="7"/>
    </row>
    <row r="275" spans="1:19" ht="15.45" x14ac:dyDescent="0.4">
      <c r="A275" s="8" t="s">
        <v>32</v>
      </c>
      <c r="B275" s="8" t="s">
        <v>1088</v>
      </c>
      <c r="C275" s="8" t="s">
        <v>33</v>
      </c>
      <c r="D275" s="8" t="s">
        <v>1029</v>
      </c>
      <c r="E275" s="8" t="s">
        <v>34</v>
      </c>
      <c r="F275" s="8" t="s">
        <v>1520</v>
      </c>
      <c r="G275" s="8" t="s">
        <v>1520</v>
      </c>
      <c r="H275" s="23" t="str">
        <f t="shared" si="0"/>
        <v>Yes</v>
      </c>
      <c r="I275" s="7" t="str">
        <f t="shared" si="1"/>
        <v>TN</v>
      </c>
      <c r="J275" s="48"/>
      <c r="K275" s="48"/>
      <c r="L275" s="48"/>
      <c r="M275" s="48"/>
      <c r="N275" s="48"/>
      <c r="O275" s="48"/>
      <c r="P275" s="48"/>
      <c r="Q275" s="7"/>
      <c r="R275" s="7"/>
      <c r="S275" s="7"/>
    </row>
    <row r="276" spans="1:19" ht="15.45" x14ac:dyDescent="0.4">
      <c r="A276" s="8" t="s">
        <v>32</v>
      </c>
      <c r="B276" s="8" t="s">
        <v>1116</v>
      </c>
      <c r="C276" s="8" t="s">
        <v>33</v>
      </c>
      <c r="D276" s="8" t="s">
        <v>1080</v>
      </c>
      <c r="E276" s="8" t="s">
        <v>34</v>
      </c>
      <c r="F276" s="8" t="s">
        <v>1520</v>
      </c>
      <c r="G276" s="8" t="s">
        <v>1520</v>
      </c>
      <c r="H276" s="23" t="str">
        <f t="shared" si="0"/>
        <v>Yes</v>
      </c>
      <c r="I276" s="7" t="str">
        <f t="shared" si="1"/>
        <v>TN</v>
      </c>
      <c r="J276" s="48"/>
      <c r="K276" s="48"/>
      <c r="L276" s="48"/>
      <c r="M276" s="48"/>
      <c r="N276" s="48"/>
      <c r="O276" s="48"/>
      <c r="P276" s="48"/>
      <c r="Q276" s="7"/>
      <c r="R276" s="7"/>
      <c r="S276" s="7"/>
    </row>
    <row r="277" spans="1:19" ht="15.45" x14ac:dyDescent="0.4">
      <c r="A277" s="8" t="s">
        <v>41</v>
      </c>
      <c r="B277" s="8" t="s">
        <v>50</v>
      </c>
      <c r="C277" s="8" t="s">
        <v>42</v>
      </c>
      <c r="D277" s="8" t="s">
        <v>40</v>
      </c>
      <c r="E277" s="8" t="s">
        <v>34</v>
      </c>
      <c r="F277" s="8" t="s">
        <v>1520</v>
      </c>
      <c r="G277" s="8" t="s">
        <v>1520</v>
      </c>
      <c r="H277" s="23" t="str">
        <f t="shared" si="0"/>
        <v>Yes</v>
      </c>
      <c r="I277" s="7" t="str">
        <f t="shared" si="1"/>
        <v>TN</v>
      </c>
      <c r="J277" s="48"/>
      <c r="K277" s="48"/>
      <c r="L277" s="48"/>
      <c r="M277" s="48"/>
      <c r="N277" s="48"/>
      <c r="O277" s="48"/>
      <c r="P277" s="48"/>
      <c r="Q277" s="7"/>
      <c r="R277" s="7"/>
      <c r="S277" s="7"/>
    </row>
    <row r="278" spans="1:19" ht="15.45" x14ac:dyDescent="0.4">
      <c r="A278" s="8" t="s">
        <v>41</v>
      </c>
      <c r="B278" s="8" t="s">
        <v>106</v>
      </c>
      <c r="C278" s="8" t="s">
        <v>42</v>
      </c>
      <c r="D278" s="8" t="s">
        <v>82</v>
      </c>
      <c r="E278" s="8" t="s">
        <v>34</v>
      </c>
      <c r="F278" s="8" t="s">
        <v>1520</v>
      </c>
      <c r="G278" s="8" t="s">
        <v>1520</v>
      </c>
      <c r="H278" s="23" t="str">
        <f t="shared" si="0"/>
        <v>Yes</v>
      </c>
      <c r="I278" s="7" t="str">
        <f t="shared" si="1"/>
        <v>TN</v>
      </c>
      <c r="J278" s="48"/>
      <c r="K278" s="48"/>
      <c r="L278" s="48"/>
      <c r="M278" s="48"/>
      <c r="N278" s="48"/>
      <c r="O278" s="48"/>
      <c r="P278" s="48"/>
      <c r="Q278" s="7"/>
      <c r="R278" s="7"/>
      <c r="S278" s="7"/>
    </row>
    <row r="279" spans="1:19" ht="15.45" x14ac:dyDescent="0.4">
      <c r="A279" s="8" t="s">
        <v>41</v>
      </c>
      <c r="B279" s="8" t="s">
        <v>1050</v>
      </c>
      <c r="C279" s="8" t="s">
        <v>42</v>
      </c>
      <c r="D279" s="8" t="s">
        <v>1051</v>
      </c>
      <c r="E279" s="8" t="s">
        <v>34</v>
      </c>
      <c r="F279" s="8" t="s">
        <v>1520</v>
      </c>
      <c r="G279" s="8" t="s">
        <v>1520</v>
      </c>
      <c r="H279" s="23" t="str">
        <f t="shared" si="0"/>
        <v>Yes</v>
      </c>
      <c r="I279" s="7" t="str">
        <f t="shared" si="1"/>
        <v>TN</v>
      </c>
      <c r="J279" s="48"/>
      <c r="K279" s="48"/>
      <c r="L279" s="48"/>
      <c r="M279" s="48"/>
      <c r="N279" s="48"/>
      <c r="O279" s="48"/>
      <c r="P279" s="48"/>
      <c r="Q279" s="7"/>
      <c r="R279" s="7"/>
      <c r="S279" s="7"/>
    </row>
    <row r="280" spans="1:19" ht="15.45" x14ac:dyDescent="0.4">
      <c r="A280" s="8" t="s">
        <v>41</v>
      </c>
      <c r="B280" s="8" t="s">
        <v>1088</v>
      </c>
      <c r="C280" s="8" t="s">
        <v>42</v>
      </c>
      <c r="D280" s="8" t="s">
        <v>1029</v>
      </c>
      <c r="E280" s="8" t="s">
        <v>34</v>
      </c>
      <c r="F280" s="8" t="s">
        <v>1520</v>
      </c>
      <c r="G280" s="8" t="s">
        <v>1520</v>
      </c>
      <c r="H280" s="23" t="str">
        <f t="shared" si="0"/>
        <v>Yes</v>
      </c>
      <c r="I280" s="7" t="str">
        <f t="shared" si="1"/>
        <v>TN</v>
      </c>
      <c r="J280" s="48"/>
      <c r="K280" s="48"/>
      <c r="L280" s="48"/>
      <c r="M280" s="48"/>
      <c r="N280" s="48"/>
      <c r="O280" s="48"/>
      <c r="P280" s="48"/>
      <c r="Q280" s="7"/>
      <c r="R280" s="7"/>
      <c r="S280" s="7"/>
    </row>
    <row r="281" spans="1:19" ht="15.45" x14ac:dyDescent="0.4">
      <c r="A281" s="8" t="s">
        <v>41</v>
      </c>
      <c r="B281" s="8" t="s">
        <v>1116</v>
      </c>
      <c r="C281" s="8" t="s">
        <v>42</v>
      </c>
      <c r="D281" s="8" t="s">
        <v>1080</v>
      </c>
      <c r="E281" s="8" t="s">
        <v>34</v>
      </c>
      <c r="F281" s="8" t="s">
        <v>1520</v>
      </c>
      <c r="G281" s="8" t="s">
        <v>1520</v>
      </c>
      <c r="H281" s="23" t="str">
        <f t="shared" si="0"/>
        <v>Yes</v>
      </c>
      <c r="I281" s="7" t="str">
        <f t="shared" si="1"/>
        <v>TN</v>
      </c>
      <c r="J281" s="48"/>
      <c r="K281" s="48"/>
      <c r="L281" s="48"/>
      <c r="M281" s="48"/>
      <c r="N281" s="48"/>
      <c r="O281" s="48"/>
      <c r="P281" s="48"/>
      <c r="Q281" s="7"/>
      <c r="R281" s="7"/>
      <c r="S281" s="7"/>
    </row>
    <row r="282" spans="1:19" ht="15.45" x14ac:dyDescent="0.4">
      <c r="A282" s="8" t="s">
        <v>50</v>
      </c>
      <c r="B282" s="8" t="s">
        <v>106</v>
      </c>
      <c r="C282" s="8" t="s">
        <v>40</v>
      </c>
      <c r="D282" s="8" t="s">
        <v>82</v>
      </c>
      <c r="E282" s="8" t="s">
        <v>34</v>
      </c>
      <c r="F282" s="8" t="s">
        <v>1520</v>
      </c>
      <c r="G282" s="8" t="s">
        <v>1520</v>
      </c>
      <c r="H282" s="23" t="str">
        <f t="shared" si="0"/>
        <v>Yes</v>
      </c>
      <c r="I282" s="7" t="str">
        <f t="shared" si="1"/>
        <v>TN</v>
      </c>
      <c r="J282" s="48"/>
      <c r="K282" s="48"/>
      <c r="L282" s="48"/>
      <c r="M282" s="48"/>
      <c r="N282" s="48"/>
      <c r="O282" s="48"/>
      <c r="P282" s="48"/>
      <c r="Q282" s="7"/>
      <c r="R282" s="7"/>
      <c r="S282" s="7"/>
    </row>
    <row r="283" spans="1:19" ht="15.45" x14ac:dyDescent="0.4">
      <c r="A283" s="8" t="s">
        <v>50</v>
      </c>
      <c r="B283" s="8" t="s">
        <v>1050</v>
      </c>
      <c r="C283" s="8" t="s">
        <v>40</v>
      </c>
      <c r="D283" s="8" t="s">
        <v>1051</v>
      </c>
      <c r="E283" s="8" t="s">
        <v>34</v>
      </c>
      <c r="F283" s="8" t="s">
        <v>1520</v>
      </c>
      <c r="G283" s="8" t="s">
        <v>1520</v>
      </c>
      <c r="H283" s="23" t="str">
        <f t="shared" si="0"/>
        <v>Yes</v>
      </c>
      <c r="I283" s="7" t="str">
        <f t="shared" si="1"/>
        <v>TN</v>
      </c>
      <c r="J283" s="48"/>
      <c r="K283" s="48"/>
      <c r="L283" s="48"/>
      <c r="M283" s="48"/>
      <c r="N283" s="48"/>
      <c r="O283" s="48"/>
      <c r="P283" s="48"/>
      <c r="Q283" s="7"/>
      <c r="R283" s="7"/>
      <c r="S283" s="7"/>
    </row>
    <row r="284" spans="1:19" ht="15.45" x14ac:dyDescent="0.4">
      <c r="A284" s="8" t="s">
        <v>50</v>
      </c>
      <c r="B284" s="8" t="s">
        <v>1088</v>
      </c>
      <c r="C284" s="8" t="s">
        <v>40</v>
      </c>
      <c r="D284" s="8" t="s">
        <v>1029</v>
      </c>
      <c r="E284" s="8" t="s">
        <v>34</v>
      </c>
      <c r="F284" s="8" t="s">
        <v>1520</v>
      </c>
      <c r="G284" s="8" t="s">
        <v>1520</v>
      </c>
      <c r="H284" s="23" t="str">
        <f t="shared" si="0"/>
        <v>Yes</v>
      </c>
      <c r="I284" s="7" t="str">
        <f t="shared" si="1"/>
        <v>TN</v>
      </c>
      <c r="J284" s="48"/>
      <c r="K284" s="48"/>
      <c r="L284" s="48"/>
      <c r="M284" s="48"/>
      <c r="N284" s="48"/>
      <c r="O284" s="48"/>
      <c r="P284" s="48"/>
      <c r="Q284" s="7"/>
      <c r="R284" s="7"/>
      <c r="S284" s="7"/>
    </row>
    <row r="285" spans="1:19" ht="15.45" x14ac:dyDescent="0.4">
      <c r="A285" s="8" t="s">
        <v>50</v>
      </c>
      <c r="B285" s="8" t="s">
        <v>1116</v>
      </c>
      <c r="C285" s="8" t="s">
        <v>40</v>
      </c>
      <c r="D285" s="8" t="s">
        <v>1080</v>
      </c>
      <c r="E285" s="8" t="s">
        <v>34</v>
      </c>
      <c r="F285" s="8" t="s">
        <v>1520</v>
      </c>
      <c r="G285" s="8" t="s">
        <v>1520</v>
      </c>
      <c r="H285" s="23" t="str">
        <f t="shared" si="0"/>
        <v>Yes</v>
      </c>
      <c r="I285" s="7" t="str">
        <f t="shared" si="1"/>
        <v>TN</v>
      </c>
      <c r="J285" s="48"/>
      <c r="K285" s="48"/>
      <c r="L285" s="48"/>
      <c r="M285" s="48"/>
      <c r="N285" s="48"/>
      <c r="O285" s="48"/>
      <c r="P285" s="48"/>
      <c r="Q285" s="7"/>
      <c r="R285" s="7"/>
      <c r="S285" s="7"/>
    </row>
    <row r="286" spans="1:19" ht="15.45" x14ac:dyDescent="0.4">
      <c r="A286" s="8" t="s">
        <v>106</v>
      </c>
      <c r="B286" s="8" t="s">
        <v>1050</v>
      </c>
      <c r="C286" s="8" t="s">
        <v>82</v>
      </c>
      <c r="D286" s="8" t="s">
        <v>1051</v>
      </c>
      <c r="E286" s="8" t="s">
        <v>34</v>
      </c>
      <c r="F286" s="8" t="s">
        <v>1520</v>
      </c>
      <c r="G286" s="8" t="s">
        <v>1520</v>
      </c>
      <c r="H286" s="23" t="str">
        <f t="shared" si="0"/>
        <v>Yes</v>
      </c>
      <c r="I286" s="7" t="str">
        <f t="shared" si="1"/>
        <v>TN</v>
      </c>
      <c r="J286" s="48"/>
      <c r="K286" s="48"/>
      <c r="L286" s="48"/>
      <c r="M286" s="48"/>
      <c r="N286" s="48"/>
      <c r="O286" s="48"/>
      <c r="P286" s="48"/>
      <c r="Q286" s="7"/>
      <c r="R286" s="7"/>
      <c r="S286" s="7"/>
    </row>
    <row r="287" spans="1:19" ht="15.45" x14ac:dyDescent="0.4">
      <c r="A287" s="8" t="s">
        <v>106</v>
      </c>
      <c r="B287" s="8" t="s">
        <v>1088</v>
      </c>
      <c r="C287" s="8" t="s">
        <v>82</v>
      </c>
      <c r="D287" s="8" t="s">
        <v>1029</v>
      </c>
      <c r="E287" s="8" t="s">
        <v>34</v>
      </c>
      <c r="F287" s="8" t="s">
        <v>1520</v>
      </c>
      <c r="G287" s="8" t="s">
        <v>1520</v>
      </c>
      <c r="H287" s="23" t="str">
        <f t="shared" si="0"/>
        <v>Yes</v>
      </c>
      <c r="I287" s="7" t="str">
        <f t="shared" si="1"/>
        <v>TN</v>
      </c>
      <c r="J287" s="48"/>
      <c r="K287" s="48"/>
      <c r="L287" s="48"/>
      <c r="M287" s="48"/>
      <c r="N287" s="48"/>
      <c r="O287" s="48"/>
      <c r="P287" s="48"/>
      <c r="Q287" s="7"/>
      <c r="R287" s="7"/>
      <c r="S287" s="7"/>
    </row>
    <row r="288" spans="1:19" ht="15.45" x14ac:dyDescent="0.4">
      <c r="A288" s="8" t="s">
        <v>106</v>
      </c>
      <c r="B288" s="8" t="s">
        <v>1116</v>
      </c>
      <c r="C288" s="8" t="s">
        <v>82</v>
      </c>
      <c r="D288" s="8" t="s">
        <v>1080</v>
      </c>
      <c r="E288" s="8" t="s">
        <v>34</v>
      </c>
      <c r="F288" s="8" t="s">
        <v>1520</v>
      </c>
      <c r="G288" s="8" t="s">
        <v>1520</v>
      </c>
      <c r="H288" s="23" t="str">
        <f t="shared" si="0"/>
        <v>Yes</v>
      </c>
      <c r="I288" s="7" t="str">
        <f t="shared" si="1"/>
        <v>TN</v>
      </c>
      <c r="J288" s="48"/>
      <c r="K288" s="48"/>
      <c r="L288" s="48"/>
      <c r="M288" s="48"/>
      <c r="N288" s="48"/>
      <c r="O288" s="48"/>
      <c r="P288" s="48"/>
      <c r="Q288" s="7"/>
      <c r="R288" s="7"/>
      <c r="S288" s="7"/>
    </row>
    <row r="289" spans="1:19" ht="15.45" x14ac:dyDescent="0.4">
      <c r="A289" s="8" t="s">
        <v>1030</v>
      </c>
      <c r="B289" s="8" t="s">
        <v>1056</v>
      </c>
      <c r="C289" s="8" t="s">
        <v>1031</v>
      </c>
      <c r="D289" s="8" t="s">
        <v>1054</v>
      </c>
      <c r="E289" s="8" t="s">
        <v>9</v>
      </c>
      <c r="F289" s="8" t="s">
        <v>1522</v>
      </c>
      <c r="G289" s="8" t="s">
        <v>1522</v>
      </c>
      <c r="H289" s="23" t="str">
        <f t="shared" si="0"/>
        <v>Yes</v>
      </c>
      <c r="I289" s="7" t="str">
        <f t="shared" si="1"/>
        <v>TP</v>
      </c>
      <c r="J289" s="48"/>
      <c r="K289" s="48"/>
      <c r="L289" s="48"/>
      <c r="M289" s="48"/>
      <c r="N289" s="48"/>
      <c r="O289" s="48"/>
      <c r="P289" s="48"/>
      <c r="Q289" s="7"/>
      <c r="R289" s="7"/>
      <c r="S289" s="7"/>
    </row>
    <row r="290" spans="1:19" ht="15.45" x14ac:dyDescent="0.4">
      <c r="A290" s="8" t="s">
        <v>7</v>
      </c>
      <c r="B290" s="8" t="s">
        <v>61</v>
      </c>
      <c r="C290" s="8" t="s">
        <v>8</v>
      </c>
      <c r="D290" s="8" t="s">
        <v>62</v>
      </c>
      <c r="E290" s="8" t="s">
        <v>9</v>
      </c>
      <c r="F290" s="8" t="s">
        <v>1520</v>
      </c>
      <c r="G290" s="8" t="s">
        <v>1520</v>
      </c>
      <c r="H290" s="23" t="str">
        <f t="shared" si="0"/>
        <v>Yes</v>
      </c>
      <c r="I290" s="7" t="str">
        <f t="shared" si="1"/>
        <v>TN</v>
      </c>
      <c r="J290" s="48"/>
      <c r="K290" s="48"/>
      <c r="L290" s="48"/>
      <c r="M290" s="48"/>
      <c r="N290" s="48"/>
      <c r="O290" s="48"/>
      <c r="P290" s="48"/>
      <c r="Q290" s="7"/>
      <c r="R290" s="7"/>
      <c r="S290" s="7"/>
    </row>
    <row r="291" spans="1:19" ht="15.45" x14ac:dyDescent="0.4">
      <c r="A291" s="8" t="s">
        <v>7</v>
      </c>
      <c r="B291" s="8" t="s">
        <v>83</v>
      </c>
      <c r="C291" s="8" t="s">
        <v>8</v>
      </c>
      <c r="D291" s="8" t="s">
        <v>84</v>
      </c>
      <c r="E291" s="8" t="s">
        <v>9</v>
      </c>
      <c r="F291" s="8" t="s">
        <v>1520</v>
      </c>
      <c r="G291" s="8" t="s">
        <v>1520</v>
      </c>
      <c r="H291" s="23" t="str">
        <f t="shared" si="0"/>
        <v>Yes</v>
      </c>
      <c r="I291" s="7" t="str">
        <f t="shared" si="1"/>
        <v>TN</v>
      </c>
      <c r="J291" s="48"/>
      <c r="K291" s="48"/>
      <c r="L291" s="48"/>
      <c r="M291" s="48"/>
      <c r="N291" s="48"/>
      <c r="O291" s="48"/>
      <c r="P291" s="48"/>
      <c r="Q291" s="7"/>
      <c r="R291" s="7"/>
      <c r="S291" s="7"/>
    </row>
    <row r="292" spans="1:19" ht="15.45" x14ac:dyDescent="0.4">
      <c r="A292" s="8" t="s">
        <v>7</v>
      </c>
      <c r="B292" s="8" t="s">
        <v>127</v>
      </c>
      <c r="C292" s="8" t="s">
        <v>8</v>
      </c>
      <c r="D292" s="8" t="s">
        <v>128</v>
      </c>
      <c r="E292" s="8" t="s">
        <v>9</v>
      </c>
      <c r="F292" s="8" t="s">
        <v>1520</v>
      </c>
      <c r="G292" s="8" t="s">
        <v>1520</v>
      </c>
      <c r="H292" s="23" t="str">
        <f t="shared" si="0"/>
        <v>Yes</v>
      </c>
      <c r="I292" s="7" t="str">
        <f t="shared" si="1"/>
        <v>TN</v>
      </c>
      <c r="J292" s="48"/>
      <c r="K292" s="48"/>
      <c r="L292" s="48"/>
      <c r="M292" s="48"/>
      <c r="N292" s="48"/>
      <c r="O292" s="48"/>
      <c r="P292" s="48"/>
      <c r="Q292" s="7"/>
      <c r="R292" s="7"/>
      <c r="S292" s="7"/>
    </row>
    <row r="293" spans="1:19" ht="15.45" x14ac:dyDescent="0.4">
      <c r="A293" s="8" t="s">
        <v>7</v>
      </c>
      <c r="B293" s="8" t="s">
        <v>1030</v>
      </c>
      <c r="C293" s="8" t="s">
        <v>8</v>
      </c>
      <c r="D293" s="8" t="s">
        <v>1031</v>
      </c>
      <c r="E293" s="8" t="s">
        <v>9</v>
      </c>
      <c r="F293" s="8" t="s">
        <v>1520</v>
      </c>
      <c r="G293" s="8" t="s">
        <v>1520</v>
      </c>
      <c r="H293" s="23" t="str">
        <f t="shared" si="0"/>
        <v>Yes</v>
      </c>
      <c r="I293" s="7" t="str">
        <f t="shared" si="1"/>
        <v>TN</v>
      </c>
      <c r="J293" s="48"/>
      <c r="K293" s="48"/>
      <c r="L293" s="48"/>
      <c r="M293" s="48"/>
      <c r="N293" s="48"/>
      <c r="O293" s="48"/>
      <c r="P293" s="48"/>
      <c r="Q293" s="7"/>
      <c r="R293" s="7"/>
      <c r="S293" s="7"/>
    </row>
    <row r="294" spans="1:19" ht="15.45" x14ac:dyDescent="0.4">
      <c r="A294" s="8" t="s">
        <v>7</v>
      </c>
      <c r="B294" s="8" t="s">
        <v>1037</v>
      </c>
      <c r="C294" s="8" t="s">
        <v>8</v>
      </c>
      <c r="D294" s="8" t="s">
        <v>1038</v>
      </c>
      <c r="E294" s="8" t="s">
        <v>9</v>
      </c>
      <c r="F294" s="8" t="s">
        <v>1520</v>
      </c>
      <c r="G294" s="8" t="s">
        <v>1520</v>
      </c>
      <c r="H294" s="23" t="str">
        <f t="shared" si="0"/>
        <v>Yes</v>
      </c>
      <c r="I294" s="7" t="str">
        <f t="shared" si="1"/>
        <v>TN</v>
      </c>
      <c r="J294" s="48"/>
      <c r="K294" s="48"/>
      <c r="L294" s="48"/>
      <c r="M294" s="48"/>
      <c r="N294" s="48"/>
      <c r="O294" s="48"/>
      <c r="P294" s="48"/>
      <c r="Q294" s="7"/>
      <c r="R294" s="7"/>
      <c r="S294" s="7"/>
    </row>
    <row r="295" spans="1:19" ht="15.45" x14ac:dyDescent="0.4">
      <c r="A295" s="8" t="s">
        <v>7</v>
      </c>
      <c r="B295" s="8" t="s">
        <v>1042</v>
      </c>
      <c r="C295" s="8" t="s">
        <v>8</v>
      </c>
      <c r="D295" s="8" t="s">
        <v>1038</v>
      </c>
      <c r="E295" s="8" t="s">
        <v>9</v>
      </c>
      <c r="F295" s="8" t="s">
        <v>1520</v>
      </c>
      <c r="G295" s="8" t="s">
        <v>1520</v>
      </c>
      <c r="H295" s="23" t="str">
        <f t="shared" si="0"/>
        <v>Yes</v>
      </c>
      <c r="I295" s="7" t="str">
        <f t="shared" si="1"/>
        <v>TN</v>
      </c>
      <c r="J295" s="48"/>
      <c r="K295" s="48"/>
      <c r="L295" s="48"/>
      <c r="M295" s="48"/>
      <c r="N295" s="48"/>
      <c r="O295" s="48"/>
      <c r="P295" s="48"/>
      <c r="Q295" s="7"/>
      <c r="R295" s="7"/>
      <c r="S295" s="7"/>
    </row>
    <row r="296" spans="1:19" ht="15.45" x14ac:dyDescent="0.4">
      <c r="A296" s="8" t="s">
        <v>7</v>
      </c>
      <c r="B296" s="8" t="s">
        <v>1056</v>
      </c>
      <c r="C296" s="8" t="s">
        <v>8</v>
      </c>
      <c r="D296" s="8" t="s">
        <v>1054</v>
      </c>
      <c r="E296" s="8" t="s">
        <v>9</v>
      </c>
      <c r="F296" s="8" t="s">
        <v>1520</v>
      </c>
      <c r="G296" s="8" t="s">
        <v>1520</v>
      </c>
      <c r="H296" s="23" t="str">
        <f t="shared" si="0"/>
        <v>Yes</v>
      </c>
      <c r="I296" s="7" t="str">
        <f t="shared" si="1"/>
        <v>TN</v>
      </c>
      <c r="J296" s="48"/>
      <c r="K296" s="48"/>
      <c r="L296" s="48"/>
      <c r="M296" s="48"/>
      <c r="N296" s="48"/>
      <c r="O296" s="48"/>
      <c r="P296" s="48"/>
      <c r="Q296" s="7"/>
      <c r="R296" s="7"/>
      <c r="S296" s="7"/>
    </row>
    <row r="297" spans="1:19" ht="15.45" x14ac:dyDescent="0.4">
      <c r="A297" s="8" t="s">
        <v>61</v>
      </c>
      <c r="B297" s="8" t="s">
        <v>83</v>
      </c>
      <c r="C297" s="8" t="s">
        <v>62</v>
      </c>
      <c r="D297" s="8" t="s">
        <v>84</v>
      </c>
      <c r="E297" s="8" t="s">
        <v>9</v>
      </c>
      <c r="F297" s="8" t="s">
        <v>1520</v>
      </c>
      <c r="G297" s="8" t="s">
        <v>1520</v>
      </c>
      <c r="H297" s="23" t="str">
        <f t="shared" si="0"/>
        <v>Yes</v>
      </c>
      <c r="I297" s="7" t="str">
        <f t="shared" si="1"/>
        <v>TN</v>
      </c>
      <c r="J297" s="48"/>
      <c r="K297" s="48"/>
      <c r="L297" s="48"/>
      <c r="M297" s="48"/>
      <c r="N297" s="48"/>
      <c r="O297" s="48"/>
      <c r="P297" s="48"/>
      <c r="Q297" s="7"/>
      <c r="R297" s="7"/>
      <c r="S297" s="7"/>
    </row>
    <row r="298" spans="1:19" ht="15.45" x14ac:dyDescent="0.4">
      <c r="A298" s="8" t="s">
        <v>61</v>
      </c>
      <c r="B298" s="8" t="s">
        <v>127</v>
      </c>
      <c r="C298" s="8" t="s">
        <v>62</v>
      </c>
      <c r="D298" s="8" t="s">
        <v>128</v>
      </c>
      <c r="E298" s="8" t="s">
        <v>9</v>
      </c>
      <c r="F298" s="8" t="s">
        <v>1520</v>
      </c>
      <c r="G298" s="8" t="s">
        <v>1520</v>
      </c>
      <c r="H298" s="23" t="str">
        <f t="shared" si="0"/>
        <v>Yes</v>
      </c>
      <c r="I298" s="7" t="str">
        <f t="shared" si="1"/>
        <v>TN</v>
      </c>
      <c r="J298" s="48"/>
      <c r="K298" s="48"/>
      <c r="L298" s="48"/>
      <c r="M298" s="48"/>
      <c r="N298" s="48"/>
      <c r="O298" s="48"/>
      <c r="P298" s="48"/>
      <c r="Q298" s="7"/>
      <c r="R298" s="7"/>
      <c r="S298" s="7"/>
    </row>
    <row r="299" spans="1:19" ht="15.45" x14ac:dyDescent="0.4">
      <c r="A299" s="8" t="s">
        <v>61</v>
      </c>
      <c r="B299" s="8" t="s">
        <v>1030</v>
      </c>
      <c r="C299" s="8" t="s">
        <v>62</v>
      </c>
      <c r="D299" s="8" t="s">
        <v>1031</v>
      </c>
      <c r="E299" s="8" t="s">
        <v>9</v>
      </c>
      <c r="F299" s="8" t="s">
        <v>1520</v>
      </c>
      <c r="G299" s="8" t="s">
        <v>1520</v>
      </c>
      <c r="H299" s="23" t="str">
        <f t="shared" si="0"/>
        <v>Yes</v>
      </c>
      <c r="I299" s="7" t="str">
        <f t="shared" si="1"/>
        <v>TN</v>
      </c>
      <c r="J299" s="48"/>
      <c r="K299" s="48"/>
      <c r="L299" s="48"/>
      <c r="M299" s="48"/>
      <c r="N299" s="48"/>
      <c r="O299" s="48"/>
      <c r="P299" s="48"/>
      <c r="Q299" s="7"/>
      <c r="R299" s="7"/>
      <c r="S299" s="7"/>
    </row>
    <row r="300" spans="1:19" ht="15.45" x14ac:dyDescent="0.4">
      <c r="A300" s="8" t="s">
        <v>61</v>
      </c>
      <c r="B300" s="8" t="s">
        <v>1037</v>
      </c>
      <c r="C300" s="8" t="s">
        <v>62</v>
      </c>
      <c r="D300" s="8" t="s">
        <v>1038</v>
      </c>
      <c r="E300" s="8" t="s">
        <v>9</v>
      </c>
      <c r="F300" s="8" t="s">
        <v>1520</v>
      </c>
      <c r="G300" s="8" t="s">
        <v>1520</v>
      </c>
      <c r="H300" s="23" t="str">
        <f t="shared" si="0"/>
        <v>Yes</v>
      </c>
      <c r="I300" s="7" t="str">
        <f t="shared" si="1"/>
        <v>TN</v>
      </c>
      <c r="J300" s="48"/>
      <c r="K300" s="48"/>
      <c r="L300" s="48"/>
      <c r="M300" s="48"/>
      <c r="N300" s="48"/>
      <c r="O300" s="48"/>
      <c r="P300" s="48"/>
      <c r="Q300" s="7"/>
      <c r="R300" s="7"/>
      <c r="S300" s="7"/>
    </row>
    <row r="301" spans="1:19" ht="15.45" x14ac:dyDescent="0.4">
      <c r="A301" s="8" t="s">
        <v>61</v>
      </c>
      <c r="B301" s="8" t="s">
        <v>1042</v>
      </c>
      <c r="C301" s="8" t="s">
        <v>62</v>
      </c>
      <c r="D301" s="8" t="s">
        <v>1038</v>
      </c>
      <c r="E301" s="8" t="s">
        <v>9</v>
      </c>
      <c r="F301" s="8" t="s">
        <v>1520</v>
      </c>
      <c r="G301" s="8" t="s">
        <v>1520</v>
      </c>
      <c r="H301" s="23" t="str">
        <f t="shared" si="0"/>
        <v>Yes</v>
      </c>
      <c r="I301" s="7" t="str">
        <f t="shared" si="1"/>
        <v>TN</v>
      </c>
      <c r="J301" s="48"/>
      <c r="K301" s="48"/>
      <c r="L301" s="48"/>
      <c r="M301" s="48"/>
      <c r="N301" s="48"/>
      <c r="O301" s="48"/>
      <c r="P301" s="48"/>
      <c r="Q301" s="7"/>
      <c r="R301" s="7"/>
      <c r="S301" s="7"/>
    </row>
    <row r="302" spans="1:19" ht="15.45" x14ac:dyDescent="0.4">
      <c r="A302" s="8" t="s">
        <v>61</v>
      </c>
      <c r="B302" s="8" t="s">
        <v>1056</v>
      </c>
      <c r="C302" s="8" t="s">
        <v>62</v>
      </c>
      <c r="D302" s="8" t="s">
        <v>1054</v>
      </c>
      <c r="E302" s="8" t="s">
        <v>9</v>
      </c>
      <c r="F302" s="8" t="s">
        <v>1520</v>
      </c>
      <c r="G302" s="8" t="s">
        <v>1520</v>
      </c>
      <c r="H302" s="23" t="str">
        <f t="shared" si="0"/>
        <v>Yes</v>
      </c>
      <c r="I302" s="7" t="str">
        <f t="shared" si="1"/>
        <v>TN</v>
      </c>
      <c r="J302" s="48"/>
      <c r="K302" s="48"/>
      <c r="L302" s="48"/>
      <c r="M302" s="48"/>
      <c r="N302" s="48"/>
      <c r="O302" s="48"/>
      <c r="P302" s="48"/>
      <c r="Q302" s="7"/>
      <c r="R302" s="7"/>
      <c r="S302" s="7"/>
    </row>
    <row r="303" spans="1:19" ht="15.45" x14ac:dyDescent="0.4">
      <c r="A303" s="8" t="s">
        <v>83</v>
      </c>
      <c r="B303" s="8" t="s">
        <v>127</v>
      </c>
      <c r="C303" s="8" t="s">
        <v>84</v>
      </c>
      <c r="D303" s="8" t="s">
        <v>128</v>
      </c>
      <c r="E303" s="8" t="s">
        <v>9</v>
      </c>
      <c r="F303" s="8" t="s">
        <v>1520</v>
      </c>
      <c r="G303" s="8" t="s">
        <v>1520</v>
      </c>
      <c r="H303" s="23" t="str">
        <f t="shared" si="0"/>
        <v>Yes</v>
      </c>
      <c r="I303" s="7" t="str">
        <f t="shared" si="1"/>
        <v>TN</v>
      </c>
      <c r="J303" s="48"/>
      <c r="K303" s="48"/>
      <c r="L303" s="48"/>
      <c r="M303" s="48"/>
      <c r="N303" s="48"/>
      <c r="O303" s="48"/>
      <c r="P303" s="48"/>
      <c r="Q303" s="7"/>
      <c r="R303" s="7"/>
      <c r="S303" s="7"/>
    </row>
    <row r="304" spans="1:19" ht="15.45" x14ac:dyDescent="0.4">
      <c r="A304" s="8" t="s">
        <v>83</v>
      </c>
      <c r="B304" s="8" t="s">
        <v>1030</v>
      </c>
      <c r="C304" s="8" t="s">
        <v>84</v>
      </c>
      <c r="D304" s="8" t="s">
        <v>1031</v>
      </c>
      <c r="E304" s="8" t="s">
        <v>9</v>
      </c>
      <c r="F304" s="8" t="s">
        <v>1520</v>
      </c>
      <c r="G304" s="8" t="s">
        <v>1520</v>
      </c>
      <c r="H304" s="23" t="str">
        <f t="shared" si="0"/>
        <v>Yes</v>
      </c>
      <c r="I304" s="7" t="str">
        <f t="shared" si="1"/>
        <v>TN</v>
      </c>
      <c r="J304" s="48"/>
      <c r="K304" s="48"/>
      <c r="L304" s="48"/>
      <c r="M304" s="48"/>
      <c r="N304" s="48"/>
      <c r="O304" s="48"/>
      <c r="P304" s="48"/>
      <c r="Q304" s="7"/>
      <c r="R304" s="7"/>
      <c r="S304" s="7"/>
    </row>
    <row r="305" spans="1:19" ht="15.45" x14ac:dyDescent="0.4">
      <c r="A305" s="8" t="s">
        <v>83</v>
      </c>
      <c r="B305" s="8" t="s">
        <v>1037</v>
      </c>
      <c r="C305" s="8" t="s">
        <v>84</v>
      </c>
      <c r="D305" s="8" t="s">
        <v>1038</v>
      </c>
      <c r="E305" s="8" t="s">
        <v>9</v>
      </c>
      <c r="F305" s="8" t="s">
        <v>1520</v>
      </c>
      <c r="G305" s="8" t="s">
        <v>1520</v>
      </c>
      <c r="H305" s="23" t="str">
        <f t="shared" si="0"/>
        <v>Yes</v>
      </c>
      <c r="I305" s="7" t="str">
        <f t="shared" si="1"/>
        <v>TN</v>
      </c>
      <c r="J305" s="48"/>
      <c r="K305" s="48"/>
      <c r="L305" s="48"/>
      <c r="M305" s="48"/>
      <c r="N305" s="48"/>
      <c r="O305" s="48"/>
      <c r="P305" s="48"/>
      <c r="Q305" s="7"/>
      <c r="R305" s="7"/>
      <c r="S305" s="7"/>
    </row>
    <row r="306" spans="1:19" ht="15.45" x14ac:dyDescent="0.4">
      <c r="A306" s="8" t="s">
        <v>83</v>
      </c>
      <c r="B306" s="8" t="s">
        <v>1042</v>
      </c>
      <c r="C306" s="8" t="s">
        <v>84</v>
      </c>
      <c r="D306" s="8" t="s">
        <v>1038</v>
      </c>
      <c r="E306" s="8" t="s">
        <v>9</v>
      </c>
      <c r="F306" s="8" t="s">
        <v>1520</v>
      </c>
      <c r="G306" s="8" t="s">
        <v>1520</v>
      </c>
      <c r="H306" s="23" t="str">
        <f t="shared" si="0"/>
        <v>Yes</v>
      </c>
      <c r="I306" s="7" t="str">
        <f t="shared" si="1"/>
        <v>TN</v>
      </c>
      <c r="J306" s="48"/>
      <c r="K306" s="48"/>
      <c r="L306" s="48"/>
      <c r="M306" s="48"/>
      <c r="N306" s="48"/>
      <c r="O306" s="48"/>
      <c r="P306" s="48"/>
      <c r="Q306" s="7"/>
      <c r="R306" s="7"/>
      <c r="S306" s="7"/>
    </row>
    <row r="307" spans="1:19" ht="15.45" x14ac:dyDescent="0.4">
      <c r="A307" s="8" t="s">
        <v>83</v>
      </c>
      <c r="B307" s="8" t="s">
        <v>1056</v>
      </c>
      <c r="C307" s="8" t="s">
        <v>84</v>
      </c>
      <c r="D307" s="8" t="s">
        <v>1054</v>
      </c>
      <c r="E307" s="8" t="s">
        <v>9</v>
      </c>
      <c r="F307" s="8" t="s">
        <v>1520</v>
      </c>
      <c r="G307" s="8" t="s">
        <v>1520</v>
      </c>
      <c r="H307" s="23" t="str">
        <f t="shared" si="0"/>
        <v>Yes</v>
      </c>
      <c r="I307" s="7" t="str">
        <f t="shared" si="1"/>
        <v>TN</v>
      </c>
      <c r="J307" s="48"/>
      <c r="K307" s="48"/>
      <c r="L307" s="48"/>
      <c r="M307" s="48"/>
      <c r="N307" s="48"/>
      <c r="O307" s="48"/>
      <c r="P307" s="48"/>
      <c r="Q307" s="7"/>
      <c r="R307" s="7"/>
      <c r="S307" s="7"/>
    </row>
    <row r="308" spans="1:19" ht="15.45" x14ac:dyDescent="0.4">
      <c r="A308" s="8" t="s">
        <v>127</v>
      </c>
      <c r="B308" s="8" t="s">
        <v>1030</v>
      </c>
      <c r="C308" s="8" t="s">
        <v>128</v>
      </c>
      <c r="D308" s="8" t="s">
        <v>1031</v>
      </c>
      <c r="E308" s="8" t="s">
        <v>9</v>
      </c>
      <c r="F308" s="8" t="s">
        <v>1520</v>
      </c>
      <c r="G308" s="8" t="s">
        <v>1520</v>
      </c>
      <c r="H308" s="23" t="str">
        <f t="shared" si="0"/>
        <v>Yes</v>
      </c>
      <c r="I308" s="7" t="str">
        <f t="shared" si="1"/>
        <v>TN</v>
      </c>
      <c r="J308" s="48"/>
      <c r="K308" s="48"/>
      <c r="L308" s="48"/>
      <c r="M308" s="48"/>
      <c r="N308" s="48"/>
      <c r="O308" s="48"/>
      <c r="P308" s="48"/>
      <c r="Q308" s="7"/>
      <c r="R308" s="7"/>
      <c r="S308" s="7"/>
    </row>
    <row r="309" spans="1:19" ht="15.45" x14ac:dyDescent="0.4">
      <c r="A309" s="8" t="s">
        <v>127</v>
      </c>
      <c r="B309" s="8" t="s">
        <v>1037</v>
      </c>
      <c r="C309" s="8" t="s">
        <v>128</v>
      </c>
      <c r="D309" s="8" t="s">
        <v>1038</v>
      </c>
      <c r="E309" s="8" t="s">
        <v>9</v>
      </c>
      <c r="F309" s="8" t="s">
        <v>1520</v>
      </c>
      <c r="G309" s="8" t="s">
        <v>1520</v>
      </c>
      <c r="H309" s="23" t="str">
        <f t="shared" si="0"/>
        <v>Yes</v>
      </c>
      <c r="I309" s="7" t="str">
        <f t="shared" si="1"/>
        <v>TN</v>
      </c>
      <c r="J309" s="48"/>
      <c r="K309" s="48"/>
      <c r="L309" s="48"/>
      <c r="M309" s="48"/>
      <c r="N309" s="48"/>
      <c r="O309" s="48"/>
      <c r="P309" s="48"/>
      <c r="Q309" s="7"/>
      <c r="R309" s="7"/>
      <c r="S309" s="7"/>
    </row>
    <row r="310" spans="1:19" ht="15.45" x14ac:dyDescent="0.4">
      <c r="A310" s="8" t="s">
        <v>127</v>
      </c>
      <c r="B310" s="8" t="s">
        <v>1042</v>
      </c>
      <c r="C310" s="8" t="s">
        <v>128</v>
      </c>
      <c r="D310" s="8" t="s">
        <v>1038</v>
      </c>
      <c r="E310" s="8" t="s">
        <v>9</v>
      </c>
      <c r="F310" s="8" t="s">
        <v>1520</v>
      </c>
      <c r="G310" s="8" t="s">
        <v>1520</v>
      </c>
      <c r="H310" s="23" t="str">
        <f t="shared" si="0"/>
        <v>Yes</v>
      </c>
      <c r="I310" s="7" t="str">
        <f t="shared" si="1"/>
        <v>TN</v>
      </c>
      <c r="J310" s="48"/>
      <c r="K310" s="48"/>
      <c r="L310" s="48"/>
      <c r="M310" s="48"/>
      <c r="N310" s="48"/>
      <c r="O310" s="48"/>
      <c r="P310" s="48"/>
      <c r="Q310" s="7"/>
      <c r="R310" s="7"/>
      <c r="S310" s="7"/>
    </row>
    <row r="311" spans="1:19" ht="15.45" x14ac:dyDescent="0.4">
      <c r="A311" s="8" t="s">
        <v>127</v>
      </c>
      <c r="B311" s="8" t="s">
        <v>1056</v>
      </c>
      <c r="C311" s="8" t="s">
        <v>128</v>
      </c>
      <c r="D311" s="8" t="s">
        <v>1054</v>
      </c>
      <c r="E311" s="8" t="s">
        <v>9</v>
      </c>
      <c r="F311" s="8" t="s">
        <v>1520</v>
      </c>
      <c r="G311" s="8" t="s">
        <v>1520</v>
      </c>
      <c r="H311" s="23" t="str">
        <f t="shared" si="0"/>
        <v>Yes</v>
      </c>
      <c r="I311" s="7" t="str">
        <f t="shared" si="1"/>
        <v>TN</v>
      </c>
      <c r="J311" s="48"/>
      <c r="K311" s="48"/>
      <c r="L311" s="48"/>
      <c r="M311" s="48"/>
      <c r="N311" s="48"/>
      <c r="O311" s="48"/>
      <c r="P311" s="48"/>
      <c r="Q311" s="7"/>
      <c r="R311" s="7"/>
      <c r="S311" s="7"/>
    </row>
    <row r="312" spans="1:19" ht="15.45" x14ac:dyDescent="0.4">
      <c r="A312" s="8" t="s">
        <v>1030</v>
      </c>
      <c r="B312" s="8" t="s">
        <v>1037</v>
      </c>
      <c r="C312" s="8" t="s">
        <v>1031</v>
      </c>
      <c r="D312" s="8" t="s">
        <v>1038</v>
      </c>
      <c r="E312" s="8" t="s">
        <v>9</v>
      </c>
      <c r="F312" s="8" t="s">
        <v>1520</v>
      </c>
      <c r="G312" s="8" t="s">
        <v>1520</v>
      </c>
      <c r="H312" s="23" t="str">
        <f t="shared" si="0"/>
        <v>Yes</v>
      </c>
      <c r="I312" s="7" t="str">
        <f t="shared" si="1"/>
        <v>TN</v>
      </c>
      <c r="J312" s="48"/>
      <c r="K312" s="48"/>
      <c r="L312" s="48"/>
      <c r="M312" s="48"/>
      <c r="N312" s="48"/>
      <c r="O312" s="48"/>
      <c r="P312" s="48"/>
      <c r="Q312" s="7"/>
      <c r="R312" s="7"/>
      <c r="S312" s="7"/>
    </row>
    <row r="313" spans="1:19" ht="15.45" x14ac:dyDescent="0.4">
      <c r="A313" s="8" t="s">
        <v>1030</v>
      </c>
      <c r="B313" s="8" t="s">
        <v>1042</v>
      </c>
      <c r="C313" s="8" t="s">
        <v>1031</v>
      </c>
      <c r="D313" s="8" t="s">
        <v>1038</v>
      </c>
      <c r="E313" s="8" t="s">
        <v>9</v>
      </c>
      <c r="F313" s="8" t="s">
        <v>1520</v>
      </c>
      <c r="G313" s="8" t="s">
        <v>1520</v>
      </c>
      <c r="H313" s="23" t="str">
        <f t="shared" si="0"/>
        <v>Yes</v>
      </c>
      <c r="I313" s="7" t="str">
        <f t="shared" si="1"/>
        <v>TN</v>
      </c>
      <c r="J313" s="48"/>
      <c r="K313" s="48"/>
      <c r="L313" s="48"/>
      <c r="M313" s="48"/>
      <c r="N313" s="48"/>
      <c r="O313" s="48"/>
      <c r="P313" s="48"/>
      <c r="Q313" s="7"/>
      <c r="R313" s="7"/>
      <c r="S313" s="7"/>
    </row>
    <row r="314" spans="1:19" ht="15.45" x14ac:dyDescent="0.4">
      <c r="A314" s="8" t="s">
        <v>1037</v>
      </c>
      <c r="B314" s="8" t="s">
        <v>1042</v>
      </c>
      <c r="C314" s="8" t="s">
        <v>1038</v>
      </c>
      <c r="D314" s="8" t="s">
        <v>1038</v>
      </c>
      <c r="E314" s="8" t="s">
        <v>9</v>
      </c>
      <c r="F314" s="8" t="s">
        <v>1520</v>
      </c>
      <c r="G314" s="8" t="s">
        <v>1520</v>
      </c>
      <c r="H314" s="23" t="str">
        <f t="shared" si="0"/>
        <v>Yes</v>
      </c>
      <c r="I314" s="7" t="str">
        <f t="shared" si="1"/>
        <v>TN</v>
      </c>
      <c r="J314" s="48"/>
      <c r="K314" s="48"/>
      <c r="L314" s="48"/>
      <c r="M314" s="48"/>
      <c r="N314" s="48"/>
      <c r="O314" s="48"/>
      <c r="P314" s="48"/>
      <c r="Q314" s="7"/>
      <c r="R314" s="7"/>
      <c r="S314" s="7"/>
    </row>
    <row r="315" spans="1:19" ht="15.45" x14ac:dyDescent="0.4">
      <c r="A315" s="8" t="s">
        <v>1037</v>
      </c>
      <c r="B315" s="8" t="s">
        <v>1056</v>
      </c>
      <c r="C315" s="8" t="s">
        <v>1038</v>
      </c>
      <c r="D315" s="8" t="s">
        <v>1054</v>
      </c>
      <c r="E315" s="8" t="s">
        <v>9</v>
      </c>
      <c r="F315" s="8" t="s">
        <v>1520</v>
      </c>
      <c r="G315" s="8" t="s">
        <v>1520</v>
      </c>
      <c r="H315" s="23" t="str">
        <f t="shared" si="0"/>
        <v>Yes</v>
      </c>
      <c r="I315" s="7" t="str">
        <f t="shared" si="1"/>
        <v>TN</v>
      </c>
      <c r="J315" s="48"/>
      <c r="K315" s="48"/>
      <c r="L315" s="48"/>
      <c r="M315" s="48"/>
      <c r="N315" s="48"/>
      <c r="O315" s="48"/>
      <c r="P315" s="48"/>
      <c r="Q315" s="7"/>
      <c r="R315" s="7"/>
      <c r="S315" s="7"/>
    </row>
    <row r="316" spans="1:19" ht="15.45" x14ac:dyDescent="0.4">
      <c r="A316" s="8" t="s">
        <v>1042</v>
      </c>
      <c r="B316" s="8" t="s">
        <v>1056</v>
      </c>
      <c r="C316" s="8" t="s">
        <v>1038</v>
      </c>
      <c r="D316" s="8" t="s">
        <v>1054</v>
      </c>
      <c r="E316" s="8" t="s">
        <v>9</v>
      </c>
      <c r="F316" s="8" t="s">
        <v>1520</v>
      </c>
      <c r="G316" s="8" t="s">
        <v>1520</v>
      </c>
      <c r="H316" s="23" t="str">
        <f t="shared" si="0"/>
        <v>Yes</v>
      </c>
      <c r="I316" s="7" t="str">
        <f t="shared" si="1"/>
        <v>TN</v>
      </c>
      <c r="J316" s="48"/>
      <c r="K316" s="48"/>
      <c r="L316" s="48"/>
      <c r="M316" s="48"/>
      <c r="N316" s="48"/>
      <c r="O316" s="48"/>
      <c r="P316" s="48"/>
      <c r="Q316" s="7"/>
      <c r="R316" s="7"/>
      <c r="S316" s="7"/>
    </row>
    <row r="317" spans="1:19" ht="15.45" x14ac:dyDescent="0.4">
      <c r="A317" s="8" t="s">
        <v>1103</v>
      </c>
      <c r="B317" s="8" t="s">
        <v>1111</v>
      </c>
      <c r="C317" s="8" t="s">
        <v>1080</v>
      </c>
      <c r="D317" s="8" t="s">
        <v>1029</v>
      </c>
      <c r="E317" s="8" t="s">
        <v>58</v>
      </c>
      <c r="F317" s="8" t="s">
        <v>1522</v>
      </c>
      <c r="G317" s="8" t="s">
        <v>1522</v>
      </c>
      <c r="H317" s="23" t="str">
        <f t="shared" si="0"/>
        <v>Yes</v>
      </c>
      <c r="I317" s="7" t="str">
        <f t="shared" si="1"/>
        <v>TP</v>
      </c>
      <c r="J317" s="48"/>
      <c r="K317" s="48"/>
      <c r="L317" s="48"/>
      <c r="M317" s="48"/>
      <c r="N317" s="48"/>
      <c r="O317" s="48"/>
      <c r="P317" s="48"/>
      <c r="Q317" s="7"/>
      <c r="R317" s="7"/>
      <c r="S317" s="7"/>
    </row>
    <row r="318" spans="1:19" ht="15.45" x14ac:dyDescent="0.4">
      <c r="A318" s="8" t="s">
        <v>1213</v>
      </c>
      <c r="B318" s="8" t="s">
        <v>1247</v>
      </c>
      <c r="C318" s="8" t="s">
        <v>1156</v>
      </c>
      <c r="D318" s="8" t="s">
        <v>1145</v>
      </c>
      <c r="E318" s="8" t="s">
        <v>58</v>
      </c>
      <c r="F318" s="8" t="s">
        <v>1522</v>
      </c>
      <c r="G318" s="8" t="s">
        <v>1522</v>
      </c>
      <c r="H318" s="23" t="str">
        <f t="shared" si="0"/>
        <v>Yes</v>
      </c>
      <c r="I318" s="7" t="str">
        <f t="shared" si="1"/>
        <v>TP</v>
      </c>
      <c r="J318" s="48"/>
      <c r="K318" s="48"/>
      <c r="L318" s="48"/>
      <c r="M318" s="48"/>
      <c r="N318" s="48"/>
      <c r="O318" s="48"/>
      <c r="P318" s="48"/>
      <c r="Q318" s="7"/>
      <c r="R318" s="7"/>
      <c r="S318" s="7"/>
    </row>
    <row r="319" spans="1:19" ht="15.45" x14ac:dyDescent="0.4">
      <c r="A319" s="8" t="s">
        <v>56</v>
      </c>
      <c r="B319" s="8" t="s">
        <v>111</v>
      </c>
      <c r="C319" s="8" t="s">
        <v>57</v>
      </c>
      <c r="D319" s="8" t="s">
        <v>112</v>
      </c>
      <c r="E319" s="8" t="s">
        <v>58</v>
      </c>
      <c r="F319" s="8" t="s">
        <v>1520</v>
      </c>
      <c r="G319" s="8" t="s">
        <v>1520</v>
      </c>
      <c r="H319" s="23" t="str">
        <f t="shared" si="0"/>
        <v>Yes</v>
      </c>
      <c r="I319" s="7" t="str">
        <f t="shared" si="1"/>
        <v>TN</v>
      </c>
      <c r="J319" s="48"/>
      <c r="K319" s="48"/>
      <c r="L319" s="48"/>
      <c r="M319" s="48"/>
      <c r="N319" s="48"/>
      <c r="O319" s="48"/>
      <c r="P319" s="48"/>
      <c r="Q319" s="7"/>
      <c r="R319" s="7"/>
      <c r="S319" s="7"/>
    </row>
    <row r="320" spans="1:19" ht="15.45" x14ac:dyDescent="0.4">
      <c r="A320" s="8" t="s">
        <v>56</v>
      </c>
      <c r="B320" s="8" t="s">
        <v>159</v>
      </c>
      <c r="C320" s="8" t="s">
        <v>57</v>
      </c>
      <c r="D320" s="8" t="s">
        <v>160</v>
      </c>
      <c r="E320" s="8" t="s">
        <v>58</v>
      </c>
      <c r="F320" s="8" t="s">
        <v>1520</v>
      </c>
      <c r="G320" s="8" t="s">
        <v>1520</v>
      </c>
      <c r="H320" s="23" t="str">
        <f t="shared" si="0"/>
        <v>Yes</v>
      </c>
      <c r="I320" s="7" t="str">
        <f t="shared" si="1"/>
        <v>TN</v>
      </c>
      <c r="J320" s="48"/>
      <c r="K320" s="48"/>
      <c r="L320" s="48"/>
      <c r="M320" s="48"/>
      <c r="N320" s="48"/>
      <c r="O320" s="48"/>
      <c r="P320" s="48"/>
      <c r="Q320" s="7"/>
      <c r="R320" s="7"/>
      <c r="S320" s="7"/>
    </row>
    <row r="321" spans="1:19" ht="15.45" x14ac:dyDescent="0.4">
      <c r="A321" s="8" t="s">
        <v>56</v>
      </c>
      <c r="B321" s="8" t="s">
        <v>199</v>
      </c>
      <c r="C321" s="8" t="s">
        <v>57</v>
      </c>
      <c r="D321" s="8" t="s">
        <v>200</v>
      </c>
      <c r="E321" s="8" t="s">
        <v>58</v>
      </c>
      <c r="F321" s="8" t="s">
        <v>1520</v>
      </c>
      <c r="G321" s="8" t="s">
        <v>1520</v>
      </c>
      <c r="H321" s="23" t="str">
        <f t="shared" si="0"/>
        <v>Yes</v>
      </c>
      <c r="I321" s="7" t="str">
        <f t="shared" si="1"/>
        <v>TN</v>
      </c>
      <c r="J321" s="48"/>
      <c r="K321" s="48"/>
      <c r="L321" s="48"/>
      <c r="M321" s="48"/>
      <c r="N321" s="48"/>
      <c r="O321" s="48"/>
      <c r="P321" s="48"/>
      <c r="Q321" s="7"/>
      <c r="R321" s="7"/>
      <c r="S321" s="7"/>
    </row>
    <row r="322" spans="1:19" ht="15.45" x14ac:dyDescent="0.4">
      <c r="A322" s="8" t="s">
        <v>56</v>
      </c>
      <c r="B322" s="8" t="s">
        <v>1103</v>
      </c>
      <c r="C322" s="8" t="s">
        <v>57</v>
      </c>
      <c r="D322" s="8" t="s">
        <v>1080</v>
      </c>
      <c r="E322" s="8" t="s">
        <v>58</v>
      </c>
      <c r="F322" s="8" t="s">
        <v>1520</v>
      </c>
      <c r="G322" s="8" t="s">
        <v>1520</v>
      </c>
      <c r="H322" s="23" t="str">
        <f t="shared" si="0"/>
        <v>Yes</v>
      </c>
      <c r="I322" s="7" t="str">
        <f t="shared" si="1"/>
        <v>TN</v>
      </c>
      <c r="J322" s="48"/>
      <c r="K322" s="48"/>
      <c r="L322" s="48"/>
      <c r="M322" s="48"/>
      <c r="N322" s="48"/>
      <c r="O322" s="48"/>
      <c r="P322" s="48"/>
      <c r="Q322" s="7"/>
      <c r="R322" s="7"/>
      <c r="S322" s="7"/>
    </row>
    <row r="323" spans="1:19" ht="15.45" x14ac:dyDescent="0.4">
      <c r="A323" s="8" t="s">
        <v>56</v>
      </c>
      <c r="B323" s="8" t="s">
        <v>1111</v>
      </c>
      <c r="C323" s="8" t="s">
        <v>57</v>
      </c>
      <c r="D323" s="8" t="s">
        <v>1029</v>
      </c>
      <c r="E323" s="8" t="s">
        <v>58</v>
      </c>
      <c r="F323" s="8" t="s">
        <v>1520</v>
      </c>
      <c r="G323" s="8" t="s">
        <v>1520</v>
      </c>
      <c r="H323" s="23" t="str">
        <f t="shared" si="0"/>
        <v>Yes</v>
      </c>
      <c r="I323" s="7" t="str">
        <f t="shared" si="1"/>
        <v>TN</v>
      </c>
      <c r="J323" s="48"/>
      <c r="K323" s="48"/>
      <c r="L323" s="48"/>
      <c r="M323" s="48"/>
      <c r="N323" s="48"/>
      <c r="O323" s="48"/>
      <c r="P323" s="48"/>
      <c r="Q323" s="7"/>
      <c r="R323" s="7"/>
      <c r="S323" s="7"/>
    </row>
    <row r="324" spans="1:19" ht="15.45" x14ac:dyDescent="0.4">
      <c r="A324" s="8" t="s">
        <v>56</v>
      </c>
      <c r="B324" s="8" t="s">
        <v>1213</v>
      </c>
      <c r="C324" s="8" t="s">
        <v>57</v>
      </c>
      <c r="D324" s="8" t="s">
        <v>1156</v>
      </c>
      <c r="E324" s="8" t="s">
        <v>58</v>
      </c>
      <c r="F324" s="8" t="s">
        <v>1520</v>
      </c>
      <c r="G324" s="8" t="s">
        <v>1520</v>
      </c>
      <c r="H324" s="23" t="str">
        <f t="shared" si="0"/>
        <v>Yes</v>
      </c>
      <c r="I324" s="7" t="str">
        <f t="shared" si="1"/>
        <v>TN</v>
      </c>
      <c r="J324" s="48"/>
      <c r="K324" s="48"/>
      <c r="L324" s="48"/>
      <c r="M324" s="48"/>
      <c r="N324" s="48"/>
      <c r="O324" s="48"/>
      <c r="P324" s="48"/>
      <c r="Q324" s="7"/>
      <c r="R324" s="7"/>
      <c r="S324" s="7"/>
    </row>
    <row r="325" spans="1:19" ht="15.45" x14ac:dyDescent="0.4">
      <c r="A325" s="8" t="s">
        <v>56</v>
      </c>
      <c r="B325" s="8" t="s">
        <v>1247</v>
      </c>
      <c r="C325" s="8" t="s">
        <v>57</v>
      </c>
      <c r="D325" s="8" t="s">
        <v>1145</v>
      </c>
      <c r="E325" s="8" t="s">
        <v>58</v>
      </c>
      <c r="F325" s="8" t="s">
        <v>1520</v>
      </c>
      <c r="G325" s="8" t="s">
        <v>1520</v>
      </c>
      <c r="H325" s="23" t="str">
        <f t="shared" si="0"/>
        <v>Yes</v>
      </c>
      <c r="I325" s="7" t="str">
        <f t="shared" si="1"/>
        <v>TN</v>
      </c>
      <c r="J325" s="48"/>
      <c r="K325" s="48"/>
      <c r="L325" s="48"/>
      <c r="M325" s="48"/>
      <c r="N325" s="48"/>
      <c r="O325" s="48"/>
      <c r="P325" s="48"/>
      <c r="Q325" s="7"/>
      <c r="R325" s="7"/>
      <c r="S325" s="7"/>
    </row>
    <row r="326" spans="1:19" ht="15.45" x14ac:dyDescent="0.4">
      <c r="A326" s="8" t="s">
        <v>111</v>
      </c>
      <c r="B326" s="8" t="s">
        <v>159</v>
      </c>
      <c r="C326" s="8" t="s">
        <v>112</v>
      </c>
      <c r="D326" s="8" t="s">
        <v>160</v>
      </c>
      <c r="E326" s="8" t="s">
        <v>58</v>
      </c>
      <c r="F326" s="8" t="s">
        <v>1520</v>
      </c>
      <c r="G326" s="8" t="s">
        <v>1520</v>
      </c>
      <c r="H326" s="23" t="str">
        <f t="shared" si="0"/>
        <v>Yes</v>
      </c>
      <c r="I326" s="7" t="str">
        <f t="shared" si="1"/>
        <v>TN</v>
      </c>
      <c r="J326" s="48"/>
      <c r="K326" s="48"/>
      <c r="L326" s="48"/>
      <c r="M326" s="48"/>
      <c r="N326" s="48"/>
      <c r="O326" s="48"/>
      <c r="P326" s="48"/>
      <c r="Q326" s="7"/>
      <c r="R326" s="7"/>
      <c r="S326" s="7"/>
    </row>
    <row r="327" spans="1:19" ht="15.45" x14ac:dyDescent="0.4">
      <c r="A327" s="8" t="s">
        <v>111</v>
      </c>
      <c r="B327" s="8" t="s">
        <v>199</v>
      </c>
      <c r="C327" s="8" t="s">
        <v>112</v>
      </c>
      <c r="D327" s="8" t="s">
        <v>200</v>
      </c>
      <c r="E327" s="8" t="s">
        <v>58</v>
      </c>
      <c r="F327" s="8" t="s">
        <v>1520</v>
      </c>
      <c r="G327" s="8" t="s">
        <v>1520</v>
      </c>
      <c r="H327" s="23" t="str">
        <f t="shared" si="0"/>
        <v>Yes</v>
      </c>
      <c r="I327" s="7" t="str">
        <f t="shared" si="1"/>
        <v>TN</v>
      </c>
      <c r="J327" s="48"/>
      <c r="K327" s="48"/>
      <c r="L327" s="48"/>
      <c r="M327" s="48"/>
      <c r="N327" s="48"/>
      <c r="O327" s="48"/>
      <c r="P327" s="48"/>
      <c r="Q327" s="7"/>
      <c r="R327" s="7"/>
      <c r="S327" s="7"/>
    </row>
    <row r="328" spans="1:19" ht="15.45" x14ac:dyDescent="0.4">
      <c r="A328" s="8" t="s">
        <v>111</v>
      </c>
      <c r="B328" s="8" t="s">
        <v>1103</v>
      </c>
      <c r="C328" s="8" t="s">
        <v>112</v>
      </c>
      <c r="D328" s="8" t="s">
        <v>1080</v>
      </c>
      <c r="E328" s="8" t="s">
        <v>58</v>
      </c>
      <c r="F328" s="8" t="s">
        <v>1520</v>
      </c>
      <c r="G328" s="8" t="s">
        <v>1520</v>
      </c>
      <c r="H328" s="23" t="str">
        <f t="shared" si="0"/>
        <v>Yes</v>
      </c>
      <c r="I328" s="7" t="str">
        <f t="shared" si="1"/>
        <v>TN</v>
      </c>
      <c r="J328" s="48"/>
      <c r="K328" s="48"/>
      <c r="L328" s="48"/>
      <c r="M328" s="48"/>
      <c r="N328" s="48"/>
      <c r="O328" s="48"/>
      <c r="P328" s="48"/>
      <c r="Q328" s="7"/>
      <c r="R328" s="7"/>
      <c r="S328" s="7"/>
    </row>
    <row r="329" spans="1:19" ht="15.45" x14ac:dyDescent="0.4">
      <c r="A329" s="8" t="s">
        <v>111</v>
      </c>
      <c r="B329" s="8" t="s">
        <v>1111</v>
      </c>
      <c r="C329" s="8" t="s">
        <v>112</v>
      </c>
      <c r="D329" s="8" t="s">
        <v>1029</v>
      </c>
      <c r="E329" s="8" t="s">
        <v>58</v>
      </c>
      <c r="F329" s="8" t="s">
        <v>1520</v>
      </c>
      <c r="G329" s="8" t="s">
        <v>1520</v>
      </c>
      <c r="H329" s="23" t="str">
        <f t="shared" si="0"/>
        <v>Yes</v>
      </c>
      <c r="I329" s="7" t="str">
        <f t="shared" si="1"/>
        <v>TN</v>
      </c>
      <c r="J329" s="48"/>
      <c r="K329" s="48"/>
      <c r="L329" s="48"/>
      <c r="M329" s="48"/>
      <c r="N329" s="48"/>
      <c r="O329" s="48"/>
      <c r="P329" s="48"/>
      <c r="Q329" s="7"/>
      <c r="R329" s="7"/>
      <c r="S329" s="7"/>
    </row>
    <row r="330" spans="1:19" ht="15.45" x14ac:dyDescent="0.4">
      <c r="A330" s="8" t="s">
        <v>111</v>
      </c>
      <c r="B330" s="8" t="s">
        <v>1213</v>
      </c>
      <c r="C330" s="8" t="s">
        <v>112</v>
      </c>
      <c r="D330" s="8" t="s">
        <v>1156</v>
      </c>
      <c r="E330" s="8" t="s">
        <v>58</v>
      </c>
      <c r="F330" s="8" t="s">
        <v>1520</v>
      </c>
      <c r="G330" s="8" t="s">
        <v>1520</v>
      </c>
      <c r="H330" s="23" t="str">
        <f t="shared" si="0"/>
        <v>Yes</v>
      </c>
      <c r="I330" s="7" t="str">
        <f t="shared" si="1"/>
        <v>TN</v>
      </c>
      <c r="J330" s="48"/>
      <c r="K330" s="48"/>
      <c r="L330" s="48"/>
      <c r="M330" s="48"/>
      <c r="N330" s="48"/>
      <c r="O330" s="48"/>
      <c r="P330" s="48"/>
      <c r="Q330" s="7"/>
      <c r="R330" s="7"/>
      <c r="S330" s="7"/>
    </row>
    <row r="331" spans="1:19" ht="15.45" x14ac:dyDescent="0.4">
      <c r="A331" s="8" t="s">
        <v>111</v>
      </c>
      <c r="B331" s="8" t="s">
        <v>1247</v>
      </c>
      <c r="C331" s="8" t="s">
        <v>112</v>
      </c>
      <c r="D331" s="8" t="s">
        <v>1145</v>
      </c>
      <c r="E331" s="8" t="s">
        <v>58</v>
      </c>
      <c r="F331" s="8" t="s">
        <v>1520</v>
      </c>
      <c r="G331" s="8" t="s">
        <v>1520</v>
      </c>
      <c r="H331" s="23" t="str">
        <f t="shared" si="0"/>
        <v>Yes</v>
      </c>
      <c r="I331" s="7" t="str">
        <f t="shared" si="1"/>
        <v>TN</v>
      </c>
      <c r="J331" s="48"/>
      <c r="K331" s="48"/>
      <c r="L331" s="48"/>
      <c r="M331" s="48"/>
      <c r="N331" s="48"/>
      <c r="O331" s="48"/>
      <c r="P331" s="48"/>
      <c r="Q331" s="7"/>
      <c r="R331" s="7"/>
      <c r="S331" s="7"/>
    </row>
    <row r="332" spans="1:19" ht="15.45" x14ac:dyDescent="0.4">
      <c r="A332" s="8" t="s">
        <v>159</v>
      </c>
      <c r="B332" s="8" t="s">
        <v>199</v>
      </c>
      <c r="C332" s="8" t="s">
        <v>160</v>
      </c>
      <c r="D332" s="8" t="s">
        <v>200</v>
      </c>
      <c r="E332" s="8" t="s">
        <v>58</v>
      </c>
      <c r="F332" s="8" t="s">
        <v>1520</v>
      </c>
      <c r="G332" s="8" t="s">
        <v>1520</v>
      </c>
      <c r="H332" s="23" t="str">
        <f t="shared" si="0"/>
        <v>Yes</v>
      </c>
      <c r="I332" s="7" t="str">
        <f t="shared" si="1"/>
        <v>TN</v>
      </c>
      <c r="J332" s="48"/>
      <c r="K332" s="48"/>
      <c r="L332" s="48"/>
      <c r="M332" s="48"/>
      <c r="N332" s="48"/>
      <c r="O332" s="48"/>
      <c r="P332" s="48"/>
      <c r="Q332" s="7"/>
      <c r="R332" s="7"/>
      <c r="S332" s="7"/>
    </row>
    <row r="333" spans="1:19" ht="15.45" x14ac:dyDescent="0.4">
      <c r="A333" s="8" t="s">
        <v>159</v>
      </c>
      <c r="B333" s="8" t="s">
        <v>1103</v>
      </c>
      <c r="C333" s="8" t="s">
        <v>160</v>
      </c>
      <c r="D333" s="8" t="s">
        <v>1080</v>
      </c>
      <c r="E333" s="8" t="s">
        <v>58</v>
      </c>
      <c r="F333" s="8" t="s">
        <v>1520</v>
      </c>
      <c r="G333" s="8" t="s">
        <v>1520</v>
      </c>
      <c r="H333" s="23" t="str">
        <f t="shared" si="0"/>
        <v>Yes</v>
      </c>
      <c r="I333" s="7" t="str">
        <f t="shared" si="1"/>
        <v>TN</v>
      </c>
      <c r="J333" s="48"/>
      <c r="K333" s="48"/>
      <c r="L333" s="48"/>
      <c r="M333" s="48"/>
      <c r="N333" s="48"/>
      <c r="O333" s="48"/>
      <c r="P333" s="48"/>
      <c r="Q333" s="7"/>
      <c r="R333" s="7"/>
      <c r="S333" s="7"/>
    </row>
    <row r="334" spans="1:19" ht="15.45" x14ac:dyDescent="0.4">
      <c r="A334" s="8" t="s">
        <v>159</v>
      </c>
      <c r="B334" s="8" t="s">
        <v>1111</v>
      </c>
      <c r="C334" s="8" t="s">
        <v>160</v>
      </c>
      <c r="D334" s="8" t="s">
        <v>1029</v>
      </c>
      <c r="E334" s="8" t="s">
        <v>58</v>
      </c>
      <c r="F334" s="8" t="s">
        <v>1520</v>
      </c>
      <c r="G334" s="8" t="s">
        <v>1520</v>
      </c>
      <c r="H334" s="23" t="str">
        <f t="shared" si="0"/>
        <v>Yes</v>
      </c>
      <c r="I334" s="7" t="str">
        <f t="shared" si="1"/>
        <v>TN</v>
      </c>
      <c r="J334" s="48"/>
      <c r="K334" s="48"/>
      <c r="L334" s="48"/>
      <c r="M334" s="48"/>
      <c r="N334" s="48"/>
      <c r="O334" s="48"/>
      <c r="P334" s="48"/>
      <c r="Q334" s="7"/>
      <c r="R334" s="7"/>
      <c r="S334" s="7"/>
    </row>
    <row r="335" spans="1:19" ht="15.45" x14ac:dyDescent="0.4">
      <c r="A335" s="8" t="s">
        <v>159</v>
      </c>
      <c r="B335" s="8" t="s">
        <v>1213</v>
      </c>
      <c r="C335" s="8" t="s">
        <v>160</v>
      </c>
      <c r="D335" s="8" t="s">
        <v>1156</v>
      </c>
      <c r="E335" s="8" t="s">
        <v>58</v>
      </c>
      <c r="F335" s="8" t="s">
        <v>1520</v>
      </c>
      <c r="G335" s="8" t="s">
        <v>1520</v>
      </c>
      <c r="H335" s="23" t="str">
        <f t="shared" si="0"/>
        <v>Yes</v>
      </c>
      <c r="I335" s="7" t="str">
        <f t="shared" si="1"/>
        <v>TN</v>
      </c>
      <c r="J335" s="48"/>
      <c r="K335" s="48"/>
      <c r="L335" s="48"/>
      <c r="M335" s="48"/>
      <c r="N335" s="48"/>
      <c r="O335" s="48"/>
      <c r="P335" s="48"/>
      <c r="Q335" s="7"/>
      <c r="R335" s="7"/>
      <c r="S335" s="7"/>
    </row>
    <row r="336" spans="1:19" ht="15.45" x14ac:dyDescent="0.4">
      <c r="A336" s="8" t="s">
        <v>159</v>
      </c>
      <c r="B336" s="8" t="s">
        <v>1247</v>
      </c>
      <c r="C336" s="8" t="s">
        <v>160</v>
      </c>
      <c r="D336" s="8" t="s">
        <v>1145</v>
      </c>
      <c r="E336" s="8" t="s">
        <v>58</v>
      </c>
      <c r="F336" s="8" t="s">
        <v>1520</v>
      </c>
      <c r="G336" s="8" t="s">
        <v>1520</v>
      </c>
      <c r="H336" s="23" t="str">
        <f t="shared" si="0"/>
        <v>Yes</v>
      </c>
      <c r="I336" s="7" t="str">
        <f t="shared" si="1"/>
        <v>TN</v>
      </c>
      <c r="J336" s="48"/>
      <c r="K336" s="48"/>
      <c r="L336" s="48"/>
      <c r="M336" s="48"/>
      <c r="N336" s="48"/>
      <c r="O336" s="48"/>
      <c r="P336" s="48"/>
      <c r="Q336" s="7"/>
      <c r="R336" s="7"/>
      <c r="S336" s="7"/>
    </row>
    <row r="337" spans="1:19" ht="15.45" x14ac:dyDescent="0.4">
      <c r="A337" s="8" t="s">
        <v>199</v>
      </c>
      <c r="B337" s="8" t="s">
        <v>1103</v>
      </c>
      <c r="C337" s="8" t="s">
        <v>200</v>
      </c>
      <c r="D337" s="8" t="s">
        <v>1080</v>
      </c>
      <c r="E337" s="8" t="s">
        <v>58</v>
      </c>
      <c r="F337" s="8" t="s">
        <v>1520</v>
      </c>
      <c r="G337" s="8" t="s">
        <v>1520</v>
      </c>
      <c r="H337" s="23" t="str">
        <f t="shared" si="0"/>
        <v>Yes</v>
      </c>
      <c r="I337" s="7" t="str">
        <f t="shared" si="1"/>
        <v>TN</v>
      </c>
      <c r="J337" s="48"/>
      <c r="K337" s="48"/>
      <c r="L337" s="48"/>
      <c r="M337" s="48"/>
      <c r="N337" s="48"/>
      <c r="O337" s="48"/>
      <c r="P337" s="48"/>
      <c r="Q337" s="7"/>
      <c r="R337" s="7"/>
      <c r="S337" s="7"/>
    </row>
    <row r="338" spans="1:19" ht="15.45" x14ac:dyDescent="0.4">
      <c r="A338" s="8" t="s">
        <v>199</v>
      </c>
      <c r="B338" s="8" t="s">
        <v>1111</v>
      </c>
      <c r="C338" s="8" t="s">
        <v>200</v>
      </c>
      <c r="D338" s="8" t="s">
        <v>1029</v>
      </c>
      <c r="E338" s="8" t="s">
        <v>58</v>
      </c>
      <c r="F338" s="8" t="s">
        <v>1520</v>
      </c>
      <c r="G338" s="8" t="s">
        <v>1520</v>
      </c>
      <c r="H338" s="23" t="str">
        <f t="shared" si="0"/>
        <v>Yes</v>
      </c>
      <c r="I338" s="7" t="str">
        <f t="shared" si="1"/>
        <v>TN</v>
      </c>
      <c r="J338" s="48"/>
      <c r="K338" s="48"/>
      <c r="L338" s="48"/>
      <c r="M338" s="48"/>
      <c r="N338" s="48"/>
      <c r="O338" s="48"/>
      <c r="P338" s="48"/>
      <c r="Q338" s="7"/>
      <c r="R338" s="7"/>
      <c r="S338" s="7"/>
    </row>
    <row r="339" spans="1:19" ht="15.45" x14ac:dyDescent="0.4">
      <c r="A339" s="8" t="s">
        <v>199</v>
      </c>
      <c r="B339" s="8" t="s">
        <v>1213</v>
      </c>
      <c r="C339" s="8" t="s">
        <v>200</v>
      </c>
      <c r="D339" s="8" t="s">
        <v>1156</v>
      </c>
      <c r="E339" s="8" t="s">
        <v>58</v>
      </c>
      <c r="F339" s="8" t="s">
        <v>1520</v>
      </c>
      <c r="G339" s="8" t="s">
        <v>1520</v>
      </c>
      <c r="H339" s="23" t="str">
        <f t="shared" si="0"/>
        <v>Yes</v>
      </c>
      <c r="I339" s="7" t="str">
        <f t="shared" si="1"/>
        <v>TN</v>
      </c>
      <c r="J339" s="48"/>
      <c r="K339" s="48"/>
      <c r="L339" s="48"/>
      <c r="M339" s="48"/>
      <c r="N339" s="48"/>
      <c r="O339" s="48"/>
      <c r="P339" s="48"/>
      <c r="Q339" s="7"/>
      <c r="R339" s="7"/>
      <c r="S339" s="7"/>
    </row>
    <row r="340" spans="1:19" ht="15.45" x14ac:dyDescent="0.4">
      <c r="A340" s="8" t="s">
        <v>199</v>
      </c>
      <c r="B340" s="8" t="s">
        <v>1247</v>
      </c>
      <c r="C340" s="8" t="s">
        <v>200</v>
      </c>
      <c r="D340" s="8" t="s">
        <v>1145</v>
      </c>
      <c r="E340" s="8" t="s">
        <v>58</v>
      </c>
      <c r="F340" s="8" t="s">
        <v>1520</v>
      </c>
      <c r="G340" s="8" t="s">
        <v>1520</v>
      </c>
      <c r="H340" s="23" t="str">
        <f t="shared" si="0"/>
        <v>Yes</v>
      </c>
      <c r="I340" s="7" t="str">
        <f t="shared" si="1"/>
        <v>TN</v>
      </c>
      <c r="J340" s="48"/>
      <c r="K340" s="48"/>
      <c r="L340" s="48"/>
      <c r="M340" s="48"/>
      <c r="N340" s="48"/>
      <c r="O340" s="48"/>
      <c r="P340" s="48"/>
      <c r="Q340" s="7"/>
      <c r="R340" s="7"/>
      <c r="S340" s="7"/>
    </row>
    <row r="341" spans="1:19" ht="15.45" x14ac:dyDescent="0.4">
      <c r="A341" s="8" t="s">
        <v>1103</v>
      </c>
      <c r="B341" s="8" t="s">
        <v>1213</v>
      </c>
      <c r="C341" s="8" t="s">
        <v>1080</v>
      </c>
      <c r="D341" s="8" t="s">
        <v>1156</v>
      </c>
      <c r="E341" s="8" t="s">
        <v>58</v>
      </c>
      <c r="F341" s="8" t="s">
        <v>1520</v>
      </c>
      <c r="G341" s="8" t="s">
        <v>1520</v>
      </c>
      <c r="H341" s="23" t="str">
        <f t="shared" si="0"/>
        <v>Yes</v>
      </c>
      <c r="I341" s="7" t="str">
        <f t="shared" si="1"/>
        <v>TN</v>
      </c>
      <c r="J341" s="48"/>
      <c r="K341" s="48"/>
      <c r="L341" s="48"/>
      <c r="M341" s="48"/>
      <c r="N341" s="48"/>
      <c r="O341" s="48"/>
      <c r="P341" s="48"/>
      <c r="Q341" s="7"/>
      <c r="R341" s="7"/>
      <c r="S341" s="7"/>
    </row>
    <row r="342" spans="1:19" ht="15.45" x14ac:dyDescent="0.4">
      <c r="A342" s="8" t="s">
        <v>1103</v>
      </c>
      <c r="B342" s="8" t="s">
        <v>1247</v>
      </c>
      <c r="C342" s="8" t="s">
        <v>1080</v>
      </c>
      <c r="D342" s="8" t="s">
        <v>1145</v>
      </c>
      <c r="E342" s="8" t="s">
        <v>58</v>
      </c>
      <c r="F342" s="8" t="s">
        <v>1520</v>
      </c>
      <c r="G342" s="8" t="s">
        <v>1520</v>
      </c>
      <c r="H342" s="23" t="str">
        <f t="shared" si="0"/>
        <v>Yes</v>
      </c>
      <c r="I342" s="7" t="str">
        <f t="shared" si="1"/>
        <v>TN</v>
      </c>
      <c r="J342" s="48"/>
      <c r="K342" s="48"/>
      <c r="L342" s="48"/>
      <c r="M342" s="48"/>
      <c r="N342" s="48"/>
      <c r="O342" s="48"/>
      <c r="P342" s="48"/>
      <c r="Q342" s="7"/>
      <c r="R342" s="7"/>
      <c r="S342" s="7"/>
    </row>
    <row r="343" spans="1:19" ht="15.45" x14ac:dyDescent="0.4">
      <c r="A343" s="8" t="s">
        <v>1111</v>
      </c>
      <c r="B343" s="8" t="s">
        <v>1213</v>
      </c>
      <c r="C343" s="8" t="s">
        <v>1029</v>
      </c>
      <c r="D343" s="8" t="s">
        <v>1156</v>
      </c>
      <c r="E343" s="8" t="s">
        <v>58</v>
      </c>
      <c r="F343" s="8" t="s">
        <v>1520</v>
      </c>
      <c r="G343" s="8" t="s">
        <v>1520</v>
      </c>
      <c r="H343" s="23" t="str">
        <f t="shared" si="0"/>
        <v>Yes</v>
      </c>
      <c r="I343" s="7" t="str">
        <f t="shared" si="1"/>
        <v>TN</v>
      </c>
      <c r="J343" s="48"/>
      <c r="K343" s="48"/>
      <c r="L343" s="48"/>
      <c r="M343" s="48"/>
      <c r="N343" s="48"/>
      <c r="O343" s="48"/>
      <c r="P343" s="48"/>
      <c r="Q343" s="7"/>
      <c r="R343" s="7"/>
      <c r="S343" s="7"/>
    </row>
    <row r="344" spans="1:19" ht="15.45" x14ac:dyDescent="0.4">
      <c r="A344" s="8" t="s">
        <v>1111</v>
      </c>
      <c r="B344" s="8" t="s">
        <v>1247</v>
      </c>
      <c r="C344" s="8" t="s">
        <v>1029</v>
      </c>
      <c r="D344" s="8" t="s">
        <v>1145</v>
      </c>
      <c r="E344" s="8" t="s">
        <v>58</v>
      </c>
      <c r="F344" s="8" t="s">
        <v>1520</v>
      </c>
      <c r="G344" s="8" t="s">
        <v>1520</v>
      </c>
      <c r="H344" s="23" t="str">
        <f t="shared" si="0"/>
        <v>Yes</v>
      </c>
      <c r="I344" s="7" t="str">
        <f t="shared" si="1"/>
        <v>TN</v>
      </c>
      <c r="J344" s="48"/>
      <c r="K344" s="48"/>
      <c r="L344" s="48"/>
      <c r="M344" s="48"/>
      <c r="N344" s="48"/>
      <c r="O344" s="48"/>
      <c r="P344" s="48"/>
      <c r="Q344" s="7"/>
      <c r="R344" s="7"/>
      <c r="S344" s="7"/>
    </row>
    <row r="345" spans="1:19" ht="15.45" x14ac:dyDescent="0.4">
      <c r="A345" s="8" t="s">
        <v>1352</v>
      </c>
      <c r="B345" s="8" t="s">
        <v>1424</v>
      </c>
      <c r="C345" s="8" t="s">
        <v>1353</v>
      </c>
      <c r="D345" s="8" t="s">
        <v>1359</v>
      </c>
      <c r="E345" s="8" t="s">
        <v>12</v>
      </c>
      <c r="F345" s="8" t="s">
        <v>1522</v>
      </c>
      <c r="G345" s="8" t="s">
        <v>1522</v>
      </c>
      <c r="H345" s="23" t="str">
        <f t="shared" si="0"/>
        <v>Yes</v>
      </c>
      <c r="I345" s="7" t="str">
        <f t="shared" si="1"/>
        <v>TP</v>
      </c>
      <c r="J345" s="48"/>
      <c r="K345" s="48"/>
      <c r="L345" s="48"/>
      <c r="M345" s="48"/>
      <c r="N345" s="48"/>
      <c r="O345" s="48"/>
      <c r="P345" s="48"/>
      <c r="Q345" s="7"/>
      <c r="R345" s="7"/>
      <c r="S345" s="7"/>
    </row>
    <row r="346" spans="1:19" ht="15.45" x14ac:dyDescent="0.4">
      <c r="A346" s="8" t="s">
        <v>1034</v>
      </c>
      <c r="B346" s="8" t="s">
        <v>1079</v>
      </c>
      <c r="C346" s="8" t="s">
        <v>1035</v>
      </c>
      <c r="D346" s="8" t="s">
        <v>1080</v>
      </c>
      <c r="E346" s="8" t="s">
        <v>12</v>
      </c>
      <c r="F346" s="8" t="s">
        <v>1522</v>
      </c>
      <c r="G346" s="8" t="s">
        <v>1522</v>
      </c>
      <c r="H346" s="23" t="str">
        <f t="shared" si="0"/>
        <v>Yes</v>
      </c>
      <c r="I346" s="7" t="str">
        <f t="shared" si="1"/>
        <v>TP</v>
      </c>
      <c r="J346" s="48"/>
      <c r="K346" s="48"/>
      <c r="L346" s="48"/>
      <c r="M346" s="48"/>
      <c r="N346" s="48"/>
      <c r="O346" s="48"/>
      <c r="P346" s="48"/>
      <c r="Q346" s="7"/>
      <c r="R346" s="7"/>
      <c r="S346" s="7"/>
    </row>
    <row r="347" spans="1:19" ht="15.45" x14ac:dyDescent="0.4">
      <c r="A347" s="8" t="s">
        <v>10</v>
      </c>
      <c r="B347" s="8" t="s">
        <v>30</v>
      </c>
      <c r="C347" s="8" t="s">
        <v>11</v>
      </c>
      <c r="D347" s="8" t="s">
        <v>31</v>
      </c>
      <c r="E347" s="8" t="s">
        <v>12</v>
      </c>
      <c r="F347" s="8" t="s">
        <v>1520</v>
      </c>
      <c r="G347" s="8" t="s">
        <v>1520</v>
      </c>
      <c r="H347" s="23" t="str">
        <f t="shared" si="0"/>
        <v>Yes</v>
      </c>
      <c r="I347" s="7" t="str">
        <f t="shared" si="1"/>
        <v>TN</v>
      </c>
      <c r="J347" s="48"/>
      <c r="K347" s="48"/>
      <c r="L347" s="48"/>
      <c r="M347" s="48"/>
      <c r="N347" s="48"/>
      <c r="O347" s="48"/>
      <c r="P347" s="48"/>
      <c r="Q347" s="7"/>
      <c r="R347" s="7"/>
      <c r="S347" s="7"/>
    </row>
    <row r="348" spans="1:19" ht="15.45" x14ac:dyDescent="0.4">
      <c r="A348" s="8" t="s">
        <v>10</v>
      </c>
      <c r="B348" s="8" t="s">
        <v>37</v>
      </c>
      <c r="C348" s="8" t="s">
        <v>11</v>
      </c>
      <c r="D348" s="8" t="s">
        <v>38</v>
      </c>
      <c r="E348" s="8" t="s">
        <v>12</v>
      </c>
      <c r="F348" s="8" t="s">
        <v>1520</v>
      </c>
      <c r="G348" s="8" t="s">
        <v>1520</v>
      </c>
      <c r="H348" s="23" t="str">
        <f t="shared" si="0"/>
        <v>Yes</v>
      </c>
      <c r="I348" s="7" t="str">
        <f t="shared" si="1"/>
        <v>TN</v>
      </c>
      <c r="J348" s="48"/>
      <c r="K348" s="48"/>
      <c r="L348" s="48"/>
      <c r="M348" s="48"/>
      <c r="N348" s="48"/>
      <c r="O348" s="48"/>
      <c r="P348" s="48"/>
      <c r="Q348" s="7"/>
      <c r="R348" s="7"/>
      <c r="S348" s="7"/>
    </row>
    <row r="349" spans="1:19" ht="15.45" x14ac:dyDescent="0.4">
      <c r="A349" s="8" t="s">
        <v>10</v>
      </c>
      <c r="B349" s="8" t="s">
        <v>59</v>
      </c>
      <c r="C349" s="8" t="s">
        <v>11</v>
      </c>
      <c r="D349" s="8" t="s">
        <v>60</v>
      </c>
      <c r="E349" s="8" t="s">
        <v>12</v>
      </c>
      <c r="F349" s="8" t="s">
        <v>1520</v>
      </c>
      <c r="G349" s="8" t="s">
        <v>1520</v>
      </c>
      <c r="H349" s="23" t="str">
        <f t="shared" si="0"/>
        <v>Yes</v>
      </c>
      <c r="I349" s="7" t="str">
        <f t="shared" si="1"/>
        <v>TN</v>
      </c>
      <c r="J349" s="48"/>
      <c r="K349" s="48"/>
      <c r="L349" s="48"/>
      <c r="M349" s="48"/>
      <c r="N349" s="48"/>
      <c r="O349" s="48"/>
      <c r="P349" s="48"/>
      <c r="Q349" s="7"/>
      <c r="R349" s="7"/>
      <c r="S349" s="7"/>
    </row>
    <row r="350" spans="1:19" ht="15.45" x14ac:dyDescent="0.4">
      <c r="A350" s="8" t="s">
        <v>10</v>
      </c>
      <c r="B350" s="8" t="s">
        <v>1352</v>
      </c>
      <c r="C350" s="8" t="s">
        <v>11</v>
      </c>
      <c r="D350" s="8" t="s">
        <v>1353</v>
      </c>
      <c r="E350" s="8" t="s">
        <v>12</v>
      </c>
      <c r="F350" s="8" t="s">
        <v>1520</v>
      </c>
      <c r="G350" s="8" t="s">
        <v>1520</v>
      </c>
      <c r="H350" s="23" t="str">
        <f t="shared" si="0"/>
        <v>Yes</v>
      </c>
      <c r="I350" s="7" t="str">
        <f t="shared" si="1"/>
        <v>TN</v>
      </c>
      <c r="J350" s="48"/>
      <c r="K350" s="48"/>
      <c r="L350" s="48"/>
      <c r="M350" s="48"/>
      <c r="N350" s="48"/>
      <c r="O350" s="48"/>
      <c r="P350" s="48"/>
      <c r="Q350" s="7"/>
      <c r="R350" s="7"/>
      <c r="S350" s="7"/>
    </row>
    <row r="351" spans="1:19" ht="15.45" x14ac:dyDescent="0.4">
      <c r="A351" s="8" t="s">
        <v>10</v>
      </c>
      <c r="B351" s="8" t="s">
        <v>1424</v>
      </c>
      <c r="C351" s="8" t="s">
        <v>11</v>
      </c>
      <c r="D351" s="8" t="s">
        <v>1359</v>
      </c>
      <c r="E351" s="8" t="s">
        <v>12</v>
      </c>
      <c r="F351" s="8" t="s">
        <v>1520</v>
      </c>
      <c r="G351" s="8" t="s">
        <v>1520</v>
      </c>
      <c r="H351" s="23" t="str">
        <f t="shared" si="0"/>
        <v>Yes</v>
      </c>
      <c r="I351" s="7" t="str">
        <f t="shared" si="1"/>
        <v>TN</v>
      </c>
      <c r="J351" s="48"/>
      <c r="K351" s="48"/>
      <c r="L351" s="48"/>
      <c r="M351" s="48"/>
      <c r="N351" s="48"/>
      <c r="O351" s="48"/>
      <c r="P351" s="48"/>
      <c r="Q351" s="7"/>
      <c r="R351" s="7"/>
      <c r="S351" s="7"/>
    </row>
    <row r="352" spans="1:19" ht="15.45" x14ac:dyDescent="0.4">
      <c r="A352" s="8" t="s">
        <v>10</v>
      </c>
      <c r="B352" s="8" t="s">
        <v>1034</v>
      </c>
      <c r="C352" s="8" t="s">
        <v>11</v>
      </c>
      <c r="D352" s="8" t="s">
        <v>1035</v>
      </c>
      <c r="E352" s="8" t="s">
        <v>12</v>
      </c>
      <c r="F352" s="8" t="s">
        <v>1520</v>
      </c>
      <c r="G352" s="8" t="s">
        <v>1520</v>
      </c>
      <c r="H352" s="23" t="str">
        <f t="shared" si="0"/>
        <v>Yes</v>
      </c>
      <c r="I352" s="7" t="str">
        <f t="shared" si="1"/>
        <v>TN</v>
      </c>
      <c r="J352" s="48"/>
      <c r="K352" s="48"/>
      <c r="L352" s="48"/>
      <c r="M352" s="48"/>
      <c r="N352" s="48"/>
      <c r="O352" s="48"/>
      <c r="P352" s="48"/>
      <c r="Q352" s="7"/>
      <c r="R352" s="7"/>
      <c r="S352" s="7"/>
    </row>
    <row r="353" spans="1:19" ht="15.45" x14ac:dyDescent="0.4">
      <c r="A353" s="8" t="s">
        <v>10</v>
      </c>
      <c r="B353" s="8" t="s">
        <v>1079</v>
      </c>
      <c r="C353" s="8" t="s">
        <v>11</v>
      </c>
      <c r="D353" s="8" t="s">
        <v>1080</v>
      </c>
      <c r="E353" s="8" t="s">
        <v>12</v>
      </c>
      <c r="F353" s="8" t="s">
        <v>1520</v>
      </c>
      <c r="G353" s="8" t="s">
        <v>1520</v>
      </c>
      <c r="H353" s="23" t="str">
        <f t="shared" si="0"/>
        <v>Yes</v>
      </c>
      <c r="I353" s="7" t="str">
        <f t="shared" si="1"/>
        <v>TN</v>
      </c>
      <c r="J353" s="48"/>
      <c r="K353" s="48"/>
      <c r="L353" s="48"/>
      <c r="M353" s="48"/>
      <c r="N353" s="48"/>
      <c r="O353" s="48"/>
      <c r="P353" s="48"/>
      <c r="Q353" s="7"/>
      <c r="R353" s="7"/>
      <c r="S353" s="7"/>
    </row>
    <row r="354" spans="1:19" ht="15.45" x14ac:dyDescent="0.4">
      <c r="A354" s="8" t="s">
        <v>30</v>
      </c>
      <c r="B354" s="8" t="s">
        <v>37</v>
      </c>
      <c r="C354" s="8" t="s">
        <v>31</v>
      </c>
      <c r="D354" s="8" t="s">
        <v>38</v>
      </c>
      <c r="E354" s="8" t="s">
        <v>12</v>
      </c>
      <c r="F354" s="8" t="s">
        <v>1520</v>
      </c>
      <c r="G354" s="8" t="s">
        <v>1520</v>
      </c>
      <c r="H354" s="23" t="str">
        <f t="shared" si="0"/>
        <v>Yes</v>
      </c>
      <c r="I354" s="7" t="str">
        <f t="shared" si="1"/>
        <v>TN</v>
      </c>
      <c r="J354" s="48"/>
      <c r="K354" s="48"/>
      <c r="L354" s="48"/>
      <c r="M354" s="48"/>
      <c r="N354" s="48"/>
      <c r="O354" s="48"/>
      <c r="P354" s="48"/>
      <c r="Q354" s="7"/>
      <c r="R354" s="7"/>
      <c r="S354" s="7"/>
    </row>
    <row r="355" spans="1:19" ht="15.45" x14ac:dyDescent="0.4">
      <c r="A355" s="8" t="s">
        <v>30</v>
      </c>
      <c r="B355" s="8" t="s">
        <v>59</v>
      </c>
      <c r="C355" s="8" t="s">
        <v>31</v>
      </c>
      <c r="D355" s="8" t="s">
        <v>60</v>
      </c>
      <c r="E355" s="8" t="s">
        <v>12</v>
      </c>
      <c r="F355" s="8" t="s">
        <v>1520</v>
      </c>
      <c r="G355" s="8" t="s">
        <v>1520</v>
      </c>
      <c r="H355" s="23" t="str">
        <f t="shared" si="0"/>
        <v>Yes</v>
      </c>
      <c r="I355" s="7" t="str">
        <f t="shared" si="1"/>
        <v>TN</v>
      </c>
      <c r="J355" s="48"/>
      <c r="K355" s="48"/>
      <c r="L355" s="48"/>
      <c r="M355" s="48"/>
      <c r="N355" s="48"/>
      <c r="O355" s="48"/>
      <c r="P355" s="48"/>
      <c r="Q355" s="7"/>
      <c r="R355" s="7"/>
      <c r="S355" s="7"/>
    </row>
    <row r="356" spans="1:19" ht="15.45" x14ac:dyDescent="0.4">
      <c r="A356" s="8" t="s">
        <v>30</v>
      </c>
      <c r="B356" s="8" t="s">
        <v>1352</v>
      </c>
      <c r="C356" s="8" t="s">
        <v>31</v>
      </c>
      <c r="D356" s="8" t="s">
        <v>1353</v>
      </c>
      <c r="E356" s="8" t="s">
        <v>12</v>
      </c>
      <c r="F356" s="8" t="s">
        <v>1520</v>
      </c>
      <c r="G356" s="8" t="s">
        <v>1520</v>
      </c>
      <c r="H356" s="23" t="str">
        <f t="shared" si="0"/>
        <v>Yes</v>
      </c>
      <c r="I356" s="7" t="str">
        <f t="shared" si="1"/>
        <v>TN</v>
      </c>
      <c r="J356" s="48"/>
      <c r="K356" s="48"/>
      <c r="L356" s="48"/>
      <c r="M356" s="48"/>
      <c r="N356" s="48"/>
      <c r="O356" s="48"/>
      <c r="P356" s="48"/>
      <c r="Q356" s="7"/>
      <c r="R356" s="7"/>
      <c r="S356" s="7"/>
    </row>
    <row r="357" spans="1:19" ht="15.45" x14ac:dyDescent="0.4">
      <c r="A357" s="8" t="s">
        <v>30</v>
      </c>
      <c r="B357" s="8" t="s">
        <v>1424</v>
      </c>
      <c r="C357" s="8" t="s">
        <v>31</v>
      </c>
      <c r="D357" s="8" t="s">
        <v>1359</v>
      </c>
      <c r="E357" s="8" t="s">
        <v>12</v>
      </c>
      <c r="F357" s="8" t="s">
        <v>1520</v>
      </c>
      <c r="G357" s="8" t="s">
        <v>1520</v>
      </c>
      <c r="H357" s="23" t="str">
        <f t="shared" si="0"/>
        <v>Yes</v>
      </c>
      <c r="I357" s="7" t="str">
        <f t="shared" si="1"/>
        <v>TN</v>
      </c>
      <c r="J357" s="48"/>
      <c r="K357" s="48"/>
      <c r="L357" s="48"/>
      <c r="M357" s="48"/>
      <c r="N357" s="48"/>
      <c r="O357" s="48"/>
      <c r="P357" s="48"/>
      <c r="Q357" s="7"/>
      <c r="R357" s="7"/>
      <c r="S357" s="7"/>
    </row>
    <row r="358" spans="1:19" ht="15.45" x14ac:dyDescent="0.4">
      <c r="A358" s="8" t="s">
        <v>30</v>
      </c>
      <c r="B358" s="8" t="s">
        <v>1034</v>
      </c>
      <c r="C358" s="8" t="s">
        <v>31</v>
      </c>
      <c r="D358" s="8" t="s">
        <v>1035</v>
      </c>
      <c r="E358" s="8" t="s">
        <v>12</v>
      </c>
      <c r="F358" s="8" t="s">
        <v>1520</v>
      </c>
      <c r="G358" s="8" t="s">
        <v>1520</v>
      </c>
      <c r="H358" s="23" t="str">
        <f t="shared" si="0"/>
        <v>Yes</v>
      </c>
      <c r="I358" s="7" t="str">
        <f t="shared" si="1"/>
        <v>TN</v>
      </c>
      <c r="J358" s="48"/>
      <c r="K358" s="48"/>
      <c r="L358" s="48"/>
      <c r="M358" s="48"/>
      <c r="N358" s="48"/>
      <c r="O358" s="48"/>
      <c r="P358" s="48"/>
      <c r="Q358" s="7"/>
      <c r="R358" s="7"/>
      <c r="S358" s="7"/>
    </row>
    <row r="359" spans="1:19" ht="15.45" x14ac:dyDescent="0.4">
      <c r="A359" s="8" t="s">
        <v>30</v>
      </c>
      <c r="B359" s="8" t="s">
        <v>1079</v>
      </c>
      <c r="C359" s="8" t="s">
        <v>31</v>
      </c>
      <c r="D359" s="8" t="s">
        <v>1080</v>
      </c>
      <c r="E359" s="8" t="s">
        <v>12</v>
      </c>
      <c r="F359" s="8" t="s">
        <v>1520</v>
      </c>
      <c r="G359" s="8" t="s">
        <v>1520</v>
      </c>
      <c r="H359" s="23" t="str">
        <f t="shared" si="0"/>
        <v>Yes</v>
      </c>
      <c r="I359" s="7" t="str">
        <f t="shared" si="1"/>
        <v>TN</v>
      </c>
      <c r="J359" s="48"/>
      <c r="K359" s="48"/>
      <c r="L359" s="48"/>
      <c r="M359" s="48"/>
      <c r="N359" s="48"/>
      <c r="O359" s="48"/>
      <c r="P359" s="48"/>
      <c r="Q359" s="7"/>
      <c r="R359" s="7"/>
      <c r="S359" s="7"/>
    </row>
    <row r="360" spans="1:19" ht="15.45" x14ac:dyDescent="0.4">
      <c r="A360" s="8" t="s">
        <v>37</v>
      </c>
      <c r="B360" s="8" t="s">
        <v>59</v>
      </c>
      <c r="C360" s="8" t="s">
        <v>38</v>
      </c>
      <c r="D360" s="8" t="s">
        <v>60</v>
      </c>
      <c r="E360" s="8" t="s">
        <v>12</v>
      </c>
      <c r="F360" s="8" t="s">
        <v>1520</v>
      </c>
      <c r="G360" s="8" t="s">
        <v>1520</v>
      </c>
      <c r="H360" s="23" t="str">
        <f t="shared" si="0"/>
        <v>Yes</v>
      </c>
      <c r="I360" s="7" t="str">
        <f t="shared" si="1"/>
        <v>TN</v>
      </c>
      <c r="J360" s="48"/>
      <c r="K360" s="48"/>
      <c r="L360" s="48"/>
      <c r="M360" s="48"/>
      <c r="N360" s="48"/>
      <c r="O360" s="48"/>
      <c r="P360" s="48"/>
      <c r="Q360" s="7"/>
      <c r="R360" s="7"/>
      <c r="S360" s="7"/>
    </row>
    <row r="361" spans="1:19" ht="15.45" x14ac:dyDescent="0.4">
      <c r="A361" s="8" t="s">
        <v>37</v>
      </c>
      <c r="B361" s="8" t="s">
        <v>1352</v>
      </c>
      <c r="C361" s="8" t="s">
        <v>38</v>
      </c>
      <c r="D361" s="8" t="s">
        <v>1353</v>
      </c>
      <c r="E361" s="8" t="s">
        <v>12</v>
      </c>
      <c r="F361" s="8" t="s">
        <v>1520</v>
      </c>
      <c r="G361" s="8" t="s">
        <v>1520</v>
      </c>
      <c r="H361" s="23" t="str">
        <f t="shared" si="0"/>
        <v>Yes</v>
      </c>
      <c r="I361" s="7" t="str">
        <f t="shared" si="1"/>
        <v>TN</v>
      </c>
      <c r="J361" s="48"/>
      <c r="K361" s="48"/>
      <c r="L361" s="48"/>
      <c r="M361" s="48"/>
      <c r="N361" s="48"/>
      <c r="O361" s="48"/>
      <c r="P361" s="48"/>
      <c r="Q361" s="7"/>
      <c r="R361" s="7"/>
      <c r="S361" s="7"/>
    </row>
    <row r="362" spans="1:19" ht="15.45" x14ac:dyDescent="0.4">
      <c r="A362" s="8" t="s">
        <v>37</v>
      </c>
      <c r="B362" s="8" t="s">
        <v>1424</v>
      </c>
      <c r="C362" s="8" t="s">
        <v>38</v>
      </c>
      <c r="D362" s="8" t="s">
        <v>1359</v>
      </c>
      <c r="E362" s="8" t="s">
        <v>12</v>
      </c>
      <c r="F362" s="8" t="s">
        <v>1520</v>
      </c>
      <c r="G362" s="8" t="s">
        <v>1520</v>
      </c>
      <c r="H362" s="23" t="str">
        <f t="shared" si="0"/>
        <v>Yes</v>
      </c>
      <c r="I362" s="7" t="str">
        <f t="shared" si="1"/>
        <v>TN</v>
      </c>
      <c r="J362" s="48"/>
      <c r="K362" s="48"/>
      <c r="L362" s="48"/>
      <c r="M362" s="48"/>
      <c r="N362" s="48"/>
      <c r="O362" s="48"/>
      <c r="P362" s="48"/>
      <c r="Q362" s="7"/>
      <c r="R362" s="7"/>
      <c r="S362" s="7"/>
    </row>
    <row r="363" spans="1:19" ht="15.45" x14ac:dyDescent="0.4">
      <c r="A363" s="8" t="s">
        <v>37</v>
      </c>
      <c r="B363" s="8" t="s">
        <v>1034</v>
      </c>
      <c r="C363" s="8" t="s">
        <v>38</v>
      </c>
      <c r="D363" s="8" t="s">
        <v>1035</v>
      </c>
      <c r="E363" s="8" t="s">
        <v>12</v>
      </c>
      <c r="F363" s="8" t="s">
        <v>1520</v>
      </c>
      <c r="G363" s="8" t="s">
        <v>1520</v>
      </c>
      <c r="H363" s="23" t="str">
        <f t="shared" si="0"/>
        <v>Yes</v>
      </c>
      <c r="I363" s="7" t="str">
        <f t="shared" si="1"/>
        <v>TN</v>
      </c>
      <c r="J363" s="48"/>
      <c r="K363" s="48"/>
      <c r="L363" s="48"/>
      <c r="M363" s="48"/>
      <c r="N363" s="48"/>
      <c r="O363" s="48"/>
      <c r="P363" s="48"/>
      <c r="Q363" s="7"/>
      <c r="R363" s="7"/>
      <c r="S363" s="7"/>
    </row>
    <row r="364" spans="1:19" ht="15.45" x14ac:dyDescent="0.4">
      <c r="A364" s="8" t="s">
        <v>37</v>
      </c>
      <c r="B364" s="8" t="s">
        <v>1079</v>
      </c>
      <c r="C364" s="8" t="s">
        <v>38</v>
      </c>
      <c r="D364" s="8" t="s">
        <v>1080</v>
      </c>
      <c r="E364" s="8" t="s">
        <v>12</v>
      </c>
      <c r="F364" s="8" t="s">
        <v>1520</v>
      </c>
      <c r="G364" s="8" t="s">
        <v>1520</v>
      </c>
      <c r="H364" s="23" t="str">
        <f t="shared" si="0"/>
        <v>Yes</v>
      </c>
      <c r="I364" s="7" t="str">
        <f t="shared" si="1"/>
        <v>TN</v>
      </c>
      <c r="J364" s="48"/>
      <c r="K364" s="48"/>
      <c r="L364" s="48"/>
      <c r="M364" s="48"/>
      <c r="N364" s="48"/>
      <c r="O364" s="48"/>
      <c r="P364" s="48"/>
      <c r="Q364" s="7"/>
      <c r="R364" s="7"/>
      <c r="S364" s="7"/>
    </row>
    <row r="365" spans="1:19" ht="15.45" x14ac:dyDescent="0.4">
      <c r="A365" s="8" t="s">
        <v>59</v>
      </c>
      <c r="B365" s="8" t="s">
        <v>1352</v>
      </c>
      <c r="C365" s="8" t="s">
        <v>60</v>
      </c>
      <c r="D365" s="8" t="s">
        <v>1353</v>
      </c>
      <c r="E365" s="8" t="s">
        <v>12</v>
      </c>
      <c r="F365" s="8" t="s">
        <v>1520</v>
      </c>
      <c r="G365" s="8" t="s">
        <v>1520</v>
      </c>
      <c r="H365" s="23" t="str">
        <f t="shared" si="0"/>
        <v>Yes</v>
      </c>
      <c r="I365" s="7" t="str">
        <f t="shared" si="1"/>
        <v>TN</v>
      </c>
      <c r="J365" s="48"/>
      <c r="K365" s="48"/>
      <c r="L365" s="48"/>
      <c r="M365" s="48"/>
      <c r="N365" s="48"/>
      <c r="O365" s="48"/>
      <c r="P365" s="48"/>
      <c r="Q365" s="7"/>
      <c r="R365" s="7"/>
      <c r="S365" s="7"/>
    </row>
    <row r="366" spans="1:19" ht="15.45" x14ac:dyDescent="0.4">
      <c r="A366" s="8" t="s">
        <v>59</v>
      </c>
      <c r="B366" s="8" t="s">
        <v>1424</v>
      </c>
      <c r="C366" s="8" t="s">
        <v>60</v>
      </c>
      <c r="D366" s="8" t="s">
        <v>1359</v>
      </c>
      <c r="E366" s="8" t="s">
        <v>12</v>
      </c>
      <c r="F366" s="8" t="s">
        <v>1520</v>
      </c>
      <c r="G366" s="8" t="s">
        <v>1520</v>
      </c>
      <c r="H366" s="23" t="str">
        <f t="shared" si="0"/>
        <v>Yes</v>
      </c>
      <c r="I366" s="7" t="str">
        <f t="shared" si="1"/>
        <v>TN</v>
      </c>
      <c r="J366" s="48"/>
      <c r="K366" s="48"/>
      <c r="L366" s="48"/>
      <c r="M366" s="48"/>
      <c r="N366" s="48"/>
      <c r="O366" s="48"/>
      <c r="P366" s="48"/>
      <c r="Q366" s="7"/>
      <c r="R366" s="7"/>
      <c r="S366" s="7"/>
    </row>
    <row r="367" spans="1:19" ht="15.45" x14ac:dyDescent="0.4">
      <c r="A367" s="8" t="s">
        <v>59</v>
      </c>
      <c r="B367" s="8" t="s">
        <v>1034</v>
      </c>
      <c r="C367" s="8" t="s">
        <v>60</v>
      </c>
      <c r="D367" s="8" t="s">
        <v>1035</v>
      </c>
      <c r="E367" s="8" t="s">
        <v>12</v>
      </c>
      <c r="F367" s="8" t="s">
        <v>1520</v>
      </c>
      <c r="G367" s="8" t="s">
        <v>1520</v>
      </c>
      <c r="H367" s="23" t="str">
        <f t="shared" si="0"/>
        <v>Yes</v>
      </c>
      <c r="I367" s="7" t="str">
        <f t="shared" si="1"/>
        <v>TN</v>
      </c>
      <c r="J367" s="48"/>
      <c r="K367" s="48"/>
      <c r="L367" s="48"/>
      <c r="M367" s="48"/>
      <c r="N367" s="48"/>
      <c r="O367" s="48"/>
      <c r="P367" s="48"/>
      <c r="Q367" s="7"/>
      <c r="R367" s="7"/>
      <c r="S367" s="7"/>
    </row>
    <row r="368" spans="1:19" ht="15.45" x14ac:dyDescent="0.4">
      <c r="A368" s="8" t="s">
        <v>59</v>
      </c>
      <c r="B368" s="8" t="s">
        <v>1079</v>
      </c>
      <c r="C368" s="8" t="s">
        <v>60</v>
      </c>
      <c r="D368" s="8" t="s">
        <v>1080</v>
      </c>
      <c r="E368" s="8" t="s">
        <v>12</v>
      </c>
      <c r="F368" s="8" t="s">
        <v>1520</v>
      </c>
      <c r="G368" s="8" t="s">
        <v>1520</v>
      </c>
      <c r="H368" s="23" t="str">
        <f t="shared" si="0"/>
        <v>Yes</v>
      </c>
      <c r="I368" s="7" t="str">
        <f t="shared" si="1"/>
        <v>TN</v>
      </c>
      <c r="J368" s="48"/>
      <c r="K368" s="48"/>
      <c r="L368" s="48"/>
      <c r="M368" s="48"/>
      <c r="N368" s="48"/>
      <c r="O368" s="48"/>
      <c r="P368" s="48"/>
      <c r="Q368" s="7"/>
      <c r="R368" s="7"/>
      <c r="S368" s="7"/>
    </row>
    <row r="369" spans="1:19" ht="15.45" x14ac:dyDescent="0.4">
      <c r="A369" s="8" t="s">
        <v>1352</v>
      </c>
      <c r="B369" s="8" t="s">
        <v>1034</v>
      </c>
      <c r="C369" s="8" t="s">
        <v>1353</v>
      </c>
      <c r="D369" s="8" t="s">
        <v>1035</v>
      </c>
      <c r="E369" s="8" t="s">
        <v>12</v>
      </c>
      <c r="F369" s="8" t="s">
        <v>1520</v>
      </c>
      <c r="G369" s="8" t="s">
        <v>1520</v>
      </c>
      <c r="H369" s="23" t="str">
        <f t="shared" si="0"/>
        <v>Yes</v>
      </c>
      <c r="I369" s="7" t="str">
        <f t="shared" si="1"/>
        <v>TN</v>
      </c>
      <c r="J369" s="48"/>
      <c r="K369" s="48"/>
      <c r="L369" s="48"/>
      <c r="M369" s="48"/>
      <c r="N369" s="48"/>
      <c r="O369" s="48"/>
      <c r="P369" s="48"/>
      <c r="Q369" s="7"/>
      <c r="R369" s="7"/>
      <c r="S369" s="7"/>
    </row>
    <row r="370" spans="1:19" ht="15.45" x14ac:dyDescent="0.4">
      <c r="A370" s="8" t="s">
        <v>1352</v>
      </c>
      <c r="B370" s="8" t="s">
        <v>1079</v>
      </c>
      <c r="C370" s="8" t="s">
        <v>1353</v>
      </c>
      <c r="D370" s="8" t="s">
        <v>1080</v>
      </c>
      <c r="E370" s="8" t="s">
        <v>12</v>
      </c>
      <c r="F370" s="8" t="s">
        <v>1520</v>
      </c>
      <c r="G370" s="8" t="s">
        <v>1520</v>
      </c>
      <c r="H370" s="23" t="str">
        <f t="shared" si="0"/>
        <v>Yes</v>
      </c>
      <c r="I370" s="7" t="str">
        <f t="shared" si="1"/>
        <v>TN</v>
      </c>
      <c r="J370" s="48"/>
      <c r="K370" s="48"/>
      <c r="L370" s="48"/>
      <c r="M370" s="48"/>
      <c r="N370" s="48"/>
      <c r="O370" s="48"/>
      <c r="P370" s="48"/>
      <c r="Q370" s="7"/>
      <c r="R370" s="7"/>
      <c r="S370" s="7"/>
    </row>
    <row r="371" spans="1:19" ht="15.45" x14ac:dyDescent="0.4">
      <c r="A371" s="8" t="s">
        <v>1424</v>
      </c>
      <c r="B371" s="8" t="s">
        <v>1034</v>
      </c>
      <c r="C371" s="8" t="s">
        <v>1359</v>
      </c>
      <c r="D371" s="8" t="s">
        <v>1035</v>
      </c>
      <c r="E371" s="8" t="s">
        <v>12</v>
      </c>
      <c r="F371" s="8" t="s">
        <v>1520</v>
      </c>
      <c r="G371" s="8" t="s">
        <v>1520</v>
      </c>
      <c r="H371" s="23" t="str">
        <f t="shared" si="0"/>
        <v>Yes</v>
      </c>
      <c r="I371" s="7" t="str">
        <f t="shared" si="1"/>
        <v>TN</v>
      </c>
      <c r="J371" s="48"/>
      <c r="K371" s="48"/>
      <c r="L371" s="48"/>
      <c r="M371" s="48"/>
      <c r="N371" s="48"/>
      <c r="O371" s="48"/>
      <c r="P371" s="48"/>
      <c r="Q371" s="7"/>
      <c r="R371" s="7"/>
      <c r="S371" s="7"/>
    </row>
    <row r="372" spans="1:19" ht="15.45" x14ac:dyDescent="0.4">
      <c r="A372" s="8" t="s">
        <v>1424</v>
      </c>
      <c r="B372" s="8" t="s">
        <v>1079</v>
      </c>
      <c r="C372" s="8" t="s">
        <v>1359</v>
      </c>
      <c r="D372" s="8" t="s">
        <v>1080</v>
      </c>
      <c r="E372" s="8" t="s">
        <v>12</v>
      </c>
      <c r="F372" s="8" t="s">
        <v>1520</v>
      </c>
      <c r="G372" s="8" t="s">
        <v>1520</v>
      </c>
      <c r="H372" s="23" t="str">
        <f t="shared" si="0"/>
        <v>Yes</v>
      </c>
      <c r="I372" s="7" t="str">
        <f t="shared" si="1"/>
        <v>TN</v>
      </c>
      <c r="J372" s="48"/>
      <c r="K372" s="48"/>
      <c r="L372" s="48"/>
      <c r="M372" s="48"/>
      <c r="N372" s="48"/>
      <c r="O372" s="48"/>
      <c r="P372" s="48"/>
      <c r="Q372" s="7"/>
      <c r="R372" s="7"/>
      <c r="S372" s="7"/>
    </row>
    <row r="373" spans="1:19" ht="15" x14ac:dyDescent="0.35">
      <c r="B373" s="7"/>
      <c r="C373" s="7"/>
      <c r="D373" s="7"/>
      <c r="E373" s="7"/>
      <c r="H373" s="7"/>
      <c r="I373" s="7"/>
      <c r="J373" s="48"/>
      <c r="K373" s="48"/>
      <c r="L373" s="48"/>
      <c r="M373" s="48"/>
      <c r="N373" s="48"/>
      <c r="O373" s="48"/>
      <c r="P373" s="48"/>
      <c r="Q373" s="7"/>
      <c r="R373" s="7"/>
      <c r="S373" s="7"/>
    </row>
    <row r="374" spans="1:19" ht="15" x14ac:dyDescent="0.35">
      <c r="B374" s="7"/>
      <c r="C374" s="7"/>
      <c r="D374" s="7"/>
      <c r="E374" s="7"/>
      <c r="H374" s="7"/>
      <c r="I374" s="7"/>
      <c r="J374" s="48"/>
      <c r="K374" s="48"/>
      <c r="L374" s="48"/>
      <c r="M374" s="48"/>
      <c r="N374" s="48"/>
      <c r="O374" s="48"/>
      <c r="P374" s="48"/>
      <c r="Q374" s="7"/>
      <c r="R374" s="7"/>
      <c r="S374" s="7"/>
    </row>
    <row r="375" spans="1:19" ht="15" x14ac:dyDescent="0.35">
      <c r="B375" s="7"/>
      <c r="C375" s="7"/>
      <c r="D375" s="7"/>
      <c r="E375" s="7"/>
      <c r="H375" s="7"/>
      <c r="I375" s="7"/>
      <c r="J375" s="48"/>
      <c r="K375" s="48"/>
      <c r="L375" s="48"/>
      <c r="M375" s="48"/>
      <c r="N375" s="48"/>
      <c r="O375" s="48"/>
      <c r="P375" s="48"/>
      <c r="Q375" s="7"/>
      <c r="R375" s="7"/>
      <c r="S375" s="7"/>
    </row>
    <row r="376" spans="1:19" ht="15" x14ac:dyDescent="0.35">
      <c r="B376" s="7"/>
      <c r="C376" s="7"/>
      <c r="D376" s="7"/>
      <c r="E376" s="7"/>
      <c r="H376" s="7"/>
      <c r="I376" s="7"/>
      <c r="J376" s="48"/>
      <c r="K376" s="48"/>
      <c r="L376" s="48"/>
      <c r="M376" s="48"/>
      <c r="N376" s="48"/>
      <c r="O376" s="48"/>
      <c r="P376" s="48"/>
      <c r="Q376" s="7"/>
      <c r="R376" s="7"/>
      <c r="S376" s="7"/>
    </row>
    <row r="377" spans="1:19" ht="15" x14ac:dyDescent="0.35">
      <c r="B377" s="7"/>
      <c r="C377" s="7"/>
      <c r="D377" s="7"/>
      <c r="E377" s="7"/>
      <c r="H377" s="7"/>
      <c r="I377" s="7"/>
      <c r="J377" s="48"/>
      <c r="K377" s="48"/>
      <c r="L377" s="48"/>
      <c r="M377" s="48"/>
      <c r="N377" s="48"/>
      <c r="O377" s="48"/>
      <c r="P377" s="48"/>
      <c r="Q377" s="7"/>
      <c r="R377" s="7"/>
      <c r="S377" s="7"/>
    </row>
    <row r="378" spans="1:19" ht="15" x14ac:dyDescent="0.35">
      <c r="B378" s="7"/>
      <c r="C378" s="7"/>
      <c r="D378" s="7"/>
      <c r="E378" s="7"/>
      <c r="H378" s="7"/>
      <c r="I378" s="7"/>
      <c r="J378" s="48"/>
      <c r="K378" s="48"/>
      <c r="L378" s="48"/>
      <c r="M378" s="48"/>
      <c r="N378" s="48"/>
      <c r="O378" s="48"/>
      <c r="P378" s="48"/>
      <c r="Q378" s="7"/>
      <c r="R378" s="7"/>
      <c r="S378" s="7"/>
    </row>
    <row r="379" spans="1:19" ht="15" x14ac:dyDescent="0.35">
      <c r="B379" s="7"/>
      <c r="C379" s="7"/>
      <c r="D379" s="7"/>
      <c r="E379" s="7"/>
      <c r="H379" s="7"/>
      <c r="I379" s="7"/>
      <c r="J379" s="48"/>
      <c r="K379" s="48"/>
      <c r="L379" s="48"/>
      <c r="M379" s="48"/>
      <c r="N379" s="48"/>
      <c r="O379" s="48"/>
      <c r="P379" s="48"/>
      <c r="Q379" s="7"/>
      <c r="R379" s="7"/>
      <c r="S379" s="7"/>
    </row>
    <row r="380" spans="1:19" ht="15" x14ac:dyDescent="0.35">
      <c r="B380" s="7"/>
      <c r="C380" s="7"/>
      <c r="D380" s="7"/>
      <c r="E380" s="7"/>
      <c r="H380" s="7"/>
      <c r="I380" s="7"/>
      <c r="J380" s="48"/>
      <c r="K380" s="48"/>
      <c r="L380" s="48"/>
      <c r="M380" s="48"/>
      <c r="N380" s="48"/>
      <c r="O380" s="48"/>
      <c r="P380" s="48"/>
      <c r="Q380" s="7"/>
      <c r="R380" s="7"/>
      <c r="S380" s="7"/>
    </row>
    <row r="381" spans="1:19" ht="15" x14ac:dyDescent="0.35">
      <c r="B381" s="7"/>
      <c r="C381" s="7"/>
      <c r="D381" s="7"/>
      <c r="E381" s="7"/>
      <c r="H381" s="7"/>
      <c r="I381" s="7"/>
      <c r="J381" s="48"/>
      <c r="K381" s="48"/>
      <c r="L381" s="48"/>
      <c r="M381" s="48"/>
      <c r="N381" s="48"/>
      <c r="O381" s="48"/>
      <c r="P381" s="48"/>
      <c r="Q381" s="7"/>
      <c r="R381" s="7"/>
      <c r="S381" s="7"/>
    </row>
    <row r="382" spans="1:19" ht="15" x14ac:dyDescent="0.35">
      <c r="B382" s="7"/>
      <c r="C382" s="7"/>
      <c r="D382" s="7"/>
      <c r="E382" s="7"/>
      <c r="H382" s="7"/>
      <c r="I382" s="7"/>
      <c r="J382" s="48"/>
      <c r="K382" s="48"/>
      <c r="L382" s="48"/>
      <c r="M382" s="48"/>
      <c r="N382" s="48"/>
      <c r="O382" s="48"/>
      <c r="P382" s="48"/>
      <c r="Q382" s="7"/>
      <c r="R382" s="7"/>
      <c r="S382" s="7"/>
    </row>
    <row r="383" spans="1:19" ht="15" x14ac:dyDescent="0.35">
      <c r="B383" s="7"/>
      <c r="C383" s="7"/>
      <c r="D383" s="7"/>
      <c r="E383" s="7"/>
      <c r="H383" s="7"/>
      <c r="I383" s="7"/>
      <c r="J383" s="48"/>
      <c r="K383" s="48"/>
      <c r="L383" s="48"/>
      <c r="M383" s="48"/>
      <c r="N383" s="48"/>
      <c r="O383" s="48"/>
      <c r="P383" s="48"/>
      <c r="Q383" s="7"/>
      <c r="R383" s="7"/>
      <c r="S383" s="7"/>
    </row>
    <row r="384" spans="1:19" ht="15" x14ac:dyDescent="0.35">
      <c r="B384" s="7"/>
      <c r="C384" s="7"/>
      <c r="D384" s="7"/>
      <c r="E384" s="7"/>
      <c r="H384" s="7"/>
      <c r="I384" s="7"/>
      <c r="J384" s="48"/>
      <c r="K384" s="48"/>
      <c r="L384" s="48"/>
      <c r="M384" s="48"/>
      <c r="N384" s="48"/>
      <c r="O384" s="48"/>
      <c r="P384" s="48"/>
      <c r="Q384" s="7"/>
      <c r="R384" s="7"/>
      <c r="S384" s="7"/>
    </row>
    <row r="385" spans="2:19" ht="15" x14ac:dyDescent="0.35">
      <c r="B385" s="7"/>
      <c r="C385" s="7"/>
      <c r="D385" s="7"/>
      <c r="E385" s="7"/>
      <c r="H385" s="7"/>
      <c r="I385" s="7"/>
      <c r="J385" s="48"/>
      <c r="K385" s="48"/>
      <c r="L385" s="48"/>
      <c r="M385" s="48"/>
      <c r="N385" s="48"/>
      <c r="O385" s="48"/>
      <c r="P385" s="48"/>
      <c r="Q385" s="7"/>
      <c r="R385" s="7"/>
      <c r="S385" s="7"/>
    </row>
    <row r="386" spans="2:19" ht="15" x14ac:dyDescent="0.35">
      <c r="B386" s="7"/>
      <c r="C386" s="7"/>
      <c r="D386" s="7"/>
      <c r="E386" s="7"/>
      <c r="H386" s="7"/>
      <c r="I386" s="7"/>
      <c r="J386" s="48"/>
      <c r="K386" s="48"/>
      <c r="L386" s="48"/>
      <c r="M386" s="48"/>
      <c r="N386" s="48"/>
      <c r="O386" s="48"/>
      <c r="P386" s="48"/>
      <c r="Q386" s="7"/>
      <c r="R386" s="7"/>
      <c r="S386" s="7"/>
    </row>
    <row r="387" spans="2:19" ht="15" x14ac:dyDescent="0.35">
      <c r="B387" s="7"/>
      <c r="C387" s="7"/>
      <c r="D387" s="7"/>
      <c r="E387" s="7"/>
      <c r="H387" s="7"/>
      <c r="I387" s="7"/>
      <c r="J387" s="48"/>
      <c r="K387" s="48"/>
      <c r="L387" s="48"/>
      <c r="M387" s="48"/>
      <c r="N387" s="48"/>
      <c r="O387" s="48"/>
      <c r="P387" s="48"/>
      <c r="Q387" s="7"/>
      <c r="R387" s="7"/>
      <c r="S387" s="7"/>
    </row>
    <row r="388" spans="2:19" ht="15" x14ac:dyDescent="0.35">
      <c r="B388" s="7"/>
      <c r="C388" s="7"/>
      <c r="D388" s="7"/>
      <c r="E388" s="7"/>
      <c r="H388" s="7"/>
      <c r="I388" s="7"/>
      <c r="J388" s="48"/>
      <c r="K388" s="48"/>
      <c r="L388" s="48"/>
      <c r="M388" s="48"/>
      <c r="N388" s="48"/>
      <c r="O388" s="48"/>
      <c r="P388" s="48"/>
      <c r="Q388" s="7"/>
      <c r="R388" s="7"/>
      <c r="S388" s="7"/>
    </row>
    <row r="389" spans="2:19" ht="15" x14ac:dyDescent="0.35">
      <c r="B389" s="7"/>
      <c r="C389" s="7"/>
      <c r="D389" s="7"/>
      <c r="E389" s="7"/>
      <c r="H389" s="7"/>
      <c r="I389" s="7"/>
      <c r="J389" s="48"/>
      <c r="K389" s="48"/>
      <c r="L389" s="48"/>
      <c r="M389" s="48"/>
      <c r="N389" s="48"/>
      <c r="O389" s="48"/>
      <c r="P389" s="48"/>
      <c r="Q389" s="7"/>
      <c r="R389" s="7"/>
      <c r="S389" s="7"/>
    </row>
    <row r="390" spans="2:19" ht="15" x14ac:dyDescent="0.35">
      <c r="B390" s="7"/>
      <c r="C390" s="7"/>
      <c r="D390" s="7"/>
      <c r="E390" s="7"/>
      <c r="H390" s="7"/>
      <c r="I390" s="7"/>
      <c r="J390" s="48"/>
      <c r="K390" s="48"/>
      <c r="L390" s="48"/>
      <c r="M390" s="48"/>
      <c r="N390" s="48"/>
      <c r="O390" s="48"/>
      <c r="P390" s="48"/>
      <c r="Q390" s="7"/>
      <c r="R390" s="7"/>
      <c r="S390" s="7"/>
    </row>
    <row r="391" spans="2:19" ht="15" x14ac:dyDescent="0.35">
      <c r="B391" s="7"/>
      <c r="C391" s="7"/>
      <c r="D391" s="7"/>
      <c r="E391" s="7"/>
      <c r="H391" s="7"/>
      <c r="I391" s="7"/>
      <c r="J391" s="48"/>
      <c r="K391" s="48"/>
      <c r="L391" s="48"/>
      <c r="M391" s="48"/>
      <c r="N391" s="48"/>
      <c r="O391" s="48"/>
      <c r="P391" s="48"/>
      <c r="Q391" s="7"/>
      <c r="R391" s="7"/>
      <c r="S391" s="7"/>
    </row>
    <row r="392" spans="2:19" ht="15" x14ac:dyDescent="0.35">
      <c r="B392" s="7"/>
      <c r="C392" s="7"/>
      <c r="D392" s="7"/>
      <c r="E392" s="7"/>
      <c r="H392" s="7"/>
      <c r="I392" s="7"/>
      <c r="J392" s="48"/>
      <c r="K392" s="48"/>
      <c r="L392" s="48"/>
      <c r="M392" s="48"/>
      <c r="N392" s="48"/>
      <c r="O392" s="48"/>
      <c r="P392" s="48"/>
      <c r="Q392" s="7"/>
      <c r="R392" s="7"/>
      <c r="S392" s="7"/>
    </row>
    <row r="393" spans="2:19" ht="15" x14ac:dyDescent="0.35">
      <c r="B393" s="7"/>
      <c r="C393" s="7"/>
      <c r="D393" s="7"/>
      <c r="E393" s="7"/>
      <c r="H393" s="7"/>
      <c r="I393" s="7"/>
      <c r="J393" s="48"/>
      <c r="K393" s="48"/>
      <c r="L393" s="48"/>
      <c r="M393" s="48"/>
      <c r="N393" s="48"/>
      <c r="O393" s="48"/>
      <c r="P393" s="48"/>
      <c r="Q393" s="7"/>
      <c r="R393" s="7"/>
      <c r="S393" s="7"/>
    </row>
    <row r="394" spans="2:19" ht="15" x14ac:dyDescent="0.35">
      <c r="B394" s="7"/>
      <c r="C394" s="7"/>
      <c r="D394" s="7"/>
      <c r="E394" s="7"/>
      <c r="H394" s="7"/>
      <c r="I394" s="7"/>
      <c r="J394" s="48"/>
      <c r="K394" s="48"/>
      <c r="L394" s="48"/>
      <c r="M394" s="48"/>
      <c r="N394" s="48"/>
      <c r="O394" s="48"/>
      <c r="P394" s="48"/>
      <c r="Q394" s="7"/>
      <c r="R394" s="7"/>
      <c r="S394" s="7"/>
    </row>
    <row r="395" spans="2:19" ht="15" x14ac:dyDescent="0.35">
      <c r="B395" s="7"/>
      <c r="C395" s="7"/>
      <c r="D395" s="7"/>
      <c r="E395" s="7"/>
      <c r="H395" s="7"/>
      <c r="I395" s="7"/>
      <c r="J395" s="48"/>
      <c r="K395" s="48"/>
      <c r="L395" s="48"/>
      <c r="M395" s="48"/>
      <c r="N395" s="48"/>
      <c r="O395" s="48"/>
      <c r="P395" s="48"/>
      <c r="Q395" s="7"/>
      <c r="R395" s="7"/>
      <c r="S395" s="7"/>
    </row>
    <row r="396" spans="2:19" ht="15" x14ac:dyDescent="0.35">
      <c r="B396" s="7"/>
      <c r="C396" s="7"/>
      <c r="D396" s="7"/>
      <c r="E396" s="7"/>
      <c r="H396" s="7"/>
      <c r="I396" s="7"/>
      <c r="J396" s="48"/>
      <c r="K396" s="48"/>
      <c r="L396" s="48"/>
      <c r="M396" s="48"/>
      <c r="N396" s="48"/>
      <c r="O396" s="48"/>
      <c r="P396" s="48"/>
      <c r="Q396" s="7"/>
      <c r="R396" s="7"/>
      <c r="S396" s="7"/>
    </row>
    <row r="397" spans="2:19" ht="15" x14ac:dyDescent="0.35">
      <c r="B397" s="7"/>
      <c r="C397" s="7"/>
      <c r="D397" s="7"/>
      <c r="E397" s="7"/>
      <c r="H397" s="7"/>
      <c r="I397" s="7"/>
      <c r="J397" s="48"/>
      <c r="K397" s="48"/>
      <c r="L397" s="48"/>
      <c r="M397" s="48"/>
      <c r="N397" s="48"/>
      <c r="O397" s="48"/>
      <c r="P397" s="48"/>
      <c r="Q397" s="7"/>
      <c r="R397" s="7"/>
      <c r="S397" s="7"/>
    </row>
    <row r="398" spans="2:19" ht="15" x14ac:dyDescent="0.35">
      <c r="B398" s="7"/>
      <c r="C398" s="7"/>
      <c r="D398" s="7"/>
      <c r="E398" s="7"/>
      <c r="H398" s="7"/>
      <c r="I398" s="7"/>
      <c r="J398" s="48"/>
      <c r="K398" s="48"/>
      <c r="L398" s="48"/>
      <c r="M398" s="48"/>
      <c r="N398" s="48"/>
      <c r="O398" s="48"/>
      <c r="P398" s="48"/>
      <c r="Q398" s="7"/>
      <c r="R398" s="7"/>
      <c r="S398" s="7"/>
    </row>
    <row r="399" spans="2:19" ht="15" x14ac:dyDescent="0.35">
      <c r="B399" s="7"/>
      <c r="C399" s="7"/>
      <c r="D399" s="7"/>
      <c r="E399" s="7"/>
      <c r="H399" s="7"/>
      <c r="I399" s="7"/>
      <c r="J399" s="48"/>
      <c r="K399" s="48"/>
      <c r="L399" s="48"/>
      <c r="M399" s="48"/>
      <c r="N399" s="48"/>
      <c r="O399" s="48"/>
      <c r="P399" s="48"/>
      <c r="Q399" s="7"/>
      <c r="R399" s="7"/>
      <c r="S399" s="7"/>
    </row>
    <row r="400" spans="2:19" ht="15" x14ac:dyDescent="0.35">
      <c r="B400" s="7"/>
      <c r="C400" s="7"/>
      <c r="D400" s="7"/>
      <c r="E400" s="7"/>
      <c r="H400" s="7"/>
      <c r="I400" s="7"/>
      <c r="J400" s="48"/>
      <c r="K400" s="48"/>
      <c r="L400" s="48"/>
      <c r="M400" s="48"/>
      <c r="N400" s="48"/>
      <c r="O400" s="48"/>
      <c r="P400" s="48"/>
      <c r="Q400" s="7"/>
      <c r="R400" s="7"/>
      <c r="S400" s="7"/>
    </row>
    <row r="401" spans="2:19" ht="15" x14ac:dyDescent="0.35">
      <c r="B401" s="7"/>
      <c r="C401" s="7"/>
      <c r="D401" s="7"/>
      <c r="E401" s="7"/>
      <c r="H401" s="7"/>
      <c r="I401" s="7"/>
      <c r="J401" s="48"/>
      <c r="K401" s="48"/>
      <c r="L401" s="48"/>
      <c r="M401" s="48"/>
      <c r="N401" s="48"/>
      <c r="O401" s="48"/>
      <c r="P401" s="48"/>
      <c r="Q401" s="7"/>
      <c r="R401" s="7"/>
      <c r="S401" s="7"/>
    </row>
    <row r="402" spans="2:19" ht="15" x14ac:dyDescent="0.35">
      <c r="B402" s="7"/>
      <c r="C402" s="7"/>
      <c r="D402" s="7"/>
      <c r="E402" s="7"/>
      <c r="H402" s="7"/>
      <c r="I402" s="7"/>
      <c r="J402" s="48"/>
      <c r="K402" s="48"/>
      <c r="L402" s="48"/>
      <c r="M402" s="48"/>
      <c r="N402" s="48"/>
      <c r="O402" s="48"/>
      <c r="P402" s="48"/>
      <c r="Q402" s="7"/>
      <c r="R402" s="7"/>
      <c r="S402" s="7"/>
    </row>
    <row r="403" spans="2:19" ht="15" x14ac:dyDescent="0.35">
      <c r="B403" s="7"/>
      <c r="C403" s="7"/>
      <c r="D403" s="7"/>
      <c r="E403" s="7"/>
      <c r="H403" s="7"/>
      <c r="I403" s="7"/>
      <c r="J403" s="48"/>
      <c r="K403" s="48"/>
      <c r="L403" s="48"/>
      <c r="M403" s="48"/>
      <c r="N403" s="48"/>
      <c r="O403" s="48"/>
      <c r="P403" s="48"/>
      <c r="Q403" s="7"/>
      <c r="R403" s="7"/>
      <c r="S403" s="7"/>
    </row>
    <row r="404" spans="2:19" ht="15" x14ac:dyDescent="0.35">
      <c r="B404" s="7"/>
      <c r="C404" s="7"/>
      <c r="D404" s="7"/>
      <c r="E404" s="7"/>
      <c r="H404" s="7"/>
      <c r="I404" s="7"/>
      <c r="J404" s="48"/>
      <c r="K404" s="48"/>
      <c r="L404" s="48"/>
      <c r="M404" s="48"/>
      <c r="N404" s="48"/>
      <c r="O404" s="48"/>
      <c r="P404" s="48"/>
      <c r="Q404" s="7"/>
      <c r="R404" s="7"/>
      <c r="S404" s="7"/>
    </row>
    <row r="405" spans="2:19" ht="15" x14ac:dyDescent="0.35">
      <c r="B405" s="7"/>
      <c r="C405" s="7"/>
      <c r="D405" s="7"/>
      <c r="E405" s="7"/>
      <c r="H405" s="7"/>
      <c r="I405" s="7"/>
      <c r="J405" s="48"/>
      <c r="K405" s="48"/>
      <c r="L405" s="48"/>
      <c r="M405" s="48"/>
      <c r="N405" s="48"/>
      <c r="O405" s="48"/>
      <c r="P405" s="48"/>
      <c r="Q405" s="7"/>
      <c r="R405" s="7"/>
      <c r="S405" s="7"/>
    </row>
    <row r="406" spans="2:19" ht="15" x14ac:dyDescent="0.35">
      <c r="B406" s="7"/>
      <c r="C406" s="7"/>
      <c r="D406" s="7"/>
      <c r="E406" s="7"/>
      <c r="H406" s="7"/>
      <c r="I406" s="7"/>
      <c r="J406" s="48"/>
      <c r="K406" s="48"/>
      <c r="L406" s="48"/>
      <c r="M406" s="48"/>
      <c r="N406" s="48"/>
      <c r="O406" s="48"/>
      <c r="P406" s="48"/>
      <c r="Q406" s="7"/>
      <c r="R406" s="7"/>
      <c r="S406" s="7"/>
    </row>
    <row r="407" spans="2:19" ht="15" x14ac:dyDescent="0.35">
      <c r="B407" s="7"/>
      <c r="C407" s="7"/>
      <c r="D407" s="7"/>
      <c r="E407" s="7"/>
      <c r="H407" s="7"/>
      <c r="I407" s="7"/>
      <c r="J407" s="48"/>
      <c r="K407" s="48"/>
      <c r="L407" s="48"/>
      <c r="M407" s="48"/>
      <c r="N407" s="48"/>
      <c r="O407" s="48"/>
      <c r="P407" s="48"/>
      <c r="Q407" s="7"/>
      <c r="R407" s="7"/>
      <c r="S407" s="7"/>
    </row>
    <row r="408" spans="2:19" ht="15" x14ac:dyDescent="0.35">
      <c r="B408" s="7"/>
      <c r="C408" s="7"/>
      <c r="D408" s="7"/>
      <c r="E408" s="7"/>
      <c r="H408" s="7"/>
      <c r="I408" s="7"/>
      <c r="J408" s="48"/>
      <c r="K408" s="48"/>
      <c r="L408" s="48"/>
      <c r="M408" s="48"/>
      <c r="N408" s="48"/>
      <c r="O408" s="48"/>
      <c r="P408" s="48"/>
      <c r="Q408" s="7"/>
      <c r="R408" s="7"/>
      <c r="S408" s="7"/>
    </row>
    <row r="409" spans="2:19" ht="15" x14ac:dyDescent="0.35">
      <c r="B409" s="7"/>
      <c r="C409" s="7"/>
      <c r="D409" s="7"/>
      <c r="E409" s="7"/>
      <c r="H409" s="7"/>
      <c r="I409" s="7"/>
      <c r="J409" s="48"/>
      <c r="K409" s="48"/>
      <c r="L409" s="48"/>
      <c r="M409" s="48"/>
      <c r="N409" s="48"/>
      <c r="O409" s="48"/>
      <c r="P409" s="48"/>
      <c r="Q409" s="7"/>
      <c r="R409" s="7"/>
      <c r="S409" s="7"/>
    </row>
    <row r="410" spans="2:19" ht="15" x14ac:dyDescent="0.35">
      <c r="B410" s="7"/>
      <c r="C410" s="7"/>
      <c r="D410" s="7"/>
      <c r="E410" s="7"/>
      <c r="H410" s="7"/>
      <c r="I410" s="7"/>
      <c r="J410" s="48"/>
      <c r="K410" s="48"/>
      <c r="L410" s="48"/>
      <c r="M410" s="48"/>
      <c r="N410" s="48"/>
      <c r="O410" s="48"/>
      <c r="P410" s="48"/>
      <c r="Q410" s="7"/>
      <c r="R410" s="7"/>
      <c r="S410" s="7"/>
    </row>
    <row r="411" spans="2:19" ht="15" x14ac:dyDescent="0.35">
      <c r="B411" s="7"/>
      <c r="C411" s="7"/>
      <c r="D411" s="7"/>
      <c r="E411" s="7"/>
      <c r="H411" s="7"/>
      <c r="I411" s="7"/>
      <c r="J411" s="48"/>
      <c r="K411" s="48"/>
      <c r="L411" s="48"/>
      <c r="M411" s="48"/>
      <c r="N411" s="48"/>
      <c r="O411" s="48"/>
      <c r="P411" s="48"/>
      <c r="Q411" s="7"/>
      <c r="R411" s="7"/>
      <c r="S411" s="7"/>
    </row>
    <row r="412" spans="2:19" ht="15" x14ac:dyDescent="0.35">
      <c r="B412" s="7"/>
      <c r="C412" s="7"/>
      <c r="D412" s="7"/>
      <c r="E412" s="7"/>
      <c r="H412" s="7"/>
      <c r="I412" s="7"/>
      <c r="J412" s="48"/>
      <c r="K412" s="48"/>
      <c r="L412" s="48"/>
      <c r="M412" s="48"/>
      <c r="N412" s="48"/>
      <c r="O412" s="48"/>
      <c r="P412" s="48"/>
      <c r="Q412" s="7"/>
      <c r="R412" s="7"/>
      <c r="S412" s="7"/>
    </row>
    <row r="413" spans="2:19" ht="15" x14ac:dyDescent="0.35">
      <c r="B413" s="7"/>
      <c r="C413" s="7"/>
      <c r="D413" s="7"/>
      <c r="E413" s="7"/>
      <c r="H413" s="7"/>
      <c r="I413" s="7"/>
      <c r="J413" s="48"/>
      <c r="K413" s="48"/>
      <c r="L413" s="48"/>
      <c r="M413" s="48"/>
      <c r="N413" s="48"/>
      <c r="O413" s="48"/>
      <c r="P413" s="48"/>
      <c r="Q413" s="7"/>
      <c r="R413" s="7"/>
      <c r="S413" s="7"/>
    </row>
    <row r="414" spans="2:19" ht="15" x14ac:dyDescent="0.35">
      <c r="B414" s="7"/>
      <c r="C414" s="7"/>
      <c r="D414" s="7"/>
      <c r="E414" s="7"/>
      <c r="H414" s="7"/>
      <c r="I414" s="7"/>
      <c r="J414" s="48"/>
      <c r="K414" s="48"/>
      <c r="L414" s="48"/>
      <c r="M414" s="48"/>
      <c r="N414" s="48"/>
      <c r="O414" s="48"/>
      <c r="P414" s="48"/>
      <c r="Q414" s="7"/>
      <c r="R414" s="7"/>
      <c r="S414" s="7"/>
    </row>
    <row r="415" spans="2:19" ht="15" x14ac:dyDescent="0.35">
      <c r="B415" s="7"/>
      <c r="C415" s="7"/>
      <c r="D415" s="7"/>
      <c r="E415" s="7"/>
      <c r="H415" s="7"/>
      <c r="I415" s="7"/>
      <c r="J415" s="48"/>
      <c r="K415" s="48"/>
      <c r="L415" s="48"/>
      <c r="M415" s="48"/>
      <c r="N415" s="48"/>
      <c r="O415" s="48"/>
      <c r="P415" s="48"/>
      <c r="Q415" s="7"/>
      <c r="R415" s="7"/>
      <c r="S415" s="7"/>
    </row>
    <row r="416" spans="2:19" ht="15" x14ac:dyDescent="0.35">
      <c r="B416" s="7"/>
      <c r="C416" s="7"/>
      <c r="D416" s="7"/>
      <c r="E416" s="7"/>
      <c r="H416" s="7"/>
      <c r="I416" s="7"/>
      <c r="J416" s="48"/>
      <c r="K416" s="48"/>
      <c r="L416" s="48"/>
      <c r="M416" s="48"/>
      <c r="N416" s="48"/>
      <c r="O416" s="48"/>
      <c r="P416" s="48"/>
      <c r="Q416" s="7"/>
      <c r="R416" s="7"/>
      <c r="S416" s="7"/>
    </row>
    <row r="417" spans="2:19" ht="15" x14ac:dyDescent="0.35">
      <c r="B417" s="7"/>
      <c r="C417" s="7"/>
      <c r="D417" s="7"/>
      <c r="E417" s="7"/>
      <c r="H417" s="7"/>
      <c r="I417" s="7"/>
      <c r="J417" s="48"/>
      <c r="K417" s="48"/>
      <c r="L417" s="48"/>
      <c r="M417" s="48"/>
      <c r="N417" s="48"/>
      <c r="O417" s="48"/>
      <c r="P417" s="48"/>
      <c r="Q417" s="7"/>
      <c r="R417" s="7"/>
      <c r="S417" s="7"/>
    </row>
    <row r="418" spans="2:19" ht="15" x14ac:dyDescent="0.35">
      <c r="B418" s="7"/>
      <c r="C418" s="7"/>
      <c r="D418" s="7"/>
      <c r="E418" s="7"/>
      <c r="H418" s="7"/>
      <c r="I418" s="7"/>
      <c r="J418" s="48"/>
      <c r="K418" s="48"/>
      <c r="L418" s="48"/>
      <c r="M418" s="48"/>
      <c r="N418" s="48"/>
      <c r="O418" s="48"/>
      <c r="P418" s="48"/>
      <c r="Q418" s="7"/>
      <c r="R418" s="7"/>
      <c r="S418" s="7"/>
    </row>
    <row r="419" spans="2:19" ht="15" x14ac:dyDescent="0.35">
      <c r="B419" s="7"/>
      <c r="C419" s="7"/>
      <c r="D419" s="7"/>
      <c r="E419" s="7"/>
      <c r="H419" s="7"/>
      <c r="I419" s="7"/>
      <c r="J419" s="48"/>
      <c r="K419" s="48"/>
      <c r="L419" s="48"/>
      <c r="M419" s="48"/>
      <c r="N419" s="48"/>
      <c r="O419" s="48"/>
      <c r="P419" s="48"/>
      <c r="Q419" s="7"/>
      <c r="R419" s="7"/>
      <c r="S419" s="7"/>
    </row>
    <row r="420" spans="2:19" ht="15" x14ac:dyDescent="0.35">
      <c r="B420" s="7"/>
      <c r="C420" s="7"/>
      <c r="D420" s="7"/>
      <c r="E420" s="7"/>
      <c r="H420" s="7"/>
      <c r="I420" s="7"/>
      <c r="J420" s="48"/>
      <c r="K420" s="48"/>
      <c r="L420" s="48"/>
      <c r="M420" s="48"/>
      <c r="N420" s="48"/>
      <c r="O420" s="48"/>
      <c r="P420" s="48"/>
      <c r="Q420" s="7"/>
      <c r="R420" s="7"/>
      <c r="S420" s="7"/>
    </row>
    <row r="421" spans="2:19" ht="15" x14ac:dyDescent="0.35">
      <c r="B421" s="7"/>
      <c r="C421" s="7"/>
      <c r="D421" s="7"/>
      <c r="E421" s="7"/>
      <c r="H421" s="7"/>
      <c r="I421" s="7"/>
      <c r="J421" s="48"/>
      <c r="K421" s="48"/>
      <c r="L421" s="48"/>
      <c r="M421" s="48"/>
      <c r="N421" s="48"/>
      <c r="O421" s="48"/>
      <c r="P421" s="48"/>
      <c r="Q421" s="7"/>
      <c r="R421" s="7"/>
      <c r="S421" s="7"/>
    </row>
    <row r="422" spans="2:19" ht="15" x14ac:dyDescent="0.35">
      <c r="B422" s="7"/>
      <c r="C422" s="7"/>
      <c r="D422" s="7"/>
      <c r="E422" s="7"/>
      <c r="H422" s="7"/>
      <c r="I422" s="7"/>
      <c r="J422" s="48"/>
      <c r="K422" s="48"/>
      <c r="L422" s="48"/>
      <c r="M422" s="48"/>
      <c r="N422" s="48"/>
      <c r="O422" s="48"/>
      <c r="P422" s="48"/>
      <c r="Q422" s="7"/>
      <c r="R422" s="7"/>
      <c r="S422" s="7"/>
    </row>
    <row r="423" spans="2:19" ht="15" x14ac:dyDescent="0.35">
      <c r="B423" s="7"/>
      <c r="C423" s="7"/>
      <c r="D423" s="7"/>
      <c r="E423" s="7"/>
      <c r="H423" s="7"/>
      <c r="I423" s="7"/>
      <c r="J423" s="48"/>
      <c r="K423" s="48"/>
      <c r="L423" s="48"/>
      <c r="M423" s="48"/>
      <c r="N423" s="48"/>
      <c r="O423" s="48"/>
      <c r="P423" s="48"/>
      <c r="Q423" s="7"/>
      <c r="R423" s="7"/>
      <c r="S423" s="7"/>
    </row>
    <row r="424" spans="2:19" ht="15" x14ac:dyDescent="0.35">
      <c r="B424" s="7"/>
      <c r="C424" s="7"/>
      <c r="D424" s="7"/>
      <c r="E424" s="7"/>
      <c r="H424" s="7"/>
      <c r="I424" s="7"/>
      <c r="J424" s="48"/>
      <c r="K424" s="48"/>
      <c r="L424" s="48"/>
      <c r="M424" s="48"/>
      <c r="N424" s="48"/>
      <c r="O424" s="48"/>
      <c r="P424" s="48"/>
      <c r="Q424" s="7"/>
      <c r="R424" s="7"/>
      <c r="S424" s="7"/>
    </row>
    <row r="425" spans="2:19" ht="15" x14ac:dyDescent="0.35">
      <c r="B425" s="7"/>
      <c r="C425" s="7"/>
      <c r="D425" s="7"/>
      <c r="E425" s="7"/>
      <c r="H425" s="7"/>
      <c r="I425" s="7"/>
      <c r="J425" s="48"/>
      <c r="K425" s="48"/>
      <c r="L425" s="48"/>
      <c r="M425" s="48"/>
      <c r="N425" s="48"/>
      <c r="O425" s="48"/>
      <c r="P425" s="48"/>
      <c r="Q425" s="7"/>
      <c r="R425" s="7"/>
      <c r="S425" s="7"/>
    </row>
    <row r="426" spans="2:19" ht="15" x14ac:dyDescent="0.35">
      <c r="B426" s="7"/>
      <c r="C426" s="7"/>
      <c r="D426" s="7"/>
      <c r="E426" s="7"/>
      <c r="H426" s="7"/>
      <c r="I426" s="7"/>
      <c r="J426" s="48"/>
      <c r="K426" s="48"/>
      <c r="L426" s="48"/>
      <c r="M426" s="48"/>
      <c r="N426" s="48"/>
      <c r="O426" s="48"/>
      <c r="P426" s="48"/>
      <c r="Q426" s="7"/>
      <c r="R426" s="7"/>
      <c r="S426" s="7"/>
    </row>
    <row r="427" spans="2:19" ht="15" x14ac:dyDescent="0.35">
      <c r="B427" s="7"/>
      <c r="C427" s="7"/>
      <c r="D427" s="7"/>
      <c r="E427" s="7"/>
      <c r="H427" s="7"/>
      <c r="I427" s="7"/>
      <c r="J427" s="48"/>
      <c r="K427" s="48"/>
      <c r="L427" s="48"/>
      <c r="M427" s="48"/>
      <c r="N427" s="48"/>
      <c r="O427" s="48"/>
      <c r="P427" s="48"/>
      <c r="Q427" s="7"/>
      <c r="R427" s="7"/>
      <c r="S427" s="7"/>
    </row>
    <row r="428" spans="2:19" ht="15" x14ac:dyDescent="0.35">
      <c r="B428" s="7"/>
      <c r="C428" s="7"/>
      <c r="D428" s="7"/>
      <c r="E428" s="7"/>
      <c r="H428" s="7"/>
      <c r="I428" s="7"/>
      <c r="J428" s="48"/>
      <c r="K428" s="48"/>
      <c r="L428" s="48"/>
      <c r="M428" s="48"/>
      <c r="N428" s="48"/>
      <c r="O428" s="48"/>
      <c r="P428" s="48"/>
      <c r="Q428" s="7"/>
      <c r="R428" s="7"/>
      <c r="S428" s="7"/>
    </row>
    <row r="429" spans="2:19" ht="15" x14ac:dyDescent="0.35">
      <c r="B429" s="7"/>
      <c r="C429" s="7"/>
      <c r="D429" s="7"/>
      <c r="E429" s="7"/>
      <c r="H429" s="7"/>
      <c r="I429" s="7"/>
      <c r="J429" s="48"/>
      <c r="K429" s="48"/>
      <c r="L429" s="48"/>
      <c r="M429" s="48"/>
      <c r="N429" s="48"/>
      <c r="O429" s="48"/>
      <c r="P429" s="48"/>
      <c r="Q429" s="7"/>
      <c r="R429" s="7"/>
      <c r="S429" s="7"/>
    </row>
    <row r="430" spans="2:19" ht="15" x14ac:dyDescent="0.35">
      <c r="B430" s="7"/>
      <c r="C430" s="7"/>
      <c r="D430" s="7"/>
      <c r="E430" s="7"/>
      <c r="H430" s="7"/>
      <c r="I430" s="7"/>
      <c r="J430" s="48"/>
      <c r="K430" s="48"/>
      <c r="L430" s="48"/>
      <c r="M430" s="48"/>
      <c r="N430" s="48"/>
      <c r="O430" s="48"/>
      <c r="P430" s="48"/>
      <c r="Q430" s="7"/>
      <c r="R430" s="7"/>
      <c r="S430" s="7"/>
    </row>
    <row r="431" spans="2:19" ht="15" x14ac:dyDescent="0.35">
      <c r="B431" s="7"/>
      <c r="C431" s="7"/>
      <c r="D431" s="7"/>
      <c r="E431" s="7"/>
      <c r="H431" s="7"/>
      <c r="I431" s="7"/>
      <c r="J431" s="48"/>
      <c r="K431" s="48"/>
      <c r="L431" s="48"/>
      <c r="M431" s="48"/>
      <c r="N431" s="48"/>
      <c r="O431" s="48"/>
      <c r="P431" s="48"/>
      <c r="Q431" s="7"/>
      <c r="R431" s="7"/>
      <c r="S431" s="7"/>
    </row>
    <row r="432" spans="2:19" ht="15" x14ac:dyDescent="0.35">
      <c r="B432" s="7"/>
      <c r="C432" s="7"/>
      <c r="D432" s="7"/>
      <c r="E432" s="7"/>
      <c r="H432" s="7"/>
      <c r="I432" s="7"/>
      <c r="J432" s="48"/>
      <c r="K432" s="48"/>
      <c r="L432" s="48"/>
      <c r="M432" s="48"/>
      <c r="N432" s="48"/>
      <c r="O432" s="48"/>
      <c r="P432" s="48"/>
      <c r="Q432" s="7"/>
      <c r="R432" s="7"/>
      <c r="S432" s="7"/>
    </row>
    <row r="433" spans="2:19" ht="15" x14ac:dyDescent="0.35">
      <c r="B433" s="7"/>
      <c r="C433" s="7"/>
      <c r="D433" s="7"/>
      <c r="E433" s="7"/>
      <c r="H433" s="7"/>
      <c r="I433" s="7"/>
      <c r="J433" s="48"/>
      <c r="K433" s="48"/>
      <c r="L433" s="48"/>
      <c r="M433" s="48"/>
      <c r="N433" s="48"/>
      <c r="O433" s="48"/>
      <c r="P433" s="48"/>
      <c r="Q433" s="7"/>
      <c r="R433" s="7"/>
      <c r="S433" s="7"/>
    </row>
    <row r="434" spans="2:19" ht="15" x14ac:dyDescent="0.35">
      <c r="B434" s="7"/>
      <c r="C434" s="7"/>
      <c r="D434" s="7"/>
      <c r="E434" s="7"/>
      <c r="H434" s="7"/>
      <c r="I434" s="7"/>
      <c r="J434" s="48"/>
      <c r="K434" s="48"/>
      <c r="L434" s="48"/>
      <c r="M434" s="48"/>
      <c r="N434" s="48"/>
      <c r="O434" s="48"/>
      <c r="P434" s="48"/>
      <c r="Q434" s="7"/>
      <c r="R434" s="7"/>
      <c r="S434" s="7"/>
    </row>
    <row r="435" spans="2:19" ht="15" x14ac:dyDescent="0.35">
      <c r="B435" s="7"/>
      <c r="C435" s="7"/>
      <c r="D435" s="7"/>
      <c r="E435" s="7"/>
      <c r="H435" s="7"/>
      <c r="I435" s="7"/>
      <c r="J435" s="48"/>
      <c r="K435" s="48"/>
      <c r="L435" s="48"/>
      <c r="M435" s="48"/>
      <c r="N435" s="48"/>
      <c r="O435" s="48"/>
      <c r="P435" s="48"/>
      <c r="Q435" s="7"/>
      <c r="R435" s="7"/>
      <c r="S435" s="7"/>
    </row>
    <row r="436" spans="2:19" ht="15" x14ac:dyDescent="0.35">
      <c r="B436" s="7"/>
      <c r="C436" s="7"/>
      <c r="D436" s="7"/>
      <c r="E436" s="7"/>
      <c r="H436" s="7"/>
      <c r="I436" s="7"/>
      <c r="J436" s="48"/>
      <c r="K436" s="48"/>
      <c r="L436" s="48"/>
      <c r="M436" s="48"/>
      <c r="N436" s="48"/>
      <c r="O436" s="48"/>
      <c r="P436" s="48"/>
      <c r="Q436" s="7"/>
      <c r="R436" s="7"/>
      <c r="S436" s="7"/>
    </row>
    <row r="437" spans="2:19" ht="15" x14ac:dyDescent="0.35">
      <c r="B437" s="7"/>
      <c r="C437" s="7"/>
      <c r="D437" s="7"/>
      <c r="E437" s="7"/>
      <c r="H437" s="7"/>
      <c r="I437" s="7"/>
      <c r="J437" s="48"/>
      <c r="K437" s="48"/>
      <c r="L437" s="48"/>
      <c r="M437" s="48"/>
      <c r="N437" s="48"/>
      <c r="O437" s="48"/>
      <c r="P437" s="48"/>
      <c r="Q437" s="7"/>
      <c r="R437" s="7"/>
      <c r="S437" s="7"/>
    </row>
    <row r="438" spans="2:19" ht="15" x14ac:dyDescent="0.35">
      <c r="B438" s="7"/>
      <c r="C438" s="7"/>
      <c r="D438" s="7"/>
      <c r="E438" s="7"/>
      <c r="H438" s="7"/>
      <c r="I438" s="7"/>
      <c r="J438" s="48"/>
      <c r="K438" s="48"/>
      <c r="L438" s="48"/>
      <c r="M438" s="48"/>
      <c r="N438" s="48"/>
      <c r="O438" s="48"/>
      <c r="P438" s="48"/>
      <c r="Q438" s="7"/>
      <c r="R438" s="7"/>
      <c r="S438" s="7"/>
    </row>
    <row r="439" spans="2:19" ht="15" x14ac:dyDescent="0.35">
      <c r="B439" s="7"/>
      <c r="C439" s="7"/>
      <c r="D439" s="7"/>
      <c r="E439" s="7"/>
      <c r="H439" s="7"/>
      <c r="I439" s="7"/>
      <c r="J439" s="48"/>
      <c r="K439" s="48"/>
      <c r="L439" s="48"/>
      <c r="M439" s="48"/>
      <c r="N439" s="48"/>
      <c r="O439" s="48"/>
      <c r="P439" s="48"/>
      <c r="Q439" s="7"/>
      <c r="R439" s="7"/>
      <c r="S439" s="7"/>
    </row>
    <row r="440" spans="2:19" ht="15" x14ac:dyDescent="0.35">
      <c r="B440" s="7"/>
      <c r="C440" s="7"/>
      <c r="D440" s="7"/>
      <c r="E440" s="7"/>
      <c r="H440" s="7"/>
      <c r="I440" s="7"/>
      <c r="J440" s="48"/>
      <c r="K440" s="48"/>
      <c r="L440" s="48"/>
      <c r="M440" s="48"/>
      <c r="N440" s="48"/>
      <c r="O440" s="48"/>
      <c r="P440" s="48"/>
      <c r="Q440" s="7"/>
      <c r="R440" s="7"/>
      <c r="S440" s="7"/>
    </row>
    <row r="441" spans="2:19" ht="15" x14ac:dyDescent="0.35">
      <c r="B441" s="7"/>
      <c r="C441" s="7"/>
      <c r="D441" s="7"/>
      <c r="E441" s="7"/>
      <c r="H441" s="7"/>
      <c r="I441" s="7"/>
      <c r="J441" s="48"/>
      <c r="K441" s="48"/>
      <c r="L441" s="48"/>
      <c r="M441" s="48"/>
      <c r="N441" s="48"/>
      <c r="O441" s="48"/>
      <c r="P441" s="48"/>
      <c r="Q441" s="7"/>
      <c r="R441" s="7"/>
      <c r="S441" s="7"/>
    </row>
    <row r="442" spans="2:19" ht="15" x14ac:dyDescent="0.35">
      <c r="B442" s="7"/>
      <c r="C442" s="7"/>
      <c r="D442" s="7"/>
      <c r="E442" s="7"/>
      <c r="H442" s="7"/>
      <c r="I442" s="7"/>
      <c r="J442" s="48"/>
      <c r="K442" s="48"/>
      <c r="L442" s="48"/>
      <c r="M442" s="48"/>
      <c r="N442" s="48"/>
      <c r="O442" s="48"/>
      <c r="P442" s="48"/>
      <c r="Q442" s="7"/>
      <c r="R442" s="7"/>
      <c r="S442" s="7"/>
    </row>
    <row r="443" spans="2:19" ht="15" x14ac:dyDescent="0.35">
      <c r="B443" s="7"/>
      <c r="C443" s="7"/>
      <c r="D443" s="7"/>
      <c r="E443" s="7"/>
      <c r="H443" s="7"/>
      <c r="I443" s="7"/>
      <c r="J443" s="48"/>
      <c r="K443" s="48"/>
      <c r="L443" s="48"/>
      <c r="M443" s="48"/>
      <c r="N443" s="48"/>
      <c r="O443" s="48"/>
      <c r="P443" s="48"/>
      <c r="Q443" s="7"/>
      <c r="R443" s="7"/>
      <c r="S443" s="7"/>
    </row>
    <row r="444" spans="2:19" ht="15" x14ac:dyDescent="0.35">
      <c r="B444" s="7"/>
      <c r="C444" s="7"/>
      <c r="D444" s="7"/>
      <c r="E444" s="7"/>
      <c r="H444" s="7"/>
      <c r="I444" s="7"/>
      <c r="J444" s="48"/>
      <c r="K444" s="48"/>
      <c r="L444" s="48"/>
      <c r="M444" s="48"/>
      <c r="N444" s="48"/>
      <c r="O444" s="48"/>
      <c r="P444" s="48"/>
      <c r="Q444" s="7"/>
      <c r="R444" s="7"/>
      <c r="S444" s="7"/>
    </row>
    <row r="445" spans="2:19" ht="15" x14ac:dyDescent="0.35">
      <c r="B445" s="7"/>
      <c r="C445" s="7"/>
      <c r="D445" s="7"/>
      <c r="E445" s="7"/>
      <c r="H445" s="7"/>
      <c r="I445" s="7"/>
      <c r="J445" s="48"/>
      <c r="K445" s="48"/>
      <c r="L445" s="48"/>
      <c r="M445" s="48"/>
      <c r="N445" s="48"/>
      <c r="O445" s="48"/>
      <c r="P445" s="48"/>
      <c r="Q445" s="7"/>
      <c r="R445" s="7"/>
      <c r="S445" s="7"/>
    </row>
    <row r="446" spans="2:19" ht="15" x14ac:dyDescent="0.35">
      <c r="B446" s="7"/>
      <c r="C446" s="7"/>
      <c r="D446" s="7"/>
      <c r="E446" s="7"/>
      <c r="H446" s="7"/>
      <c r="I446" s="7"/>
      <c r="J446" s="48"/>
      <c r="K446" s="48"/>
      <c r="L446" s="48"/>
      <c r="M446" s="48"/>
      <c r="N446" s="48"/>
      <c r="O446" s="48"/>
      <c r="P446" s="48"/>
      <c r="Q446" s="7"/>
      <c r="R446" s="7"/>
      <c r="S446" s="7"/>
    </row>
    <row r="447" spans="2:19" ht="15" x14ac:dyDescent="0.35">
      <c r="B447" s="7"/>
      <c r="C447" s="7"/>
      <c r="D447" s="7"/>
      <c r="E447" s="7"/>
      <c r="H447" s="7"/>
      <c r="I447" s="7"/>
      <c r="J447" s="48"/>
      <c r="K447" s="48"/>
      <c r="L447" s="48"/>
      <c r="M447" s="48"/>
      <c r="N447" s="48"/>
      <c r="O447" s="48"/>
      <c r="P447" s="48"/>
      <c r="Q447" s="7"/>
      <c r="R447" s="7"/>
      <c r="S447" s="7"/>
    </row>
    <row r="448" spans="2:19" ht="15" x14ac:dyDescent="0.35">
      <c r="B448" s="7"/>
      <c r="C448" s="7"/>
      <c r="D448" s="7"/>
      <c r="E448" s="7"/>
      <c r="H448" s="7"/>
      <c r="I448" s="7"/>
      <c r="J448" s="48"/>
      <c r="K448" s="48"/>
      <c r="L448" s="48"/>
      <c r="M448" s="48"/>
      <c r="N448" s="48"/>
      <c r="O448" s="48"/>
      <c r="P448" s="48"/>
      <c r="Q448" s="7"/>
      <c r="R448" s="7"/>
      <c r="S448" s="7"/>
    </row>
    <row r="449" spans="2:19" ht="15" x14ac:dyDescent="0.35">
      <c r="B449" s="7"/>
      <c r="C449" s="7"/>
      <c r="D449" s="7"/>
      <c r="E449" s="7"/>
      <c r="H449" s="7"/>
      <c r="I449" s="7"/>
      <c r="J449" s="48"/>
      <c r="K449" s="48"/>
      <c r="L449" s="48"/>
      <c r="M449" s="48"/>
      <c r="N449" s="48"/>
      <c r="O449" s="48"/>
      <c r="P449" s="48"/>
      <c r="Q449" s="7"/>
      <c r="R449" s="7"/>
      <c r="S449" s="7"/>
    </row>
    <row r="450" spans="2:19" ht="15" x14ac:dyDescent="0.35">
      <c r="B450" s="7"/>
      <c r="C450" s="7"/>
      <c r="D450" s="7"/>
      <c r="E450" s="7"/>
      <c r="H450" s="7"/>
      <c r="I450" s="7"/>
      <c r="J450" s="48"/>
      <c r="K450" s="48"/>
      <c r="L450" s="48"/>
      <c r="M450" s="48"/>
      <c r="N450" s="48"/>
      <c r="O450" s="48"/>
      <c r="P450" s="48"/>
      <c r="Q450" s="7"/>
      <c r="R450" s="7"/>
      <c r="S450" s="7"/>
    </row>
    <row r="451" spans="2:19" ht="15" x14ac:dyDescent="0.35">
      <c r="B451" s="7"/>
      <c r="C451" s="7"/>
      <c r="D451" s="7"/>
      <c r="E451" s="7"/>
      <c r="H451" s="7"/>
      <c r="I451" s="7"/>
      <c r="J451" s="48"/>
      <c r="K451" s="48"/>
      <c r="L451" s="48"/>
      <c r="M451" s="48"/>
      <c r="N451" s="48"/>
      <c r="O451" s="48"/>
      <c r="P451" s="48"/>
      <c r="Q451" s="7"/>
      <c r="R451" s="7"/>
      <c r="S451" s="7"/>
    </row>
    <row r="452" spans="2:19" ht="15" x14ac:dyDescent="0.35">
      <c r="B452" s="7"/>
      <c r="C452" s="7"/>
      <c r="D452" s="7"/>
      <c r="E452" s="7"/>
      <c r="H452" s="7"/>
      <c r="I452" s="7"/>
      <c r="J452" s="48"/>
      <c r="K452" s="48"/>
      <c r="L452" s="48"/>
      <c r="M452" s="48"/>
      <c r="N452" s="48"/>
      <c r="O452" s="48"/>
      <c r="P452" s="48"/>
      <c r="Q452" s="7"/>
      <c r="R452" s="7"/>
      <c r="S452" s="7"/>
    </row>
    <row r="453" spans="2:19" ht="15" x14ac:dyDescent="0.35">
      <c r="B453" s="7"/>
      <c r="C453" s="7"/>
      <c r="D453" s="7"/>
      <c r="E453" s="7"/>
      <c r="H453" s="7"/>
      <c r="I453" s="7"/>
      <c r="J453" s="48"/>
      <c r="K453" s="48"/>
      <c r="L453" s="48"/>
      <c r="M453" s="48"/>
      <c r="N453" s="48"/>
      <c r="O453" s="48"/>
      <c r="P453" s="48"/>
      <c r="Q453" s="7"/>
      <c r="R453" s="7"/>
      <c r="S453" s="7"/>
    </row>
    <row r="454" spans="2:19" ht="15" x14ac:dyDescent="0.35">
      <c r="B454" s="7"/>
      <c r="C454" s="7"/>
      <c r="D454" s="7"/>
      <c r="E454" s="7"/>
      <c r="H454" s="7"/>
      <c r="I454" s="7"/>
      <c r="J454" s="48"/>
      <c r="K454" s="48"/>
      <c r="L454" s="48"/>
      <c r="M454" s="48"/>
      <c r="N454" s="48"/>
      <c r="O454" s="48"/>
      <c r="P454" s="48"/>
      <c r="Q454" s="7"/>
      <c r="R454" s="7"/>
      <c r="S454" s="7"/>
    </row>
    <row r="455" spans="2:19" ht="15" x14ac:dyDescent="0.35">
      <c r="B455" s="7"/>
      <c r="C455" s="7"/>
      <c r="D455" s="7"/>
      <c r="E455" s="7"/>
      <c r="H455" s="7"/>
      <c r="I455" s="7"/>
      <c r="J455" s="48"/>
      <c r="K455" s="48"/>
      <c r="L455" s="48"/>
      <c r="M455" s="48"/>
      <c r="N455" s="48"/>
      <c r="O455" s="48"/>
      <c r="P455" s="48"/>
      <c r="Q455" s="7"/>
      <c r="R455" s="7"/>
      <c r="S455" s="7"/>
    </row>
    <row r="456" spans="2:19" ht="15" x14ac:dyDescent="0.35">
      <c r="B456" s="7"/>
      <c r="C456" s="7"/>
      <c r="D456" s="7"/>
      <c r="E456" s="7"/>
      <c r="H456" s="7"/>
      <c r="I456" s="7"/>
      <c r="J456" s="48"/>
      <c r="K456" s="48"/>
      <c r="L456" s="48"/>
      <c r="M456" s="48"/>
      <c r="N456" s="48"/>
      <c r="O456" s="48"/>
      <c r="P456" s="48"/>
      <c r="Q456" s="7"/>
      <c r="R456" s="7"/>
      <c r="S456" s="7"/>
    </row>
    <row r="457" spans="2:19" ht="15" x14ac:dyDescent="0.35">
      <c r="B457" s="7"/>
      <c r="C457" s="7"/>
      <c r="D457" s="7"/>
      <c r="E457" s="7"/>
      <c r="H457" s="7"/>
      <c r="I457" s="7"/>
      <c r="J457" s="48"/>
      <c r="K457" s="48"/>
      <c r="L457" s="48"/>
      <c r="M457" s="48"/>
      <c r="N457" s="48"/>
      <c r="O457" s="48"/>
      <c r="P457" s="48"/>
      <c r="Q457" s="7"/>
      <c r="R457" s="7"/>
      <c r="S457" s="7"/>
    </row>
    <row r="458" spans="2:19" ht="15" x14ac:dyDescent="0.35">
      <c r="B458" s="7"/>
      <c r="C458" s="7"/>
      <c r="D458" s="7"/>
      <c r="E458" s="7"/>
      <c r="H458" s="7"/>
      <c r="I458" s="7"/>
      <c r="J458" s="48"/>
      <c r="K458" s="48"/>
      <c r="L458" s="48"/>
      <c r="M458" s="48"/>
      <c r="N458" s="48"/>
      <c r="O458" s="48"/>
      <c r="P458" s="48"/>
      <c r="Q458" s="7"/>
      <c r="R458" s="7"/>
      <c r="S458" s="7"/>
    </row>
    <row r="459" spans="2:19" ht="15" x14ac:dyDescent="0.35">
      <c r="B459" s="7"/>
      <c r="C459" s="7"/>
      <c r="D459" s="7"/>
      <c r="E459" s="7"/>
      <c r="H459" s="7"/>
      <c r="I459" s="7"/>
      <c r="J459" s="48"/>
      <c r="K459" s="48"/>
      <c r="L459" s="48"/>
      <c r="M459" s="48"/>
      <c r="N459" s="48"/>
      <c r="O459" s="48"/>
      <c r="P459" s="48"/>
      <c r="Q459" s="7"/>
      <c r="R459" s="7"/>
      <c r="S459" s="7"/>
    </row>
    <row r="460" spans="2:19" ht="15" x14ac:dyDescent="0.35">
      <c r="B460" s="7"/>
      <c r="C460" s="7"/>
      <c r="D460" s="7"/>
      <c r="E460" s="7"/>
      <c r="H460" s="7"/>
      <c r="I460" s="7"/>
      <c r="J460" s="48"/>
      <c r="K460" s="48"/>
      <c r="L460" s="48"/>
      <c r="M460" s="48"/>
      <c r="N460" s="48"/>
      <c r="O460" s="48"/>
      <c r="P460" s="48"/>
      <c r="Q460" s="7"/>
      <c r="R460" s="7"/>
      <c r="S460" s="7"/>
    </row>
    <row r="461" spans="2:19" ht="15" x14ac:dyDescent="0.35">
      <c r="B461" s="7"/>
      <c r="C461" s="7"/>
      <c r="D461" s="7"/>
      <c r="E461" s="7"/>
      <c r="H461" s="7"/>
      <c r="I461" s="7"/>
      <c r="J461" s="48"/>
      <c r="K461" s="48"/>
      <c r="L461" s="48"/>
      <c r="M461" s="48"/>
      <c r="N461" s="48"/>
      <c r="O461" s="48"/>
      <c r="P461" s="48"/>
      <c r="Q461" s="7"/>
      <c r="R461" s="7"/>
      <c r="S461" s="7"/>
    </row>
    <row r="462" spans="2:19" ht="15" x14ac:dyDescent="0.35">
      <c r="B462" s="7"/>
      <c r="C462" s="7"/>
      <c r="D462" s="7"/>
      <c r="E462" s="7"/>
      <c r="H462" s="7"/>
      <c r="I462" s="7"/>
      <c r="J462" s="48"/>
      <c r="K462" s="48"/>
      <c r="L462" s="48"/>
      <c r="M462" s="48"/>
      <c r="N462" s="48"/>
      <c r="O462" s="48"/>
      <c r="P462" s="48"/>
      <c r="Q462" s="7"/>
      <c r="R462" s="7"/>
      <c r="S462" s="7"/>
    </row>
    <row r="463" spans="2:19" ht="15" x14ac:dyDescent="0.35">
      <c r="B463" s="7"/>
      <c r="C463" s="7"/>
      <c r="D463" s="7"/>
      <c r="E463" s="7"/>
      <c r="H463" s="7"/>
      <c r="I463" s="7"/>
      <c r="J463" s="48"/>
      <c r="K463" s="48"/>
      <c r="L463" s="48"/>
      <c r="M463" s="48"/>
      <c r="N463" s="48"/>
      <c r="O463" s="48"/>
      <c r="P463" s="48"/>
      <c r="Q463" s="7"/>
      <c r="R463" s="7"/>
      <c r="S463" s="7"/>
    </row>
    <row r="464" spans="2:19" ht="15" x14ac:dyDescent="0.35">
      <c r="B464" s="7"/>
      <c r="C464" s="7"/>
      <c r="D464" s="7"/>
      <c r="E464" s="7"/>
      <c r="H464" s="7"/>
      <c r="I464" s="7"/>
      <c r="J464" s="48"/>
      <c r="K464" s="48"/>
      <c r="L464" s="48"/>
      <c r="M464" s="48"/>
      <c r="N464" s="48"/>
      <c r="O464" s="48"/>
      <c r="P464" s="48"/>
      <c r="Q464" s="7"/>
      <c r="R464" s="7"/>
      <c r="S464" s="7"/>
    </row>
    <row r="465" spans="2:19" ht="15" x14ac:dyDescent="0.35">
      <c r="B465" s="7"/>
      <c r="C465" s="7"/>
      <c r="D465" s="7"/>
      <c r="E465" s="7"/>
      <c r="H465" s="7"/>
      <c r="I465" s="7"/>
      <c r="J465" s="48"/>
      <c r="K465" s="48"/>
      <c r="L465" s="48"/>
      <c r="M465" s="48"/>
      <c r="N465" s="48"/>
      <c r="O465" s="48"/>
      <c r="P465" s="48"/>
      <c r="Q465" s="7"/>
      <c r="R465" s="7"/>
      <c r="S465" s="7"/>
    </row>
    <row r="466" spans="2:19" ht="15" x14ac:dyDescent="0.35">
      <c r="B466" s="7"/>
      <c r="C466" s="7"/>
      <c r="D466" s="7"/>
      <c r="E466" s="7"/>
      <c r="H466" s="7"/>
      <c r="I466" s="7"/>
      <c r="J466" s="48"/>
      <c r="K466" s="48"/>
      <c r="L466" s="48"/>
      <c r="M466" s="48"/>
      <c r="N466" s="48"/>
      <c r="O466" s="48"/>
      <c r="P466" s="48"/>
      <c r="Q466" s="7"/>
      <c r="R466" s="7"/>
      <c r="S466" s="7"/>
    </row>
    <row r="467" spans="2:19" ht="15" x14ac:dyDescent="0.35">
      <c r="B467" s="7"/>
      <c r="C467" s="7"/>
      <c r="D467" s="7"/>
      <c r="E467" s="7"/>
      <c r="H467" s="7"/>
      <c r="I467" s="7"/>
      <c r="J467" s="48"/>
      <c r="K467" s="48"/>
      <c r="L467" s="48"/>
      <c r="M467" s="48"/>
      <c r="N467" s="48"/>
      <c r="O467" s="48"/>
      <c r="P467" s="48"/>
      <c r="Q467" s="7"/>
      <c r="R467" s="7"/>
      <c r="S467" s="7"/>
    </row>
    <row r="468" spans="2:19" ht="15" x14ac:dyDescent="0.35">
      <c r="B468" s="7"/>
      <c r="C468" s="7"/>
      <c r="D468" s="7"/>
      <c r="E468" s="7"/>
      <c r="H468" s="7"/>
      <c r="I468" s="7"/>
      <c r="J468" s="48"/>
      <c r="K468" s="48"/>
      <c r="L468" s="48"/>
      <c r="M468" s="48"/>
      <c r="N468" s="48"/>
      <c r="O468" s="48"/>
      <c r="P468" s="48"/>
      <c r="Q468" s="7"/>
      <c r="R468" s="7"/>
      <c r="S468" s="7"/>
    </row>
    <row r="469" spans="2:19" ht="15" x14ac:dyDescent="0.35">
      <c r="B469" s="7"/>
      <c r="C469" s="7"/>
      <c r="D469" s="7"/>
      <c r="E469" s="7"/>
      <c r="H469" s="7"/>
      <c r="I469" s="7"/>
      <c r="J469" s="48"/>
      <c r="K469" s="48"/>
      <c r="L469" s="48"/>
      <c r="M469" s="48"/>
      <c r="N469" s="48"/>
      <c r="O469" s="48"/>
      <c r="P469" s="48"/>
      <c r="Q469" s="7"/>
      <c r="R469" s="7"/>
      <c r="S469" s="7"/>
    </row>
    <row r="470" spans="2:19" ht="15" x14ac:dyDescent="0.35">
      <c r="B470" s="7"/>
      <c r="C470" s="7"/>
      <c r="D470" s="7"/>
      <c r="E470" s="7"/>
      <c r="H470" s="7"/>
      <c r="I470" s="7"/>
      <c r="J470" s="48"/>
      <c r="K470" s="48"/>
      <c r="L470" s="48"/>
      <c r="M470" s="48"/>
      <c r="N470" s="48"/>
      <c r="O470" s="48"/>
      <c r="P470" s="48"/>
      <c r="Q470" s="7"/>
      <c r="R470" s="7"/>
      <c r="S470" s="7"/>
    </row>
    <row r="471" spans="2:19" ht="15" x14ac:dyDescent="0.35">
      <c r="B471" s="7"/>
      <c r="C471" s="7"/>
      <c r="D471" s="7"/>
      <c r="E471" s="7"/>
      <c r="H471" s="7"/>
      <c r="I471" s="7"/>
      <c r="J471" s="48"/>
      <c r="K471" s="48"/>
      <c r="L471" s="48"/>
      <c r="M471" s="48"/>
      <c r="N471" s="48"/>
      <c r="O471" s="48"/>
      <c r="P471" s="48"/>
      <c r="Q471" s="7"/>
      <c r="R471" s="7"/>
      <c r="S471" s="7"/>
    </row>
    <row r="472" spans="2:19" ht="15" x14ac:dyDescent="0.35">
      <c r="B472" s="7"/>
      <c r="C472" s="7"/>
      <c r="D472" s="7"/>
      <c r="E472" s="7"/>
      <c r="H472" s="7"/>
      <c r="I472" s="7"/>
      <c r="J472" s="48"/>
      <c r="K472" s="48"/>
      <c r="L472" s="48"/>
      <c r="M472" s="48"/>
      <c r="N472" s="48"/>
      <c r="O472" s="48"/>
      <c r="P472" s="48"/>
      <c r="Q472" s="7"/>
      <c r="R472" s="7"/>
      <c r="S472" s="7"/>
    </row>
    <row r="473" spans="2:19" ht="15" x14ac:dyDescent="0.35">
      <c r="B473" s="7"/>
      <c r="C473" s="7"/>
      <c r="D473" s="7"/>
      <c r="E473" s="7"/>
      <c r="H473" s="7"/>
      <c r="I473" s="7"/>
      <c r="J473" s="48"/>
      <c r="K473" s="48"/>
      <c r="L473" s="48"/>
      <c r="M473" s="48"/>
      <c r="N473" s="48"/>
      <c r="O473" s="48"/>
      <c r="P473" s="48"/>
      <c r="Q473" s="7"/>
      <c r="R473" s="7"/>
      <c r="S473" s="7"/>
    </row>
    <row r="474" spans="2:19" ht="15" x14ac:dyDescent="0.35">
      <c r="B474" s="7"/>
      <c r="C474" s="7"/>
      <c r="D474" s="7"/>
      <c r="E474" s="7"/>
      <c r="H474" s="7"/>
      <c r="I474" s="7"/>
      <c r="J474" s="48"/>
      <c r="K474" s="48"/>
      <c r="L474" s="48"/>
      <c r="M474" s="48"/>
      <c r="N474" s="48"/>
      <c r="O474" s="48"/>
      <c r="P474" s="48"/>
      <c r="Q474" s="7"/>
      <c r="R474" s="7"/>
      <c r="S474" s="7"/>
    </row>
    <row r="475" spans="2:19" ht="15" x14ac:dyDescent="0.35">
      <c r="B475" s="7"/>
      <c r="C475" s="7"/>
      <c r="D475" s="7"/>
      <c r="E475" s="7"/>
      <c r="H475" s="7"/>
      <c r="I475" s="7"/>
      <c r="J475" s="48"/>
      <c r="K475" s="48"/>
      <c r="L475" s="48"/>
      <c r="M475" s="48"/>
      <c r="N475" s="48"/>
      <c r="O475" s="48"/>
      <c r="P475" s="48"/>
      <c r="Q475" s="7"/>
      <c r="R475" s="7"/>
      <c r="S475" s="7"/>
    </row>
    <row r="476" spans="2:19" ht="15" x14ac:dyDescent="0.35">
      <c r="B476" s="7"/>
      <c r="C476" s="7"/>
      <c r="D476" s="7"/>
      <c r="E476" s="7"/>
      <c r="H476" s="7"/>
      <c r="I476" s="7"/>
      <c r="J476" s="48"/>
      <c r="K476" s="48"/>
      <c r="L476" s="48"/>
      <c r="M476" s="48"/>
      <c r="N476" s="48"/>
      <c r="O476" s="48"/>
      <c r="P476" s="48"/>
      <c r="Q476" s="7"/>
      <c r="R476" s="7"/>
      <c r="S476" s="7"/>
    </row>
    <row r="477" spans="2:19" ht="15" x14ac:dyDescent="0.35">
      <c r="B477" s="7"/>
      <c r="C477" s="7"/>
      <c r="D477" s="7"/>
      <c r="E477" s="7"/>
      <c r="H477" s="7"/>
      <c r="I477" s="7"/>
      <c r="J477" s="48"/>
      <c r="K477" s="48"/>
      <c r="L477" s="48"/>
      <c r="M477" s="48"/>
      <c r="N477" s="48"/>
      <c r="O477" s="48"/>
      <c r="P477" s="48"/>
      <c r="Q477" s="7"/>
      <c r="R477" s="7"/>
      <c r="S477" s="7"/>
    </row>
    <row r="478" spans="2:19" ht="15" x14ac:dyDescent="0.35">
      <c r="B478" s="7"/>
      <c r="C478" s="7"/>
      <c r="D478" s="7"/>
      <c r="E478" s="7"/>
      <c r="H478" s="7"/>
      <c r="I478" s="7"/>
      <c r="J478" s="48"/>
      <c r="K478" s="48"/>
      <c r="L478" s="48"/>
      <c r="M478" s="48"/>
      <c r="N478" s="48"/>
      <c r="O478" s="48"/>
      <c r="P478" s="48"/>
      <c r="Q478" s="7"/>
      <c r="R478" s="7"/>
      <c r="S478" s="7"/>
    </row>
    <row r="479" spans="2:19" ht="15" x14ac:dyDescent="0.35">
      <c r="B479" s="7"/>
      <c r="C479" s="7"/>
      <c r="D479" s="7"/>
      <c r="E479" s="7"/>
      <c r="H479" s="7"/>
      <c r="I479" s="7"/>
      <c r="J479" s="48"/>
      <c r="K479" s="48"/>
      <c r="L479" s="48"/>
      <c r="M479" s="48"/>
      <c r="N479" s="48"/>
      <c r="O479" s="48"/>
      <c r="P479" s="48"/>
      <c r="Q479" s="7"/>
      <c r="R479" s="7"/>
      <c r="S479" s="7"/>
    </row>
    <row r="480" spans="2:19" ht="15" x14ac:dyDescent="0.35">
      <c r="B480" s="7"/>
      <c r="C480" s="7"/>
      <c r="D480" s="7"/>
      <c r="E480" s="7"/>
      <c r="H480" s="7"/>
      <c r="I480" s="7"/>
      <c r="J480" s="48"/>
      <c r="K480" s="48"/>
      <c r="L480" s="48"/>
      <c r="M480" s="48"/>
      <c r="N480" s="48"/>
      <c r="O480" s="48"/>
      <c r="P480" s="48"/>
      <c r="Q480" s="7"/>
      <c r="R480" s="7"/>
      <c r="S480" s="7"/>
    </row>
    <row r="481" spans="2:19" ht="15" x14ac:dyDescent="0.35">
      <c r="B481" s="7"/>
      <c r="C481" s="7"/>
      <c r="D481" s="7"/>
      <c r="E481" s="7"/>
      <c r="H481" s="7"/>
      <c r="I481" s="7"/>
      <c r="J481" s="48"/>
      <c r="K481" s="48"/>
      <c r="L481" s="48"/>
      <c r="M481" s="48"/>
      <c r="N481" s="48"/>
      <c r="O481" s="48"/>
      <c r="P481" s="48"/>
      <c r="Q481" s="7"/>
      <c r="R481" s="7"/>
      <c r="S481" s="7"/>
    </row>
    <row r="482" spans="2:19" ht="15" x14ac:dyDescent="0.35">
      <c r="B482" s="7"/>
      <c r="C482" s="7"/>
      <c r="D482" s="7"/>
      <c r="E482" s="7"/>
      <c r="H482" s="7"/>
      <c r="I482" s="7"/>
      <c r="J482" s="48"/>
      <c r="K482" s="48"/>
      <c r="L482" s="48"/>
      <c r="M482" s="48"/>
      <c r="N482" s="48"/>
      <c r="O482" s="48"/>
      <c r="P482" s="48"/>
      <c r="Q482" s="7"/>
      <c r="R482" s="7"/>
      <c r="S482" s="7"/>
    </row>
    <row r="483" spans="2:19" ht="15" x14ac:dyDescent="0.35">
      <c r="B483" s="7"/>
      <c r="C483" s="7"/>
      <c r="D483" s="7"/>
      <c r="E483" s="7"/>
      <c r="H483" s="7"/>
      <c r="I483" s="7"/>
      <c r="J483" s="48"/>
      <c r="K483" s="48"/>
      <c r="L483" s="48"/>
      <c r="M483" s="48"/>
      <c r="N483" s="48"/>
      <c r="O483" s="48"/>
      <c r="P483" s="48"/>
      <c r="Q483" s="7"/>
      <c r="R483" s="7"/>
      <c r="S483" s="7"/>
    </row>
    <row r="484" spans="2:19" ht="15" x14ac:dyDescent="0.35">
      <c r="B484" s="7"/>
      <c r="C484" s="7"/>
      <c r="D484" s="7"/>
      <c r="E484" s="7"/>
      <c r="H484" s="7"/>
      <c r="I484" s="7"/>
      <c r="J484" s="48"/>
      <c r="K484" s="48"/>
      <c r="L484" s="48"/>
      <c r="M484" s="48"/>
      <c r="N484" s="48"/>
      <c r="O484" s="48"/>
      <c r="P484" s="48"/>
      <c r="Q484" s="7"/>
      <c r="R484" s="7"/>
      <c r="S484" s="7"/>
    </row>
    <row r="485" spans="2:19" ht="15" x14ac:dyDescent="0.35">
      <c r="B485" s="7"/>
      <c r="C485" s="7"/>
      <c r="D485" s="7"/>
      <c r="E485" s="7"/>
      <c r="H485" s="7"/>
      <c r="I485" s="7"/>
      <c r="J485" s="48"/>
      <c r="K485" s="48"/>
      <c r="L485" s="48"/>
      <c r="M485" s="48"/>
      <c r="N485" s="48"/>
      <c r="O485" s="48"/>
      <c r="P485" s="48"/>
      <c r="Q485" s="7"/>
      <c r="R485" s="7"/>
      <c r="S485" s="7"/>
    </row>
    <row r="486" spans="2:19" ht="15" x14ac:dyDescent="0.35">
      <c r="B486" s="7"/>
      <c r="C486" s="7"/>
      <c r="D486" s="7"/>
      <c r="E486" s="7"/>
      <c r="H486" s="7"/>
      <c r="I486" s="7"/>
      <c r="J486" s="48"/>
      <c r="K486" s="48"/>
      <c r="L486" s="48"/>
      <c r="M486" s="48"/>
      <c r="N486" s="48"/>
      <c r="O486" s="48"/>
      <c r="P486" s="48"/>
      <c r="Q486" s="7"/>
      <c r="R486" s="7"/>
      <c r="S486" s="7"/>
    </row>
    <row r="487" spans="2:19" ht="15" x14ac:dyDescent="0.35">
      <c r="B487" s="7"/>
      <c r="C487" s="7"/>
      <c r="D487" s="7"/>
      <c r="E487" s="7"/>
      <c r="H487" s="7"/>
      <c r="I487" s="7"/>
      <c r="J487" s="48"/>
      <c r="K487" s="48"/>
      <c r="L487" s="48"/>
      <c r="M487" s="48"/>
      <c r="N487" s="48"/>
      <c r="O487" s="48"/>
      <c r="P487" s="48"/>
      <c r="Q487" s="7"/>
      <c r="R487" s="7"/>
      <c r="S487" s="7"/>
    </row>
    <row r="488" spans="2:19" ht="15" x14ac:dyDescent="0.35">
      <c r="B488" s="7"/>
      <c r="C488" s="7"/>
      <c r="D488" s="7"/>
      <c r="E488" s="7"/>
      <c r="H488" s="7"/>
      <c r="I488" s="7"/>
      <c r="J488" s="48"/>
      <c r="K488" s="48"/>
      <c r="L488" s="48"/>
      <c r="M488" s="48"/>
      <c r="N488" s="48"/>
      <c r="O488" s="48"/>
      <c r="P488" s="48"/>
      <c r="Q488" s="7"/>
      <c r="R488" s="7"/>
      <c r="S488" s="7"/>
    </row>
    <row r="489" spans="2:19" ht="15" x14ac:dyDescent="0.35">
      <c r="B489" s="7"/>
      <c r="C489" s="7"/>
      <c r="D489" s="7"/>
      <c r="E489" s="7"/>
      <c r="H489" s="7"/>
      <c r="I489" s="7"/>
      <c r="J489" s="48"/>
      <c r="K489" s="48"/>
      <c r="L489" s="48"/>
      <c r="M489" s="48"/>
      <c r="N489" s="48"/>
      <c r="O489" s="48"/>
      <c r="P489" s="48"/>
      <c r="Q489" s="7"/>
      <c r="R489" s="7"/>
      <c r="S489" s="7"/>
    </row>
    <row r="490" spans="2:19" ht="15" x14ac:dyDescent="0.35">
      <c r="B490" s="7"/>
      <c r="C490" s="7"/>
      <c r="D490" s="7"/>
      <c r="E490" s="7"/>
      <c r="H490" s="7"/>
      <c r="I490" s="7"/>
      <c r="J490" s="48"/>
      <c r="K490" s="48"/>
      <c r="L490" s="48"/>
      <c r="M490" s="48"/>
      <c r="N490" s="48"/>
      <c r="O490" s="48"/>
      <c r="P490" s="48"/>
      <c r="Q490" s="7"/>
      <c r="R490" s="7"/>
      <c r="S490" s="7"/>
    </row>
    <row r="491" spans="2:19" ht="15" x14ac:dyDescent="0.35">
      <c r="B491" s="7"/>
      <c r="C491" s="7"/>
      <c r="D491" s="7"/>
      <c r="E491" s="7"/>
      <c r="H491" s="7"/>
      <c r="I491" s="7"/>
      <c r="J491" s="48"/>
      <c r="K491" s="48"/>
      <c r="L491" s="48"/>
      <c r="M491" s="48"/>
      <c r="N491" s="48"/>
      <c r="O491" s="48"/>
      <c r="P491" s="48"/>
      <c r="Q491" s="7"/>
      <c r="R491" s="7"/>
      <c r="S491" s="7"/>
    </row>
    <row r="492" spans="2:19" ht="15" x14ac:dyDescent="0.35">
      <c r="B492" s="7"/>
      <c r="C492" s="7"/>
      <c r="D492" s="7"/>
      <c r="E492" s="7"/>
      <c r="H492" s="7"/>
      <c r="I492" s="7"/>
      <c r="J492" s="48"/>
      <c r="K492" s="48"/>
      <c r="L492" s="48"/>
      <c r="M492" s="48"/>
      <c r="N492" s="48"/>
      <c r="O492" s="48"/>
      <c r="P492" s="48"/>
      <c r="Q492" s="7"/>
      <c r="R492" s="7"/>
      <c r="S492" s="7"/>
    </row>
    <row r="493" spans="2:19" ht="15" x14ac:dyDescent="0.35">
      <c r="B493" s="7"/>
      <c r="C493" s="7"/>
      <c r="D493" s="7"/>
      <c r="E493" s="7"/>
      <c r="H493" s="7"/>
      <c r="I493" s="7"/>
      <c r="J493" s="48"/>
      <c r="K493" s="48"/>
      <c r="L493" s="48"/>
      <c r="M493" s="48"/>
      <c r="N493" s="48"/>
      <c r="O493" s="48"/>
      <c r="P493" s="48"/>
      <c r="Q493" s="7"/>
      <c r="R493" s="7"/>
      <c r="S493" s="7"/>
    </row>
    <row r="494" spans="2:19" ht="15" x14ac:dyDescent="0.35">
      <c r="B494" s="7"/>
      <c r="C494" s="7"/>
      <c r="D494" s="7"/>
      <c r="E494" s="7"/>
      <c r="H494" s="7"/>
      <c r="I494" s="7"/>
      <c r="J494" s="48"/>
      <c r="K494" s="48"/>
      <c r="L494" s="48"/>
      <c r="M494" s="48"/>
      <c r="N494" s="48"/>
      <c r="O494" s="48"/>
      <c r="P494" s="48"/>
      <c r="Q494" s="7"/>
      <c r="R494" s="7"/>
      <c r="S494" s="7"/>
    </row>
    <row r="495" spans="2:19" ht="15" x14ac:dyDescent="0.35">
      <c r="B495" s="7"/>
      <c r="C495" s="7"/>
      <c r="D495" s="7"/>
      <c r="E495" s="7"/>
      <c r="H495" s="7"/>
      <c r="I495" s="7"/>
      <c r="J495" s="48"/>
      <c r="K495" s="48"/>
      <c r="L495" s="48"/>
      <c r="M495" s="48"/>
      <c r="N495" s="48"/>
      <c r="O495" s="48"/>
      <c r="P495" s="48"/>
      <c r="Q495" s="7"/>
      <c r="R495" s="7"/>
      <c r="S495" s="7"/>
    </row>
    <row r="496" spans="2:19" ht="15" x14ac:dyDescent="0.35">
      <c r="B496" s="7"/>
      <c r="C496" s="7"/>
      <c r="D496" s="7"/>
      <c r="E496" s="7"/>
      <c r="H496" s="7"/>
      <c r="I496" s="7"/>
      <c r="J496" s="48"/>
      <c r="K496" s="48"/>
      <c r="L496" s="48"/>
      <c r="M496" s="48"/>
      <c r="N496" s="48"/>
      <c r="O496" s="48"/>
      <c r="P496" s="48"/>
      <c r="Q496" s="7"/>
      <c r="R496" s="7"/>
      <c r="S496" s="7"/>
    </row>
    <row r="497" spans="2:19" ht="15" x14ac:dyDescent="0.35">
      <c r="B497" s="7"/>
      <c r="C497" s="7"/>
      <c r="D497" s="7"/>
      <c r="E497" s="7"/>
      <c r="H497" s="7"/>
      <c r="I497" s="7"/>
      <c r="J497" s="48"/>
      <c r="K497" s="48"/>
      <c r="L497" s="48"/>
      <c r="M497" s="48"/>
      <c r="N497" s="48"/>
      <c r="O497" s="48"/>
      <c r="P497" s="48"/>
      <c r="Q497" s="7"/>
      <c r="R497" s="7"/>
      <c r="S497" s="7"/>
    </row>
    <row r="498" spans="2:19" ht="15" x14ac:dyDescent="0.35">
      <c r="B498" s="7"/>
      <c r="C498" s="7"/>
      <c r="D498" s="7"/>
      <c r="E498" s="7"/>
      <c r="H498" s="7"/>
      <c r="I498" s="7"/>
      <c r="J498" s="48"/>
      <c r="K498" s="48"/>
      <c r="L498" s="48"/>
      <c r="M498" s="48"/>
      <c r="N498" s="48"/>
      <c r="O498" s="48"/>
      <c r="P498" s="48"/>
      <c r="Q498" s="7"/>
      <c r="R498" s="7"/>
      <c r="S498" s="7"/>
    </row>
    <row r="499" spans="2:19" ht="15" x14ac:dyDescent="0.35">
      <c r="B499" s="7"/>
      <c r="C499" s="7"/>
      <c r="D499" s="7"/>
      <c r="E499" s="7"/>
      <c r="H499" s="7"/>
      <c r="I499" s="7"/>
      <c r="J499" s="48"/>
      <c r="K499" s="48"/>
      <c r="L499" s="48"/>
      <c r="M499" s="48"/>
      <c r="N499" s="48"/>
      <c r="O499" s="48"/>
      <c r="P499" s="48"/>
      <c r="Q499" s="7"/>
      <c r="R499" s="7"/>
      <c r="S499" s="7"/>
    </row>
    <row r="500" spans="2:19" ht="15" x14ac:dyDescent="0.35">
      <c r="B500" s="7"/>
      <c r="C500" s="7"/>
      <c r="D500" s="7"/>
      <c r="E500" s="7"/>
      <c r="H500" s="7"/>
      <c r="I500" s="7"/>
      <c r="J500" s="48"/>
      <c r="K500" s="48"/>
      <c r="L500" s="48"/>
      <c r="M500" s="48"/>
      <c r="N500" s="48"/>
      <c r="O500" s="48"/>
      <c r="P500" s="48"/>
      <c r="Q500" s="7"/>
      <c r="R500" s="7"/>
      <c r="S500" s="7"/>
    </row>
    <row r="501" spans="2:19" ht="15" x14ac:dyDescent="0.35">
      <c r="B501" s="7"/>
      <c r="C501" s="7"/>
      <c r="D501" s="7"/>
      <c r="E501" s="7"/>
      <c r="H501" s="7"/>
      <c r="I501" s="7"/>
      <c r="J501" s="48"/>
      <c r="K501" s="48"/>
      <c r="L501" s="48"/>
      <c r="M501" s="48"/>
      <c r="N501" s="48"/>
      <c r="O501" s="48"/>
      <c r="P501" s="48"/>
      <c r="Q501" s="7"/>
      <c r="R501" s="7"/>
      <c r="S501" s="7"/>
    </row>
    <row r="502" spans="2:19" ht="15" x14ac:dyDescent="0.35">
      <c r="B502" s="7"/>
      <c r="C502" s="7"/>
      <c r="D502" s="7"/>
      <c r="E502" s="7"/>
      <c r="H502" s="7"/>
      <c r="I502" s="7"/>
      <c r="J502" s="48"/>
      <c r="K502" s="48"/>
      <c r="L502" s="48"/>
      <c r="M502" s="48"/>
      <c r="N502" s="48"/>
      <c r="O502" s="48"/>
      <c r="P502" s="48"/>
      <c r="Q502" s="7"/>
      <c r="R502" s="7"/>
      <c r="S502" s="7"/>
    </row>
    <row r="503" spans="2:19" ht="15" x14ac:dyDescent="0.35">
      <c r="B503" s="7"/>
      <c r="C503" s="7"/>
      <c r="D503" s="7"/>
      <c r="E503" s="7"/>
      <c r="H503" s="7"/>
      <c r="I503" s="7"/>
      <c r="J503" s="48"/>
      <c r="K503" s="48"/>
      <c r="L503" s="48"/>
      <c r="M503" s="48"/>
      <c r="N503" s="48"/>
      <c r="O503" s="48"/>
      <c r="P503" s="48"/>
      <c r="Q503" s="7"/>
      <c r="R503" s="7"/>
      <c r="S503" s="7"/>
    </row>
    <row r="504" spans="2:19" ht="15" x14ac:dyDescent="0.35">
      <c r="B504" s="7"/>
      <c r="C504" s="7"/>
      <c r="D504" s="7"/>
      <c r="E504" s="7"/>
      <c r="H504" s="7"/>
      <c r="I504" s="7"/>
      <c r="J504" s="48"/>
      <c r="K504" s="48"/>
      <c r="L504" s="48"/>
      <c r="M504" s="48"/>
      <c r="N504" s="48"/>
      <c r="O504" s="48"/>
      <c r="P504" s="48"/>
      <c r="Q504" s="7"/>
      <c r="R504" s="7"/>
      <c r="S504" s="7"/>
    </row>
    <row r="505" spans="2:19" ht="15" x14ac:dyDescent="0.35">
      <c r="B505" s="7"/>
      <c r="C505" s="7"/>
      <c r="D505" s="7"/>
      <c r="E505" s="7"/>
      <c r="H505" s="7"/>
      <c r="I505" s="7"/>
      <c r="J505" s="48"/>
      <c r="K505" s="48"/>
      <c r="L505" s="48"/>
      <c r="M505" s="48"/>
      <c r="N505" s="48"/>
      <c r="O505" s="48"/>
      <c r="P505" s="48"/>
      <c r="Q505" s="7"/>
      <c r="R505" s="7"/>
      <c r="S505" s="7"/>
    </row>
    <row r="506" spans="2:19" ht="15" x14ac:dyDescent="0.35">
      <c r="B506" s="7"/>
      <c r="C506" s="7"/>
      <c r="D506" s="7"/>
      <c r="E506" s="7"/>
      <c r="H506" s="7"/>
      <c r="I506" s="7"/>
      <c r="J506" s="48"/>
      <c r="K506" s="48"/>
      <c r="L506" s="48"/>
      <c r="M506" s="48"/>
      <c r="N506" s="48"/>
      <c r="O506" s="48"/>
      <c r="P506" s="48"/>
      <c r="Q506" s="7"/>
      <c r="R506" s="7"/>
      <c r="S506" s="7"/>
    </row>
    <row r="507" spans="2:19" ht="15" x14ac:dyDescent="0.35">
      <c r="B507" s="7"/>
      <c r="C507" s="7"/>
      <c r="D507" s="7"/>
      <c r="E507" s="7"/>
      <c r="H507" s="7"/>
      <c r="I507" s="7"/>
      <c r="J507" s="48"/>
      <c r="K507" s="48"/>
      <c r="L507" s="48"/>
      <c r="M507" s="48"/>
      <c r="N507" s="48"/>
      <c r="O507" s="48"/>
      <c r="P507" s="48"/>
      <c r="Q507" s="7"/>
      <c r="R507" s="7"/>
      <c r="S507" s="7"/>
    </row>
    <row r="508" spans="2:19" ht="15" x14ac:dyDescent="0.35">
      <c r="B508" s="7"/>
      <c r="C508" s="7"/>
      <c r="D508" s="7"/>
      <c r="E508" s="7"/>
      <c r="H508" s="7"/>
      <c r="I508" s="7"/>
      <c r="J508" s="48"/>
      <c r="K508" s="48"/>
      <c r="L508" s="48"/>
      <c r="M508" s="48"/>
      <c r="N508" s="48"/>
      <c r="O508" s="48"/>
      <c r="P508" s="48"/>
      <c r="Q508" s="7"/>
      <c r="R508" s="7"/>
      <c r="S508" s="7"/>
    </row>
    <row r="509" spans="2:19" ht="15" x14ac:dyDescent="0.35">
      <c r="B509" s="7"/>
      <c r="C509" s="7"/>
      <c r="D509" s="7"/>
      <c r="E509" s="7"/>
      <c r="H509" s="7"/>
      <c r="I509" s="7"/>
      <c r="J509" s="48"/>
      <c r="K509" s="48"/>
      <c r="L509" s="48"/>
      <c r="M509" s="48"/>
      <c r="N509" s="48"/>
      <c r="O509" s="48"/>
      <c r="P509" s="48"/>
      <c r="Q509" s="7"/>
      <c r="R509" s="7"/>
      <c r="S509" s="7"/>
    </row>
    <row r="510" spans="2:19" ht="15" x14ac:dyDescent="0.35">
      <c r="B510" s="7"/>
      <c r="C510" s="7"/>
      <c r="D510" s="7"/>
      <c r="E510" s="7"/>
      <c r="H510" s="7"/>
      <c r="I510" s="7"/>
      <c r="J510" s="48"/>
      <c r="K510" s="48"/>
      <c r="L510" s="48"/>
      <c r="M510" s="48"/>
      <c r="N510" s="48"/>
      <c r="O510" s="48"/>
      <c r="P510" s="48"/>
      <c r="Q510" s="7"/>
      <c r="R510" s="7"/>
      <c r="S510" s="7"/>
    </row>
    <row r="511" spans="2:19" ht="15" x14ac:dyDescent="0.35">
      <c r="B511" s="7"/>
      <c r="C511" s="7"/>
      <c r="D511" s="7"/>
      <c r="E511" s="7"/>
      <c r="H511" s="7"/>
      <c r="I511" s="7"/>
      <c r="J511" s="48"/>
      <c r="K511" s="48"/>
      <c r="L511" s="48"/>
      <c r="M511" s="48"/>
      <c r="N511" s="48"/>
      <c r="O511" s="48"/>
      <c r="P511" s="48"/>
      <c r="Q511" s="7"/>
      <c r="R511" s="7"/>
      <c r="S511" s="7"/>
    </row>
    <row r="512" spans="2:19" ht="15" x14ac:dyDescent="0.35">
      <c r="B512" s="7"/>
      <c r="C512" s="7"/>
      <c r="D512" s="7"/>
      <c r="E512" s="7"/>
      <c r="H512" s="7"/>
      <c r="I512" s="7"/>
      <c r="J512" s="48"/>
      <c r="K512" s="48"/>
      <c r="L512" s="48"/>
      <c r="M512" s="48"/>
      <c r="N512" s="48"/>
      <c r="O512" s="48"/>
      <c r="P512" s="48"/>
      <c r="Q512" s="7"/>
      <c r="R512" s="7"/>
      <c r="S512" s="7"/>
    </row>
    <row r="513" spans="2:19" ht="15" x14ac:dyDescent="0.35">
      <c r="B513" s="7"/>
      <c r="C513" s="7"/>
      <c r="D513" s="7"/>
      <c r="E513" s="7"/>
      <c r="H513" s="7"/>
      <c r="I513" s="7"/>
      <c r="J513" s="48"/>
      <c r="K513" s="48"/>
      <c r="L513" s="48"/>
      <c r="M513" s="48"/>
      <c r="N513" s="48"/>
      <c r="O513" s="48"/>
      <c r="P513" s="48"/>
      <c r="Q513" s="7"/>
      <c r="R513" s="7"/>
      <c r="S513" s="7"/>
    </row>
    <row r="514" spans="2:19" ht="15" x14ac:dyDescent="0.35">
      <c r="B514" s="7"/>
      <c r="C514" s="7"/>
      <c r="D514" s="7"/>
      <c r="E514" s="7"/>
      <c r="H514" s="7"/>
      <c r="I514" s="7"/>
      <c r="J514" s="48"/>
      <c r="K514" s="48"/>
      <c r="L514" s="48"/>
      <c r="M514" s="48"/>
      <c r="N514" s="48"/>
      <c r="O514" s="48"/>
      <c r="P514" s="48"/>
      <c r="Q514" s="7"/>
      <c r="R514" s="7"/>
      <c r="S514" s="7"/>
    </row>
    <row r="515" spans="2:19" ht="15" x14ac:dyDescent="0.35">
      <c r="B515" s="7"/>
      <c r="C515" s="7"/>
      <c r="D515" s="7"/>
      <c r="E515" s="7"/>
      <c r="H515" s="7"/>
      <c r="I515" s="7"/>
      <c r="J515" s="48"/>
      <c r="K515" s="48"/>
      <c r="L515" s="48"/>
      <c r="M515" s="48"/>
      <c r="N515" s="48"/>
      <c r="O515" s="48"/>
      <c r="P515" s="48"/>
      <c r="Q515" s="7"/>
      <c r="R515" s="7"/>
      <c r="S515" s="7"/>
    </row>
    <row r="516" spans="2:19" ht="15" x14ac:dyDescent="0.35">
      <c r="B516" s="7"/>
      <c r="C516" s="7"/>
      <c r="D516" s="7"/>
      <c r="E516" s="7"/>
      <c r="H516" s="7"/>
      <c r="I516" s="7"/>
      <c r="J516" s="48"/>
      <c r="K516" s="48"/>
      <c r="L516" s="48"/>
      <c r="M516" s="48"/>
      <c r="N516" s="48"/>
      <c r="O516" s="48"/>
      <c r="P516" s="48"/>
      <c r="Q516" s="7"/>
      <c r="R516" s="7"/>
      <c r="S516" s="7"/>
    </row>
    <row r="517" spans="2:19" ht="15" x14ac:dyDescent="0.35">
      <c r="B517" s="7"/>
      <c r="C517" s="7"/>
      <c r="D517" s="7"/>
      <c r="E517" s="7"/>
      <c r="H517" s="7"/>
      <c r="I517" s="7"/>
      <c r="J517" s="48"/>
      <c r="K517" s="48"/>
      <c r="L517" s="48"/>
      <c r="M517" s="48"/>
      <c r="N517" s="48"/>
      <c r="O517" s="48"/>
      <c r="P517" s="48"/>
      <c r="Q517" s="7"/>
      <c r="R517" s="7"/>
      <c r="S517" s="7"/>
    </row>
    <row r="518" spans="2:19" ht="15" x14ac:dyDescent="0.35">
      <c r="B518" s="7"/>
      <c r="C518" s="7"/>
      <c r="D518" s="7"/>
      <c r="E518" s="7"/>
      <c r="H518" s="7"/>
      <c r="I518" s="7"/>
      <c r="J518" s="48"/>
      <c r="K518" s="48"/>
      <c r="L518" s="48"/>
      <c r="M518" s="48"/>
      <c r="N518" s="48"/>
      <c r="O518" s="48"/>
      <c r="P518" s="48"/>
      <c r="Q518" s="7"/>
      <c r="R518" s="7"/>
      <c r="S518" s="7"/>
    </row>
    <row r="519" spans="2:19" ht="15" x14ac:dyDescent="0.35">
      <c r="B519" s="7"/>
      <c r="C519" s="7"/>
      <c r="D519" s="7"/>
      <c r="E519" s="7"/>
      <c r="H519" s="7"/>
      <c r="I519" s="7"/>
      <c r="J519" s="48"/>
      <c r="K519" s="48"/>
      <c r="L519" s="48"/>
      <c r="M519" s="48"/>
      <c r="N519" s="48"/>
      <c r="O519" s="48"/>
      <c r="P519" s="48"/>
      <c r="Q519" s="7"/>
      <c r="R519" s="7"/>
      <c r="S519" s="7"/>
    </row>
    <row r="520" spans="2:19" ht="15" x14ac:dyDescent="0.35">
      <c r="B520" s="7"/>
      <c r="C520" s="7"/>
      <c r="D520" s="7"/>
      <c r="E520" s="7"/>
      <c r="H520" s="7"/>
      <c r="I520" s="7"/>
      <c r="J520" s="48"/>
      <c r="K520" s="48"/>
      <c r="L520" s="48"/>
      <c r="M520" s="48"/>
      <c r="N520" s="48"/>
      <c r="O520" s="48"/>
      <c r="P520" s="48"/>
      <c r="Q520" s="7"/>
      <c r="R520" s="7"/>
      <c r="S520" s="7"/>
    </row>
    <row r="521" spans="2:19" ht="15" x14ac:dyDescent="0.35">
      <c r="B521" s="7"/>
      <c r="C521" s="7"/>
      <c r="D521" s="7"/>
      <c r="E521" s="7"/>
      <c r="H521" s="7"/>
      <c r="I521" s="7"/>
      <c r="J521" s="48"/>
      <c r="K521" s="48"/>
      <c r="L521" s="48"/>
      <c r="M521" s="48"/>
      <c r="N521" s="48"/>
      <c r="O521" s="48"/>
      <c r="P521" s="48"/>
      <c r="Q521" s="7"/>
      <c r="R521" s="7"/>
      <c r="S521" s="7"/>
    </row>
    <row r="522" spans="2:19" ht="15" x14ac:dyDescent="0.35">
      <c r="B522" s="7"/>
      <c r="C522" s="7"/>
      <c r="D522" s="7"/>
      <c r="E522" s="7"/>
      <c r="H522" s="7"/>
      <c r="I522" s="7"/>
      <c r="J522" s="48"/>
      <c r="K522" s="48"/>
      <c r="L522" s="48"/>
      <c r="M522" s="48"/>
      <c r="N522" s="48"/>
      <c r="O522" s="48"/>
      <c r="P522" s="48"/>
      <c r="Q522" s="7"/>
      <c r="R522" s="7"/>
      <c r="S522" s="7"/>
    </row>
    <row r="523" spans="2:19" ht="15" x14ac:dyDescent="0.35">
      <c r="B523" s="7"/>
      <c r="C523" s="7"/>
      <c r="D523" s="7"/>
      <c r="E523" s="7"/>
      <c r="H523" s="7"/>
      <c r="I523" s="7"/>
      <c r="J523" s="48"/>
      <c r="K523" s="48"/>
      <c r="L523" s="48"/>
      <c r="M523" s="48"/>
      <c r="N523" s="48"/>
      <c r="O523" s="48"/>
      <c r="P523" s="48"/>
      <c r="Q523" s="7"/>
      <c r="R523" s="7"/>
      <c r="S523" s="7"/>
    </row>
    <row r="524" spans="2:19" ht="15" x14ac:dyDescent="0.35">
      <c r="B524" s="7"/>
      <c r="C524" s="7"/>
      <c r="D524" s="7"/>
      <c r="E524" s="7"/>
      <c r="H524" s="7"/>
      <c r="I524" s="7"/>
      <c r="J524" s="48"/>
      <c r="K524" s="48"/>
      <c r="L524" s="48"/>
      <c r="M524" s="48"/>
      <c r="N524" s="48"/>
      <c r="O524" s="48"/>
      <c r="P524" s="48"/>
      <c r="Q524" s="7"/>
      <c r="R524" s="7"/>
      <c r="S524" s="7"/>
    </row>
    <row r="525" spans="2:19" ht="15" x14ac:dyDescent="0.35">
      <c r="B525" s="7"/>
      <c r="C525" s="7"/>
      <c r="D525" s="7"/>
      <c r="E525" s="7"/>
      <c r="H525" s="7"/>
      <c r="I525" s="7"/>
      <c r="J525" s="48"/>
      <c r="K525" s="48"/>
      <c r="L525" s="48"/>
      <c r="M525" s="48"/>
      <c r="N525" s="48"/>
      <c r="O525" s="48"/>
      <c r="P525" s="48"/>
      <c r="Q525" s="7"/>
      <c r="R525" s="7"/>
      <c r="S525" s="7"/>
    </row>
    <row r="526" spans="2:19" ht="15" x14ac:dyDescent="0.35">
      <c r="B526" s="7"/>
      <c r="C526" s="7"/>
      <c r="D526" s="7"/>
      <c r="E526" s="7"/>
      <c r="H526" s="7"/>
      <c r="I526" s="7"/>
      <c r="J526" s="48"/>
      <c r="K526" s="48"/>
      <c r="L526" s="48"/>
      <c r="M526" s="48"/>
      <c r="N526" s="48"/>
      <c r="O526" s="48"/>
      <c r="P526" s="48"/>
      <c r="Q526" s="7"/>
      <c r="R526" s="7"/>
      <c r="S526" s="7"/>
    </row>
    <row r="527" spans="2:19" ht="15" x14ac:dyDescent="0.35">
      <c r="B527" s="7"/>
      <c r="C527" s="7"/>
      <c r="D527" s="7"/>
      <c r="E527" s="7"/>
      <c r="H527" s="7"/>
      <c r="I527" s="7"/>
      <c r="J527" s="48"/>
      <c r="K527" s="48"/>
      <c r="L527" s="48"/>
      <c r="M527" s="48"/>
      <c r="N527" s="48"/>
      <c r="O527" s="48"/>
      <c r="P527" s="48"/>
      <c r="Q527" s="7"/>
      <c r="R527" s="7"/>
      <c r="S527" s="7"/>
    </row>
    <row r="528" spans="2:19" ht="15" x14ac:dyDescent="0.35">
      <c r="B528" s="7"/>
      <c r="C528" s="7"/>
      <c r="D528" s="7"/>
      <c r="E528" s="7"/>
      <c r="H528" s="7"/>
      <c r="I528" s="7"/>
      <c r="J528" s="48"/>
      <c r="K528" s="48"/>
      <c r="L528" s="48"/>
      <c r="M528" s="48"/>
      <c r="N528" s="48"/>
      <c r="O528" s="48"/>
      <c r="P528" s="48"/>
      <c r="Q528" s="7"/>
      <c r="R528" s="7"/>
      <c r="S528" s="7"/>
    </row>
    <row r="529" spans="2:19" ht="15" x14ac:dyDescent="0.35">
      <c r="B529" s="7"/>
      <c r="C529" s="7"/>
      <c r="D529" s="7"/>
      <c r="E529" s="7"/>
      <c r="H529" s="7"/>
      <c r="I529" s="7"/>
      <c r="J529" s="48"/>
      <c r="K529" s="48"/>
      <c r="L529" s="48"/>
      <c r="M529" s="48"/>
      <c r="N529" s="48"/>
      <c r="O529" s="48"/>
      <c r="P529" s="48"/>
      <c r="Q529" s="7"/>
      <c r="R529" s="7"/>
      <c r="S529" s="7"/>
    </row>
    <row r="530" spans="2:19" ht="15" x14ac:dyDescent="0.35">
      <c r="B530" s="7"/>
      <c r="C530" s="7"/>
      <c r="D530" s="7"/>
      <c r="E530" s="7"/>
      <c r="H530" s="7"/>
      <c r="I530" s="7"/>
      <c r="J530" s="48"/>
      <c r="K530" s="48"/>
      <c r="L530" s="48"/>
      <c r="M530" s="48"/>
      <c r="N530" s="48"/>
      <c r="O530" s="48"/>
      <c r="P530" s="48"/>
      <c r="Q530" s="7"/>
      <c r="R530" s="7"/>
      <c r="S530" s="7"/>
    </row>
    <row r="531" spans="2:19" ht="15" x14ac:dyDescent="0.35">
      <c r="B531" s="7"/>
      <c r="C531" s="7"/>
      <c r="D531" s="7"/>
      <c r="E531" s="7"/>
      <c r="H531" s="7"/>
      <c r="I531" s="7"/>
      <c r="J531" s="48"/>
      <c r="K531" s="48"/>
      <c r="L531" s="48"/>
      <c r="M531" s="48"/>
      <c r="N531" s="48"/>
      <c r="O531" s="48"/>
      <c r="P531" s="48"/>
      <c r="Q531" s="7"/>
      <c r="R531" s="7"/>
      <c r="S531" s="7"/>
    </row>
    <row r="532" spans="2:19" ht="15" x14ac:dyDescent="0.35">
      <c r="B532" s="7"/>
      <c r="C532" s="7"/>
      <c r="D532" s="7"/>
      <c r="E532" s="7"/>
      <c r="H532" s="7"/>
      <c r="I532" s="7"/>
      <c r="J532" s="48"/>
      <c r="K532" s="48"/>
      <c r="L532" s="48"/>
      <c r="M532" s="48"/>
      <c r="N532" s="48"/>
      <c r="O532" s="48"/>
      <c r="P532" s="48"/>
      <c r="Q532" s="7"/>
      <c r="R532" s="7"/>
      <c r="S532" s="7"/>
    </row>
    <row r="533" spans="2:19" ht="15" x14ac:dyDescent="0.35">
      <c r="B533" s="7"/>
      <c r="C533" s="7"/>
      <c r="D533" s="7"/>
      <c r="E533" s="7"/>
      <c r="H533" s="7"/>
      <c r="I533" s="7"/>
      <c r="J533" s="48"/>
      <c r="K533" s="48"/>
      <c r="L533" s="48"/>
      <c r="M533" s="48"/>
      <c r="N533" s="48"/>
      <c r="O533" s="48"/>
      <c r="P533" s="48"/>
      <c r="Q533" s="7"/>
      <c r="R533" s="7"/>
      <c r="S533" s="7"/>
    </row>
    <row r="534" spans="2:19" ht="15" x14ac:dyDescent="0.35">
      <c r="B534" s="7"/>
      <c r="C534" s="7"/>
      <c r="D534" s="7"/>
      <c r="E534" s="7"/>
      <c r="H534" s="7"/>
      <c r="I534" s="7"/>
      <c r="J534" s="48"/>
      <c r="K534" s="48"/>
      <c r="L534" s="48"/>
      <c r="M534" s="48"/>
      <c r="N534" s="48"/>
      <c r="O534" s="48"/>
      <c r="P534" s="48"/>
      <c r="Q534" s="7"/>
      <c r="R534" s="7"/>
      <c r="S534" s="7"/>
    </row>
    <row r="535" spans="2:19" ht="15" x14ac:dyDescent="0.35">
      <c r="B535" s="7"/>
      <c r="C535" s="7"/>
      <c r="D535" s="7"/>
      <c r="E535" s="7"/>
      <c r="H535" s="7"/>
      <c r="I535" s="7"/>
      <c r="J535" s="48"/>
      <c r="K535" s="48"/>
      <c r="L535" s="48"/>
      <c r="M535" s="48"/>
      <c r="N535" s="48"/>
      <c r="O535" s="48"/>
      <c r="P535" s="48"/>
      <c r="Q535" s="7"/>
      <c r="R535" s="7"/>
      <c r="S535" s="7"/>
    </row>
    <row r="536" spans="2:19" ht="15" x14ac:dyDescent="0.35">
      <c r="B536" s="7"/>
      <c r="C536" s="7"/>
      <c r="D536" s="7"/>
      <c r="E536" s="7"/>
      <c r="H536" s="7"/>
      <c r="I536" s="7"/>
      <c r="J536" s="48"/>
      <c r="K536" s="48"/>
      <c r="L536" s="48"/>
      <c r="M536" s="48"/>
      <c r="N536" s="48"/>
      <c r="O536" s="48"/>
      <c r="P536" s="48"/>
      <c r="Q536" s="7"/>
      <c r="R536" s="7"/>
      <c r="S536" s="7"/>
    </row>
    <row r="537" spans="2:19" ht="15" x14ac:dyDescent="0.35">
      <c r="B537" s="7"/>
      <c r="C537" s="7"/>
      <c r="D537" s="7"/>
      <c r="E537" s="7"/>
      <c r="H537" s="7"/>
      <c r="I537" s="7"/>
      <c r="J537" s="48"/>
      <c r="K537" s="48"/>
      <c r="L537" s="48"/>
      <c r="M537" s="48"/>
      <c r="N537" s="48"/>
      <c r="O537" s="48"/>
      <c r="P537" s="48"/>
      <c r="Q537" s="7"/>
      <c r="R537" s="7"/>
      <c r="S537" s="7"/>
    </row>
    <row r="538" spans="2:19" ht="15" x14ac:dyDescent="0.35">
      <c r="B538" s="7"/>
      <c r="C538" s="7"/>
      <c r="D538" s="7"/>
      <c r="E538" s="7"/>
      <c r="H538" s="7"/>
      <c r="I538" s="7"/>
      <c r="J538" s="48"/>
      <c r="K538" s="48"/>
      <c r="L538" s="48"/>
      <c r="M538" s="48"/>
      <c r="N538" s="48"/>
      <c r="O538" s="48"/>
      <c r="P538" s="48"/>
      <c r="Q538" s="7"/>
      <c r="R538" s="7"/>
      <c r="S538" s="7"/>
    </row>
    <row r="539" spans="2:19" ht="15" x14ac:dyDescent="0.35">
      <c r="B539" s="7"/>
      <c r="C539" s="7"/>
      <c r="D539" s="7"/>
      <c r="E539" s="7"/>
      <c r="H539" s="7"/>
      <c r="I539" s="7"/>
      <c r="J539" s="48"/>
      <c r="K539" s="48"/>
      <c r="L539" s="48"/>
      <c r="M539" s="48"/>
      <c r="N539" s="48"/>
      <c r="O539" s="48"/>
      <c r="P539" s="48"/>
      <c r="Q539" s="7"/>
      <c r="R539" s="7"/>
      <c r="S539" s="7"/>
    </row>
    <row r="540" spans="2:19" ht="15" x14ac:dyDescent="0.35">
      <c r="B540" s="7"/>
      <c r="C540" s="7"/>
      <c r="D540" s="7"/>
      <c r="E540" s="7"/>
      <c r="H540" s="7"/>
      <c r="I540" s="7"/>
      <c r="J540" s="48"/>
      <c r="K540" s="48"/>
      <c r="L540" s="48"/>
      <c r="M540" s="48"/>
      <c r="N540" s="48"/>
      <c r="O540" s="48"/>
      <c r="P540" s="48"/>
      <c r="Q540" s="7"/>
      <c r="R540" s="7"/>
      <c r="S540" s="7"/>
    </row>
    <row r="541" spans="2:19" ht="15" x14ac:dyDescent="0.35">
      <c r="B541" s="7"/>
      <c r="C541" s="7"/>
      <c r="D541" s="7"/>
      <c r="E541" s="7"/>
      <c r="H541" s="7"/>
      <c r="I541" s="7"/>
      <c r="J541" s="48"/>
      <c r="K541" s="48"/>
      <c r="L541" s="48"/>
      <c r="M541" s="48"/>
      <c r="N541" s="48"/>
      <c r="O541" s="48"/>
      <c r="P541" s="48"/>
      <c r="Q541" s="7"/>
      <c r="R541" s="7"/>
      <c r="S541" s="7"/>
    </row>
    <row r="542" spans="2:19" ht="15" x14ac:dyDescent="0.35">
      <c r="B542" s="7"/>
      <c r="C542" s="7"/>
      <c r="D542" s="7"/>
      <c r="E542" s="7"/>
      <c r="H542" s="7"/>
      <c r="I542" s="7"/>
      <c r="J542" s="48"/>
      <c r="K542" s="48"/>
      <c r="L542" s="48"/>
      <c r="M542" s="48"/>
      <c r="N542" s="48"/>
      <c r="O542" s="48"/>
      <c r="P542" s="48"/>
      <c r="Q542" s="7"/>
      <c r="R542" s="7"/>
      <c r="S542" s="7"/>
    </row>
    <row r="543" spans="2:19" ht="15" x14ac:dyDescent="0.35">
      <c r="B543" s="7"/>
      <c r="C543" s="7"/>
      <c r="D543" s="7"/>
      <c r="E543" s="7"/>
      <c r="H543" s="7"/>
      <c r="I543" s="7"/>
      <c r="J543" s="48"/>
      <c r="K543" s="48"/>
      <c r="L543" s="48"/>
      <c r="M543" s="48"/>
      <c r="N543" s="48"/>
      <c r="O543" s="48"/>
      <c r="P543" s="48"/>
      <c r="Q543" s="7"/>
      <c r="R543" s="7"/>
      <c r="S543" s="7"/>
    </row>
    <row r="544" spans="2:19" ht="15" x14ac:dyDescent="0.35">
      <c r="B544" s="7"/>
      <c r="C544" s="7"/>
      <c r="D544" s="7"/>
      <c r="E544" s="7"/>
      <c r="H544" s="7"/>
      <c r="I544" s="7"/>
      <c r="J544" s="48"/>
      <c r="K544" s="48"/>
      <c r="L544" s="48"/>
      <c r="M544" s="48"/>
      <c r="N544" s="48"/>
      <c r="O544" s="48"/>
      <c r="P544" s="48"/>
      <c r="Q544" s="7"/>
      <c r="R544" s="7"/>
      <c r="S544" s="7"/>
    </row>
    <row r="545" spans="2:19" ht="15" x14ac:dyDescent="0.35">
      <c r="B545" s="7"/>
      <c r="C545" s="7"/>
      <c r="D545" s="7"/>
      <c r="E545" s="7"/>
      <c r="H545" s="7"/>
      <c r="I545" s="7"/>
      <c r="J545" s="48"/>
      <c r="K545" s="48"/>
      <c r="L545" s="48"/>
      <c r="M545" s="48"/>
      <c r="N545" s="48"/>
      <c r="O545" s="48"/>
      <c r="P545" s="48"/>
      <c r="Q545" s="7"/>
      <c r="R545" s="7"/>
      <c r="S545" s="7"/>
    </row>
    <row r="546" spans="2:19" ht="15" x14ac:dyDescent="0.35">
      <c r="B546" s="7"/>
      <c r="C546" s="7"/>
      <c r="D546" s="7"/>
      <c r="E546" s="7"/>
      <c r="H546" s="7"/>
      <c r="I546" s="7"/>
      <c r="J546" s="48"/>
      <c r="K546" s="48"/>
      <c r="L546" s="48"/>
      <c r="M546" s="48"/>
      <c r="N546" s="48"/>
      <c r="O546" s="48"/>
      <c r="P546" s="48"/>
      <c r="Q546" s="7"/>
      <c r="R546" s="7"/>
      <c r="S546" s="7"/>
    </row>
    <row r="547" spans="2:19" ht="15" x14ac:dyDescent="0.35">
      <c r="B547" s="7"/>
      <c r="C547" s="7"/>
      <c r="D547" s="7"/>
      <c r="E547" s="7"/>
      <c r="H547" s="7"/>
      <c r="I547" s="7"/>
      <c r="J547" s="48"/>
      <c r="K547" s="48"/>
      <c r="L547" s="48"/>
      <c r="M547" s="48"/>
      <c r="N547" s="48"/>
      <c r="O547" s="48"/>
      <c r="P547" s="48"/>
      <c r="Q547" s="7"/>
      <c r="R547" s="7"/>
      <c r="S547" s="7"/>
    </row>
    <row r="548" spans="2:19" ht="15" x14ac:dyDescent="0.35">
      <c r="B548" s="7"/>
      <c r="C548" s="7"/>
      <c r="D548" s="7"/>
      <c r="E548" s="7"/>
      <c r="H548" s="7"/>
      <c r="I548" s="7"/>
      <c r="J548" s="48"/>
      <c r="K548" s="48"/>
      <c r="L548" s="48"/>
      <c r="M548" s="48"/>
      <c r="N548" s="48"/>
      <c r="O548" s="48"/>
      <c r="P548" s="48"/>
      <c r="Q548" s="7"/>
      <c r="R548" s="7"/>
      <c r="S548" s="7"/>
    </row>
    <row r="549" spans="2:19" ht="15" x14ac:dyDescent="0.35">
      <c r="B549" s="7"/>
      <c r="C549" s="7"/>
      <c r="D549" s="7"/>
      <c r="E549" s="7"/>
      <c r="H549" s="7"/>
      <c r="I549" s="7"/>
      <c r="J549" s="48"/>
      <c r="K549" s="48"/>
      <c r="L549" s="48"/>
      <c r="M549" s="48"/>
      <c r="N549" s="48"/>
      <c r="O549" s="48"/>
      <c r="P549" s="48"/>
      <c r="Q549" s="7"/>
      <c r="R549" s="7"/>
      <c r="S549" s="7"/>
    </row>
    <row r="550" spans="2:19" ht="15" x14ac:dyDescent="0.35">
      <c r="B550" s="7"/>
      <c r="C550" s="7"/>
      <c r="D550" s="7"/>
      <c r="E550" s="7"/>
      <c r="H550" s="7"/>
      <c r="I550" s="7"/>
      <c r="J550" s="48"/>
      <c r="K550" s="48"/>
      <c r="L550" s="48"/>
      <c r="M550" s="48"/>
      <c r="N550" s="48"/>
      <c r="O550" s="48"/>
      <c r="P550" s="48"/>
      <c r="Q550" s="7"/>
      <c r="R550" s="7"/>
      <c r="S550" s="7"/>
    </row>
    <row r="551" spans="2:19" ht="15" x14ac:dyDescent="0.35">
      <c r="B551" s="7"/>
      <c r="C551" s="7"/>
      <c r="D551" s="7"/>
      <c r="E551" s="7"/>
      <c r="H551" s="7"/>
      <c r="I551" s="7"/>
      <c r="J551" s="48"/>
      <c r="K551" s="48"/>
      <c r="L551" s="48"/>
      <c r="M551" s="48"/>
      <c r="N551" s="48"/>
      <c r="O551" s="48"/>
      <c r="P551" s="48"/>
      <c r="Q551" s="7"/>
      <c r="R551" s="7"/>
      <c r="S551" s="7"/>
    </row>
    <row r="552" spans="2:19" ht="15" x14ac:dyDescent="0.35">
      <c r="B552" s="7"/>
      <c r="C552" s="7"/>
      <c r="D552" s="7"/>
      <c r="E552" s="7"/>
      <c r="H552" s="7"/>
      <c r="I552" s="7"/>
      <c r="J552" s="48"/>
      <c r="K552" s="48"/>
      <c r="L552" s="48"/>
      <c r="M552" s="48"/>
      <c r="N552" s="48"/>
      <c r="O552" s="48"/>
      <c r="P552" s="48"/>
      <c r="Q552" s="7"/>
      <c r="R552" s="7"/>
      <c r="S552" s="7"/>
    </row>
    <row r="553" spans="2:19" ht="15" x14ac:dyDescent="0.35">
      <c r="B553" s="7"/>
      <c r="C553" s="7"/>
      <c r="D553" s="7"/>
      <c r="E553" s="7"/>
      <c r="H553" s="7"/>
      <c r="I553" s="7"/>
      <c r="J553" s="48"/>
      <c r="K553" s="48"/>
      <c r="L553" s="48"/>
      <c r="M553" s="48"/>
      <c r="N553" s="48"/>
      <c r="O553" s="48"/>
      <c r="P553" s="48"/>
      <c r="Q553" s="7"/>
      <c r="R553" s="7"/>
      <c r="S553" s="7"/>
    </row>
    <row r="554" spans="2:19" ht="15" x14ac:dyDescent="0.35">
      <c r="B554" s="7"/>
      <c r="C554" s="7"/>
      <c r="D554" s="7"/>
      <c r="E554" s="7"/>
      <c r="H554" s="7"/>
      <c r="I554" s="7"/>
      <c r="J554" s="48"/>
      <c r="K554" s="48"/>
      <c r="L554" s="48"/>
      <c r="M554" s="48"/>
      <c r="N554" s="48"/>
      <c r="O554" s="48"/>
      <c r="P554" s="48"/>
      <c r="Q554" s="7"/>
      <c r="R554" s="7"/>
      <c r="S554" s="7"/>
    </row>
    <row r="555" spans="2:19" ht="15" x14ac:dyDescent="0.35">
      <c r="B555" s="7"/>
      <c r="C555" s="7"/>
      <c r="D555" s="7"/>
      <c r="E555" s="7"/>
      <c r="H555" s="7"/>
      <c r="I555" s="7"/>
      <c r="J555" s="48"/>
      <c r="K555" s="48"/>
      <c r="L555" s="48"/>
      <c r="M555" s="48"/>
      <c r="N555" s="48"/>
      <c r="O555" s="48"/>
      <c r="P555" s="48"/>
      <c r="Q555" s="7"/>
      <c r="R555" s="7"/>
      <c r="S555" s="7"/>
    </row>
    <row r="556" spans="2:19" ht="15" x14ac:dyDescent="0.35">
      <c r="B556" s="7"/>
      <c r="C556" s="7"/>
      <c r="D556" s="7"/>
      <c r="E556" s="7"/>
      <c r="H556" s="7"/>
      <c r="I556" s="7"/>
      <c r="J556" s="48"/>
      <c r="K556" s="48"/>
      <c r="L556" s="48"/>
      <c r="M556" s="48"/>
      <c r="N556" s="48"/>
      <c r="O556" s="48"/>
      <c r="P556" s="48"/>
      <c r="Q556" s="7"/>
      <c r="R556" s="7"/>
      <c r="S556" s="7"/>
    </row>
    <row r="557" spans="2:19" ht="15" x14ac:dyDescent="0.35">
      <c r="B557" s="7"/>
      <c r="C557" s="7"/>
      <c r="D557" s="7"/>
      <c r="E557" s="7"/>
      <c r="H557" s="7"/>
      <c r="I557" s="7"/>
      <c r="J557" s="48"/>
      <c r="K557" s="48"/>
      <c r="L557" s="48"/>
      <c r="M557" s="48"/>
      <c r="N557" s="48"/>
      <c r="O557" s="48"/>
      <c r="P557" s="48"/>
      <c r="Q557" s="7"/>
      <c r="R557" s="7"/>
      <c r="S557" s="7"/>
    </row>
    <row r="558" spans="2:19" ht="15" x14ac:dyDescent="0.35">
      <c r="B558" s="7"/>
      <c r="C558" s="7"/>
      <c r="D558" s="7"/>
      <c r="E558" s="7"/>
      <c r="H558" s="7"/>
      <c r="I558" s="7"/>
      <c r="J558" s="48"/>
      <c r="K558" s="48"/>
      <c r="L558" s="48"/>
      <c r="M558" s="48"/>
      <c r="N558" s="48"/>
      <c r="O558" s="48"/>
      <c r="P558" s="48"/>
      <c r="Q558" s="7"/>
      <c r="R558" s="7"/>
      <c r="S558" s="7"/>
    </row>
    <row r="559" spans="2:19" ht="15" x14ac:dyDescent="0.35">
      <c r="B559" s="7"/>
      <c r="C559" s="7"/>
      <c r="D559" s="7"/>
      <c r="E559" s="7"/>
      <c r="H559" s="7"/>
      <c r="I559" s="7"/>
      <c r="J559" s="48"/>
      <c r="K559" s="48"/>
      <c r="L559" s="48"/>
      <c r="M559" s="48"/>
      <c r="N559" s="48"/>
      <c r="O559" s="48"/>
      <c r="P559" s="48"/>
      <c r="Q559" s="7"/>
      <c r="R559" s="7"/>
      <c r="S559" s="7"/>
    </row>
    <row r="560" spans="2:19" ht="15" x14ac:dyDescent="0.35">
      <c r="B560" s="7"/>
      <c r="C560" s="7"/>
      <c r="D560" s="7"/>
      <c r="E560" s="7"/>
      <c r="H560" s="7"/>
      <c r="I560" s="7"/>
      <c r="J560" s="48"/>
      <c r="K560" s="48"/>
      <c r="L560" s="48"/>
      <c r="M560" s="48"/>
      <c r="N560" s="48"/>
      <c r="O560" s="48"/>
      <c r="P560" s="48"/>
      <c r="Q560" s="7"/>
      <c r="R560" s="7"/>
      <c r="S560" s="7"/>
    </row>
    <row r="561" spans="2:19" ht="15" x14ac:dyDescent="0.35">
      <c r="B561" s="7"/>
      <c r="C561" s="7"/>
      <c r="D561" s="7"/>
      <c r="E561" s="7"/>
      <c r="H561" s="7"/>
      <c r="I561" s="7"/>
      <c r="J561" s="48"/>
      <c r="K561" s="48"/>
      <c r="L561" s="48"/>
      <c r="M561" s="48"/>
      <c r="N561" s="48"/>
      <c r="O561" s="48"/>
      <c r="P561" s="48"/>
      <c r="Q561" s="7"/>
      <c r="R561" s="7"/>
      <c r="S561" s="7"/>
    </row>
    <row r="562" spans="2:19" ht="15" x14ac:dyDescent="0.35">
      <c r="B562" s="7"/>
      <c r="C562" s="7"/>
      <c r="D562" s="7"/>
      <c r="E562" s="7"/>
      <c r="H562" s="7"/>
      <c r="I562" s="7"/>
      <c r="J562" s="48"/>
      <c r="K562" s="48"/>
      <c r="L562" s="48"/>
      <c r="M562" s="48"/>
      <c r="N562" s="48"/>
      <c r="O562" s="48"/>
      <c r="P562" s="48"/>
      <c r="Q562" s="7"/>
      <c r="R562" s="7"/>
      <c r="S562" s="7"/>
    </row>
    <row r="563" spans="2:19" ht="15" x14ac:dyDescent="0.35">
      <c r="B563" s="7"/>
      <c r="C563" s="7"/>
      <c r="D563" s="7"/>
      <c r="E563" s="7"/>
      <c r="H563" s="7"/>
      <c r="I563" s="7"/>
      <c r="J563" s="48"/>
      <c r="K563" s="48"/>
      <c r="L563" s="48"/>
      <c r="M563" s="48"/>
      <c r="N563" s="48"/>
      <c r="O563" s="48"/>
      <c r="P563" s="48"/>
      <c r="Q563" s="7"/>
      <c r="R563" s="7"/>
      <c r="S563" s="7"/>
    </row>
    <row r="564" spans="2:19" ht="15" x14ac:dyDescent="0.35">
      <c r="B564" s="7"/>
      <c r="C564" s="7"/>
      <c r="D564" s="7"/>
      <c r="E564" s="7"/>
      <c r="H564" s="7"/>
      <c r="I564" s="7"/>
      <c r="J564" s="48"/>
      <c r="K564" s="48"/>
      <c r="L564" s="48"/>
      <c r="M564" s="48"/>
      <c r="N564" s="48"/>
      <c r="O564" s="48"/>
      <c r="P564" s="48"/>
      <c r="Q564" s="7"/>
      <c r="R564" s="7"/>
      <c r="S564" s="7"/>
    </row>
    <row r="565" spans="2:19" ht="15" x14ac:dyDescent="0.35">
      <c r="B565" s="7"/>
      <c r="C565" s="7"/>
      <c r="D565" s="7"/>
      <c r="E565" s="7"/>
      <c r="H565" s="7"/>
      <c r="I565" s="7"/>
      <c r="J565" s="48"/>
      <c r="K565" s="48"/>
      <c r="L565" s="48"/>
      <c r="M565" s="48"/>
      <c r="N565" s="48"/>
      <c r="O565" s="48"/>
      <c r="P565" s="48"/>
      <c r="Q565" s="7"/>
      <c r="R565" s="7"/>
      <c r="S565" s="7"/>
    </row>
    <row r="566" spans="2:19" ht="15" x14ac:dyDescent="0.35">
      <c r="B566" s="7"/>
      <c r="C566" s="7"/>
      <c r="D566" s="7"/>
      <c r="E566" s="7"/>
      <c r="H566" s="7"/>
      <c r="I566" s="7"/>
      <c r="J566" s="48"/>
      <c r="K566" s="48"/>
      <c r="L566" s="48"/>
      <c r="M566" s="48"/>
      <c r="N566" s="48"/>
      <c r="O566" s="48"/>
      <c r="P566" s="48"/>
      <c r="Q566" s="7"/>
      <c r="R566" s="7"/>
      <c r="S566" s="7"/>
    </row>
    <row r="567" spans="2:19" ht="15" x14ac:dyDescent="0.35">
      <c r="B567" s="7"/>
      <c r="C567" s="7"/>
      <c r="D567" s="7"/>
      <c r="E567" s="7"/>
      <c r="H567" s="7"/>
      <c r="I567" s="7"/>
      <c r="J567" s="48"/>
      <c r="K567" s="48"/>
      <c r="L567" s="48"/>
      <c r="M567" s="48"/>
      <c r="N567" s="48"/>
      <c r="O567" s="48"/>
      <c r="P567" s="48"/>
      <c r="Q567" s="7"/>
      <c r="R567" s="7"/>
      <c r="S567" s="7"/>
    </row>
    <row r="568" spans="2:19" ht="15" x14ac:dyDescent="0.35">
      <c r="B568" s="7"/>
      <c r="C568" s="7"/>
      <c r="D568" s="7"/>
      <c r="E568" s="7"/>
      <c r="H568" s="7"/>
      <c r="I568" s="7"/>
      <c r="J568" s="48"/>
      <c r="K568" s="48"/>
      <c r="L568" s="48"/>
      <c r="M568" s="48"/>
      <c r="N568" s="48"/>
      <c r="O568" s="48"/>
      <c r="P568" s="48"/>
      <c r="Q568" s="7"/>
      <c r="R568" s="7"/>
      <c r="S568" s="7"/>
    </row>
    <row r="569" spans="2:19" ht="15" x14ac:dyDescent="0.35">
      <c r="B569" s="7"/>
      <c r="C569" s="7"/>
      <c r="D569" s="7"/>
      <c r="E569" s="7"/>
      <c r="H569" s="7"/>
      <c r="I569" s="7"/>
      <c r="J569" s="48"/>
      <c r="K569" s="48"/>
      <c r="L569" s="48"/>
      <c r="M569" s="48"/>
      <c r="N569" s="48"/>
      <c r="O569" s="48"/>
      <c r="P569" s="48"/>
      <c r="Q569" s="7"/>
      <c r="R569" s="7"/>
      <c r="S569" s="7"/>
    </row>
    <row r="570" spans="2:19" ht="15" x14ac:dyDescent="0.35">
      <c r="B570" s="7"/>
      <c r="C570" s="7"/>
      <c r="D570" s="7"/>
      <c r="E570" s="7"/>
      <c r="H570" s="7"/>
      <c r="I570" s="7"/>
      <c r="J570" s="48"/>
      <c r="K570" s="48"/>
      <c r="L570" s="48"/>
      <c r="M570" s="48"/>
      <c r="N570" s="48"/>
      <c r="O570" s="48"/>
      <c r="P570" s="48"/>
      <c r="Q570" s="7"/>
      <c r="R570" s="7"/>
      <c r="S570" s="7"/>
    </row>
    <row r="571" spans="2:19" ht="15" x14ac:dyDescent="0.35">
      <c r="B571" s="7"/>
      <c r="C571" s="7"/>
      <c r="D571" s="7"/>
      <c r="E571" s="7"/>
      <c r="H571" s="7"/>
      <c r="I571" s="7"/>
      <c r="J571" s="48"/>
      <c r="K571" s="48"/>
      <c r="L571" s="48"/>
      <c r="M571" s="48"/>
      <c r="N571" s="48"/>
      <c r="O571" s="48"/>
      <c r="P571" s="48"/>
      <c r="Q571" s="7"/>
      <c r="R571" s="7"/>
      <c r="S571" s="7"/>
    </row>
    <row r="572" spans="2:19" ht="15" x14ac:dyDescent="0.35">
      <c r="B572" s="7"/>
      <c r="C572" s="7"/>
      <c r="D572" s="7"/>
      <c r="E572" s="7"/>
      <c r="H572" s="7"/>
      <c r="I572" s="7"/>
      <c r="J572" s="48"/>
      <c r="K572" s="48"/>
      <c r="L572" s="48"/>
      <c r="M572" s="48"/>
      <c r="N572" s="48"/>
      <c r="O572" s="48"/>
      <c r="P572" s="48"/>
      <c r="Q572" s="7"/>
      <c r="R572" s="7"/>
      <c r="S572" s="7"/>
    </row>
    <row r="573" spans="2:19" ht="15" x14ac:dyDescent="0.35">
      <c r="B573" s="7"/>
      <c r="C573" s="7"/>
      <c r="D573" s="7"/>
      <c r="E573" s="7"/>
      <c r="H573" s="7"/>
      <c r="I573" s="7"/>
      <c r="J573" s="48"/>
      <c r="K573" s="48"/>
      <c r="L573" s="48"/>
      <c r="M573" s="48"/>
      <c r="N573" s="48"/>
      <c r="O573" s="48"/>
      <c r="P573" s="48"/>
      <c r="Q573" s="7"/>
      <c r="R573" s="7"/>
      <c r="S573" s="7"/>
    </row>
    <row r="574" spans="2:19" ht="15" x14ac:dyDescent="0.35">
      <c r="B574" s="7"/>
      <c r="C574" s="7"/>
      <c r="D574" s="7"/>
      <c r="E574" s="7"/>
      <c r="H574" s="7"/>
      <c r="I574" s="7"/>
      <c r="J574" s="48"/>
      <c r="K574" s="48"/>
      <c r="L574" s="48"/>
      <c r="M574" s="48"/>
      <c r="N574" s="48"/>
      <c r="O574" s="48"/>
      <c r="P574" s="48"/>
      <c r="Q574" s="7"/>
      <c r="R574" s="7"/>
      <c r="S574" s="7"/>
    </row>
    <row r="575" spans="2:19" ht="15" x14ac:dyDescent="0.35">
      <c r="B575" s="7"/>
      <c r="C575" s="7"/>
      <c r="D575" s="7"/>
      <c r="E575" s="7"/>
      <c r="H575" s="7"/>
      <c r="I575" s="7"/>
      <c r="J575" s="48"/>
      <c r="K575" s="48"/>
      <c r="L575" s="48"/>
      <c r="M575" s="48"/>
      <c r="N575" s="48"/>
      <c r="O575" s="48"/>
      <c r="P575" s="48"/>
      <c r="Q575" s="7"/>
      <c r="R575" s="7"/>
      <c r="S575" s="7"/>
    </row>
    <row r="576" spans="2:19" ht="15" x14ac:dyDescent="0.35">
      <c r="B576" s="7"/>
      <c r="C576" s="7"/>
      <c r="D576" s="7"/>
      <c r="E576" s="7"/>
      <c r="H576" s="7"/>
      <c r="I576" s="7"/>
      <c r="J576" s="48"/>
      <c r="K576" s="48"/>
      <c r="L576" s="48"/>
      <c r="M576" s="48"/>
      <c r="N576" s="48"/>
      <c r="O576" s="48"/>
      <c r="P576" s="48"/>
      <c r="Q576" s="7"/>
      <c r="R576" s="7"/>
      <c r="S576" s="7"/>
    </row>
    <row r="577" spans="2:19" ht="15" x14ac:dyDescent="0.35">
      <c r="B577" s="7"/>
      <c r="C577" s="7"/>
      <c r="D577" s="7"/>
      <c r="E577" s="7"/>
      <c r="H577" s="7"/>
      <c r="I577" s="7"/>
      <c r="J577" s="48"/>
      <c r="K577" s="48"/>
      <c r="L577" s="48"/>
      <c r="M577" s="48"/>
      <c r="N577" s="48"/>
      <c r="O577" s="48"/>
      <c r="P577" s="48"/>
      <c r="Q577" s="7"/>
      <c r="R577" s="7"/>
      <c r="S577" s="7"/>
    </row>
    <row r="578" spans="2:19" ht="15" x14ac:dyDescent="0.35">
      <c r="B578" s="7"/>
      <c r="C578" s="7"/>
      <c r="D578" s="7"/>
      <c r="E578" s="7"/>
      <c r="H578" s="7"/>
      <c r="I578" s="7"/>
      <c r="J578" s="48"/>
      <c r="K578" s="48"/>
      <c r="L578" s="48"/>
      <c r="M578" s="48"/>
      <c r="N578" s="48"/>
      <c r="O578" s="48"/>
      <c r="P578" s="48"/>
      <c r="Q578" s="7"/>
      <c r="R578" s="7"/>
      <c r="S578" s="7"/>
    </row>
    <row r="579" spans="2:19" ht="15" x14ac:dyDescent="0.35">
      <c r="B579" s="7"/>
      <c r="C579" s="7"/>
      <c r="D579" s="7"/>
      <c r="E579" s="7"/>
      <c r="H579" s="7"/>
      <c r="I579" s="7"/>
      <c r="J579" s="48"/>
      <c r="K579" s="48"/>
      <c r="L579" s="48"/>
      <c r="M579" s="48"/>
      <c r="N579" s="48"/>
      <c r="O579" s="48"/>
      <c r="P579" s="48"/>
      <c r="Q579" s="7"/>
      <c r="R579" s="7"/>
      <c r="S579" s="7"/>
    </row>
    <row r="580" spans="2:19" ht="15" x14ac:dyDescent="0.35">
      <c r="B580" s="7"/>
      <c r="C580" s="7"/>
      <c r="D580" s="7"/>
      <c r="E580" s="7"/>
      <c r="H580" s="7"/>
      <c r="I580" s="7"/>
      <c r="J580" s="48"/>
      <c r="K580" s="48"/>
      <c r="L580" s="48"/>
      <c r="M580" s="48"/>
      <c r="N580" s="48"/>
      <c r="O580" s="48"/>
      <c r="P580" s="48"/>
      <c r="Q580" s="7"/>
      <c r="R580" s="7"/>
      <c r="S580" s="7"/>
    </row>
    <row r="581" spans="2:19" ht="15" x14ac:dyDescent="0.35">
      <c r="B581" s="7"/>
      <c r="C581" s="7"/>
      <c r="D581" s="7"/>
      <c r="E581" s="7"/>
      <c r="H581" s="7"/>
      <c r="I581" s="7"/>
      <c r="J581" s="48"/>
      <c r="K581" s="48"/>
      <c r="L581" s="48"/>
      <c r="M581" s="48"/>
      <c r="N581" s="48"/>
      <c r="O581" s="48"/>
      <c r="P581" s="48"/>
      <c r="Q581" s="7"/>
      <c r="R581" s="7"/>
      <c r="S581" s="7"/>
    </row>
    <row r="582" spans="2:19" ht="15" x14ac:dyDescent="0.35">
      <c r="B582" s="7"/>
      <c r="C582" s="7"/>
      <c r="D582" s="7"/>
      <c r="E582" s="7"/>
      <c r="H582" s="7"/>
      <c r="I582" s="7"/>
      <c r="J582" s="48"/>
      <c r="K582" s="48"/>
      <c r="L582" s="48"/>
      <c r="M582" s="48"/>
      <c r="N582" s="48"/>
      <c r="O582" s="48"/>
      <c r="P582" s="48"/>
      <c r="Q582" s="7"/>
      <c r="R582" s="7"/>
      <c r="S582" s="7"/>
    </row>
    <row r="583" spans="2:19" ht="15" x14ac:dyDescent="0.35">
      <c r="B583" s="7"/>
      <c r="C583" s="7"/>
      <c r="D583" s="7"/>
      <c r="E583" s="7"/>
      <c r="H583" s="7"/>
      <c r="I583" s="7"/>
      <c r="J583" s="48"/>
      <c r="K583" s="48"/>
      <c r="L583" s="48"/>
      <c r="M583" s="48"/>
      <c r="N583" s="48"/>
      <c r="O583" s="48"/>
      <c r="P583" s="48"/>
      <c r="Q583" s="7"/>
      <c r="R583" s="7"/>
      <c r="S583" s="7"/>
    </row>
    <row r="584" spans="2:19" ht="15" x14ac:dyDescent="0.35">
      <c r="B584" s="7"/>
      <c r="C584" s="7"/>
      <c r="D584" s="7"/>
      <c r="E584" s="7"/>
      <c r="H584" s="7"/>
      <c r="I584" s="7"/>
      <c r="J584" s="48"/>
      <c r="K584" s="48"/>
      <c r="L584" s="48"/>
      <c r="M584" s="48"/>
      <c r="N584" s="48"/>
      <c r="O584" s="48"/>
      <c r="P584" s="48"/>
      <c r="Q584" s="7"/>
      <c r="R584" s="7"/>
      <c r="S584" s="7"/>
    </row>
    <row r="585" spans="2:19" ht="15" x14ac:dyDescent="0.35">
      <c r="B585" s="7"/>
      <c r="C585" s="7"/>
      <c r="D585" s="7"/>
      <c r="E585" s="7"/>
      <c r="H585" s="7"/>
      <c r="I585" s="7"/>
      <c r="J585" s="48"/>
      <c r="K585" s="48"/>
      <c r="L585" s="48"/>
      <c r="M585" s="48"/>
      <c r="N585" s="48"/>
      <c r="O585" s="48"/>
      <c r="P585" s="48"/>
      <c r="Q585" s="7"/>
      <c r="R585" s="7"/>
      <c r="S585" s="7"/>
    </row>
    <row r="586" spans="2:19" ht="15" x14ac:dyDescent="0.35">
      <c r="B586" s="7"/>
      <c r="C586" s="7"/>
      <c r="D586" s="7"/>
      <c r="E586" s="7"/>
      <c r="H586" s="7"/>
      <c r="I586" s="7"/>
      <c r="J586" s="48"/>
      <c r="K586" s="48"/>
      <c r="L586" s="48"/>
      <c r="M586" s="48"/>
      <c r="N586" s="48"/>
      <c r="O586" s="48"/>
      <c r="P586" s="48"/>
      <c r="Q586" s="7"/>
      <c r="R586" s="7"/>
      <c r="S586" s="7"/>
    </row>
    <row r="587" spans="2:19" ht="15" x14ac:dyDescent="0.35">
      <c r="B587" s="7"/>
      <c r="C587" s="7"/>
      <c r="D587" s="7"/>
      <c r="E587" s="7"/>
      <c r="H587" s="7"/>
      <c r="I587" s="7"/>
      <c r="J587" s="48"/>
      <c r="K587" s="48"/>
      <c r="L587" s="48"/>
      <c r="M587" s="48"/>
      <c r="N587" s="48"/>
      <c r="O587" s="48"/>
      <c r="P587" s="48"/>
      <c r="Q587" s="7"/>
      <c r="R587" s="7"/>
      <c r="S587" s="7"/>
    </row>
    <row r="588" spans="2:19" ht="15" x14ac:dyDescent="0.35">
      <c r="B588" s="7"/>
      <c r="C588" s="7"/>
      <c r="D588" s="7"/>
      <c r="E588" s="7"/>
      <c r="H588" s="7"/>
      <c r="I588" s="7"/>
      <c r="J588" s="48"/>
      <c r="K588" s="48"/>
      <c r="L588" s="48"/>
      <c r="M588" s="48"/>
      <c r="N588" s="48"/>
      <c r="O588" s="48"/>
      <c r="P588" s="48"/>
      <c r="Q588" s="7"/>
      <c r="R588" s="7"/>
      <c r="S588" s="7"/>
    </row>
    <row r="589" spans="2:19" ht="15" x14ac:dyDescent="0.35">
      <c r="B589" s="7"/>
      <c r="C589" s="7"/>
      <c r="D589" s="7"/>
      <c r="E589" s="7"/>
      <c r="H589" s="7"/>
      <c r="I589" s="7"/>
      <c r="J589" s="48"/>
      <c r="K589" s="48"/>
      <c r="L589" s="48"/>
      <c r="M589" s="48"/>
      <c r="N589" s="48"/>
      <c r="O589" s="48"/>
      <c r="P589" s="48"/>
      <c r="Q589" s="7"/>
      <c r="R589" s="7"/>
      <c r="S589" s="7"/>
    </row>
    <row r="590" spans="2:19" ht="15" x14ac:dyDescent="0.35">
      <c r="B590" s="7"/>
      <c r="C590" s="7"/>
      <c r="D590" s="7"/>
      <c r="E590" s="7"/>
      <c r="H590" s="7"/>
      <c r="I590" s="7"/>
      <c r="J590" s="48"/>
      <c r="K590" s="48"/>
      <c r="L590" s="48"/>
      <c r="M590" s="48"/>
      <c r="N590" s="48"/>
      <c r="O590" s="48"/>
      <c r="P590" s="48"/>
      <c r="Q590" s="7"/>
      <c r="R590" s="7"/>
      <c r="S590" s="7"/>
    </row>
    <row r="591" spans="2:19" ht="15" x14ac:dyDescent="0.35">
      <c r="B591" s="7"/>
      <c r="C591" s="7"/>
      <c r="D591" s="7"/>
      <c r="E591" s="7"/>
      <c r="H591" s="7"/>
      <c r="I591" s="7"/>
      <c r="J591" s="48"/>
      <c r="K591" s="48"/>
      <c r="L591" s="48"/>
      <c r="M591" s="48"/>
      <c r="N591" s="48"/>
      <c r="O591" s="48"/>
      <c r="P591" s="48"/>
      <c r="Q591" s="7"/>
      <c r="R591" s="7"/>
      <c r="S591" s="7"/>
    </row>
    <row r="592" spans="2:19" ht="15" x14ac:dyDescent="0.35">
      <c r="B592" s="7"/>
      <c r="C592" s="7"/>
      <c r="D592" s="7"/>
      <c r="E592" s="7"/>
      <c r="H592" s="7"/>
      <c r="I592" s="7"/>
      <c r="J592" s="48"/>
      <c r="K592" s="48"/>
      <c r="L592" s="48"/>
      <c r="M592" s="48"/>
      <c r="N592" s="48"/>
      <c r="O592" s="48"/>
      <c r="P592" s="48"/>
      <c r="Q592" s="7"/>
      <c r="R592" s="7"/>
      <c r="S592" s="7"/>
    </row>
    <row r="593" spans="2:19" ht="15" x14ac:dyDescent="0.35">
      <c r="B593" s="7"/>
      <c r="C593" s="7"/>
      <c r="D593" s="7"/>
      <c r="E593" s="7"/>
      <c r="H593" s="7"/>
      <c r="I593" s="7"/>
      <c r="J593" s="48"/>
      <c r="K593" s="48"/>
      <c r="L593" s="48"/>
      <c r="M593" s="48"/>
      <c r="N593" s="48"/>
      <c r="O593" s="48"/>
      <c r="P593" s="48"/>
      <c r="Q593" s="7"/>
      <c r="R593" s="7"/>
      <c r="S593" s="7"/>
    </row>
    <row r="594" spans="2:19" ht="15" x14ac:dyDescent="0.35">
      <c r="B594" s="7"/>
      <c r="C594" s="7"/>
      <c r="D594" s="7"/>
      <c r="E594" s="7"/>
      <c r="H594" s="7"/>
      <c r="I594" s="7"/>
      <c r="J594" s="48"/>
      <c r="K594" s="48"/>
      <c r="L594" s="48"/>
      <c r="M594" s="48"/>
      <c r="N594" s="48"/>
      <c r="O594" s="48"/>
      <c r="P594" s="48"/>
      <c r="Q594" s="7"/>
      <c r="R594" s="7"/>
      <c r="S594" s="7"/>
    </row>
    <row r="595" spans="2:19" ht="15" x14ac:dyDescent="0.35">
      <c r="B595" s="7"/>
      <c r="C595" s="7"/>
      <c r="D595" s="7"/>
      <c r="E595" s="7"/>
      <c r="H595" s="7"/>
      <c r="I595" s="7"/>
      <c r="J595" s="48"/>
      <c r="K595" s="48"/>
      <c r="L595" s="48"/>
      <c r="M595" s="48"/>
      <c r="N595" s="48"/>
      <c r="O595" s="48"/>
      <c r="P595" s="48"/>
      <c r="Q595" s="7"/>
      <c r="R595" s="7"/>
      <c r="S595" s="7"/>
    </row>
    <row r="596" spans="2:19" ht="15" x14ac:dyDescent="0.35">
      <c r="B596" s="7"/>
      <c r="C596" s="7"/>
      <c r="D596" s="7"/>
      <c r="E596" s="7"/>
      <c r="H596" s="7"/>
      <c r="I596" s="7"/>
      <c r="J596" s="48"/>
      <c r="K596" s="48"/>
      <c r="L596" s="48"/>
      <c r="M596" s="48"/>
      <c r="N596" s="48"/>
      <c r="O596" s="48"/>
      <c r="P596" s="48"/>
      <c r="Q596" s="7"/>
      <c r="R596" s="7"/>
      <c r="S596" s="7"/>
    </row>
    <row r="597" spans="2:19" ht="15" x14ac:dyDescent="0.35">
      <c r="B597" s="7"/>
      <c r="C597" s="7"/>
      <c r="D597" s="7"/>
      <c r="E597" s="7"/>
      <c r="H597" s="7"/>
      <c r="I597" s="7"/>
      <c r="J597" s="48"/>
      <c r="K597" s="48"/>
      <c r="L597" s="48"/>
      <c r="M597" s="48"/>
      <c r="N597" s="48"/>
      <c r="O597" s="48"/>
      <c r="P597" s="48"/>
      <c r="Q597" s="7"/>
      <c r="R597" s="7"/>
      <c r="S597" s="7"/>
    </row>
    <row r="598" spans="2:19" ht="15" x14ac:dyDescent="0.35">
      <c r="B598" s="7"/>
      <c r="C598" s="7"/>
      <c r="D598" s="7"/>
      <c r="E598" s="7"/>
      <c r="H598" s="7"/>
      <c r="I598" s="7"/>
      <c r="J598" s="48"/>
      <c r="K598" s="48"/>
      <c r="L598" s="48"/>
      <c r="M598" s="48"/>
      <c r="N598" s="48"/>
      <c r="O598" s="48"/>
      <c r="P598" s="48"/>
      <c r="Q598" s="7"/>
      <c r="R598" s="7"/>
      <c r="S598" s="7"/>
    </row>
    <row r="599" spans="2:19" ht="15" x14ac:dyDescent="0.35">
      <c r="B599" s="7"/>
      <c r="C599" s="7"/>
      <c r="D599" s="7"/>
      <c r="E599" s="7"/>
      <c r="H599" s="7"/>
      <c r="I599" s="7"/>
      <c r="J599" s="48"/>
      <c r="K599" s="48"/>
      <c r="L599" s="48"/>
      <c r="M599" s="48"/>
      <c r="N599" s="48"/>
      <c r="O599" s="48"/>
      <c r="P599" s="48"/>
      <c r="Q599" s="7"/>
      <c r="R599" s="7"/>
      <c r="S599" s="7"/>
    </row>
    <row r="600" spans="2:19" ht="15" x14ac:dyDescent="0.35">
      <c r="B600" s="7"/>
      <c r="C600" s="7"/>
      <c r="D600" s="7"/>
      <c r="E600" s="7"/>
      <c r="H600" s="7"/>
      <c r="I600" s="7"/>
      <c r="J600" s="48"/>
      <c r="K600" s="48"/>
      <c r="L600" s="48"/>
      <c r="M600" s="48"/>
      <c r="N600" s="48"/>
      <c r="O600" s="48"/>
      <c r="P600" s="48"/>
      <c r="Q600" s="7"/>
      <c r="R600" s="7"/>
      <c r="S600" s="7"/>
    </row>
    <row r="601" spans="2:19" ht="15" x14ac:dyDescent="0.35">
      <c r="B601" s="7"/>
      <c r="C601" s="7"/>
      <c r="D601" s="7"/>
      <c r="E601" s="7"/>
      <c r="H601" s="7"/>
      <c r="I601" s="7"/>
      <c r="J601" s="48"/>
      <c r="K601" s="48"/>
      <c r="L601" s="48"/>
      <c r="M601" s="48"/>
      <c r="N601" s="48"/>
      <c r="O601" s="48"/>
      <c r="P601" s="48"/>
      <c r="Q601" s="7"/>
      <c r="R601" s="7"/>
      <c r="S601" s="7"/>
    </row>
    <row r="602" spans="2:19" ht="15" x14ac:dyDescent="0.35">
      <c r="B602" s="7"/>
      <c r="C602" s="7"/>
      <c r="D602" s="7"/>
      <c r="E602" s="7"/>
      <c r="H602" s="7"/>
      <c r="I602" s="7"/>
      <c r="J602" s="48"/>
      <c r="K602" s="48"/>
      <c r="L602" s="48"/>
      <c r="M602" s="48"/>
      <c r="N602" s="48"/>
      <c r="O602" s="48"/>
      <c r="P602" s="48"/>
      <c r="Q602" s="7"/>
      <c r="R602" s="7"/>
      <c r="S602" s="7"/>
    </row>
    <row r="603" spans="2:19" ht="15" x14ac:dyDescent="0.35">
      <c r="B603" s="7"/>
      <c r="C603" s="7"/>
      <c r="D603" s="7"/>
      <c r="E603" s="7"/>
      <c r="H603" s="7"/>
      <c r="I603" s="7"/>
      <c r="J603" s="48"/>
      <c r="K603" s="48"/>
      <c r="L603" s="48"/>
      <c r="M603" s="48"/>
      <c r="N603" s="48"/>
      <c r="O603" s="48"/>
      <c r="P603" s="48"/>
      <c r="Q603" s="7"/>
      <c r="R603" s="7"/>
      <c r="S603" s="7"/>
    </row>
    <row r="604" spans="2:19" ht="15" x14ac:dyDescent="0.35">
      <c r="B604" s="7"/>
      <c r="C604" s="7"/>
      <c r="D604" s="7"/>
      <c r="E604" s="7"/>
      <c r="H604" s="7"/>
      <c r="I604" s="7"/>
      <c r="J604" s="48"/>
      <c r="K604" s="48"/>
      <c r="L604" s="48"/>
      <c r="M604" s="48"/>
      <c r="N604" s="48"/>
      <c r="O604" s="48"/>
      <c r="P604" s="48"/>
      <c r="Q604" s="7"/>
      <c r="R604" s="7"/>
      <c r="S604" s="7"/>
    </row>
    <row r="605" spans="2:19" ht="15" x14ac:dyDescent="0.35">
      <c r="B605" s="7"/>
      <c r="C605" s="7"/>
      <c r="D605" s="7"/>
      <c r="E605" s="7"/>
      <c r="H605" s="7"/>
      <c r="I605" s="7"/>
      <c r="J605" s="48"/>
      <c r="K605" s="48"/>
      <c r="L605" s="48"/>
      <c r="M605" s="48"/>
      <c r="N605" s="48"/>
      <c r="O605" s="48"/>
      <c r="P605" s="48"/>
      <c r="Q605" s="7"/>
      <c r="R605" s="7"/>
      <c r="S605" s="7"/>
    </row>
    <row r="606" spans="2:19" ht="15" x14ac:dyDescent="0.35">
      <c r="B606" s="7"/>
      <c r="C606" s="7"/>
      <c r="D606" s="7"/>
      <c r="E606" s="7"/>
      <c r="H606" s="7"/>
      <c r="I606" s="7"/>
      <c r="J606" s="48"/>
      <c r="K606" s="48"/>
      <c r="L606" s="48"/>
      <c r="M606" s="48"/>
      <c r="N606" s="48"/>
      <c r="O606" s="48"/>
      <c r="P606" s="48"/>
      <c r="Q606" s="7"/>
      <c r="R606" s="7"/>
      <c r="S606" s="7"/>
    </row>
    <row r="607" spans="2:19" ht="15" x14ac:dyDescent="0.35">
      <c r="B607" s="7"/>
      <c r="C607" s="7"/>
      <c r="D607" s="7"/>
      <c r="E607" s="7"/>
      <c r="H607" s="7"/>
      <c r="I607" s="7"/>
      <c r="J607" s="48"/>
      <c r="K607" s="48"/>
      <c r="L607" s="48"/>
      <c r="M607" s="48"/>
      <c r="N607" s="48"/>
      <c r="O607" s="48"/>
      <c r="P607" s="48"/>
      <c r="Q607" s="7"/>
      <c r="R607" s="7"/>
      <c r="S607" s="7"/>
    </row>
    <row r="608" spans="2:19" ht="15" x14ac:dyDescent="0.35">
      <c r="B608" s="7"/>
      <c r="C608" s="7"/>
      <c r="D608" s="7"/>
      <c r="E608" s="7"/>
      <c r="H608" s="7"/>
      <c r="I608" s="7"/>
      <c r="J608" s="48"/>
      <c r="K608" s="48"/>
      <c r="L608" s="48"/>
      <c r="M608" s="48"/>
      <c r="N608" s="48"/>
      <c r="O608" s="48"/>
      <c r="P608" s="48"/>
      <c r="Q608" s="7"/>
      <c r="R608" s="7"/>
      <c r="S608" s="7"/>
    </row>
    <row r="609" spans="2:19" ht="15" x14ac:dyDescent="0.35">
      <c r="B609" s="7"/>
      <c r="C609" s="7"/>
      <c r="D609" s="7"/>
      <c r="E609" s="7"/>
      <c r="H609" s="7"/>
      <c r="I609" s="7"/>
      <c r="J609" s="48"/>
      <c r="K609" s="48"/>
      <c r="L609" s="48"/>
      <c r="M609" s="48"/>
      <c r="N609" s="48"/>
      <c r="O609" s="48"/>
      <c r="P609" s="48"/>
      <c r="Q609" s="7"/>
      <c r="R609" s="7"/>
      <c r="S609" s="7"/>
    </row>
    <row r="610" spans="2:19" ht="15" x14ac:dyDescent="0.35">
      <c r="B610" s="7"/>
      <c r="C610" s="7"/>
      <c r="D610" s="7"/>
      <c r="E610" s="7"/>
      <c r="H610" s="7"/>
      <c r="I610" s="7"/>
      <c r="J610" s="48"/>
      <c r="K610" s="48"/>
      <c r="L610" s="48"/>
      <c r="M610" s="48"/>
      <c r="N610" s="48"/>
      <c r="O610" s="48"/>
      <c r="P610" s="48"/>
      <c r="Q610" s="7"/>
      <c r="R610" s="7"/>
      <c r="S610" s="7"/>
    </row>
    <row r="611" spans="2:19" ht="15" x14ac:dyDescent="0.35">
      <c r="B611" s="7"/>
      <c r="C611" s="7"/>
      <c r="D611" s="7"/>
      <c r="E611" s="7"/>
      <c r="H611" s="7"/>
      <c r="I611" s="7"/>
      <c r="J611" s="48"/>
      <c r="K611" s="48"/>
      <c r="L611" s="48"/>
      <c r="M611" s="48"/>
      <c r="N611" s="48"/>
      <c r="O611" s="48"/>
      <c r="P611" s="48"/>
      <c r="Q611" s="7"/>
      <c r="R611" s="7"/>
      <c r="S611" s="7"/>
    </row>
    <row r="612" spans="2:19" ht="15" x14ac:dyDescent="0.35">
      <c r="B612" s="7"/>
      <c r="C612" s="7"/>
      <c r="D612" s="7"/>
      <c r="E612" s="7"/>
      <c r="H612" s="7"/>
      <c r="I612" s="7"/>
      <c r="J612" s="48"/>
      <c r="K612" s="48"/>
      <c r="L612" s="48"/>
      <c r="M612" s="48"/>
      <c r="N612" s="48"/>
      <c r="O612" s="48"/>
      <c r="P612" s="48"/>
      <c r="Q612" s="7"/>
      <c r="R612" s="7"/>
      <c r="S612" s="7"/>
    </row>
    <row r="613" spans="2:19" ht="15" x14ac:dyDescent="0.35">
      <c r="B613" s="7"/>
      <c r="C613" s="7"/>
      <c r="D613" s="7"/>
      <c r="E613" s="7"/>
      <c r="H613" s="7"/>
      <c r="I613" s="7"/>
      <c r="J613" s="48"/>
      <c r="K613" s="48"/>
      <c r="L613" s="48"/>
      <c r="M613" s="48"/>
      <c r="N613" s="48"/>
      <c r="O613" s="48"/>
      <c r="P613" s="48"/>
      <c r="Q613" s="7"/>
      <c r="R613" s="7"/>
      <c r="S613" s="7"/>
    </row>
    <row r="614" spans="2:19" ht="15" x14ac:dyDescent="0.35">
      <c r="B614" s="7"/>
      <c r="C614" s="7"/>
      <c r="D614" s="7"/>
      <c r="E614" s="7"/>
      <c r="H614" s="7"/>
      <c r="I614" s="7"/>
      <c r="J614" s="48"/>
      <c r="K614" s="48"/>
      <c r="L614" s="48"/>
      <c r="M614" s="48"/>
      <c r="N614" s="48"/>
      <c r="O614" s="48"/>
      <c r="P614" s="48"/>
      <c r="Q614" s="7"/>
      <c r="R614" s="7"/>
      <c r="S614" s="7"/>
    </row>
    <row r="615" spans="2:19" ht="15" x14ac:dyDescent="0.35">
      <c r="B615" s="7"/>
      <c r="C615" s="7"/>
      <c r="D615" s="7"/>
      <c r="E615" s="7"/>
      <c r="H615" s="7"/>
      <c r="I615" s="7"/>
      <c r="J615" s="48"/>
      <c r="K615" s="48"/>
      <c r="L615" s="48"/>
      <c r="M615" s="48"/>
      <c r="N615" s="48"/>
      <c r="O615" s="48"/>
      <c r="P615" s="48"/>
      <c r="Q615" s="7"/>
      <c r="R615" s="7"/>
      <c r="S615" s="7"/>
    </row>
    <row r="616" spans="2:19" ht="15" x14ac:dyDescent="0.35">
      <c r="B616" s="7"/>
      <c r="C616" s="7"/>
      <c r="D616" s="7"/>
      <c r="E616" s="7"/>
      <c r="H616" s="7"/>
      <c r="I616" s="7"/>
      <c r="J616" s="48"/>
      <c r="K616" s="48"/>
      <c r="L616" s="48"/>
      <c r="M616" s="48"/>
      <c r="N616" s="48"/>
      <c r="O616" s="48"/>
      <c r="P616" s="48"/>
      <c r="Q616" s="7"/>
      <c r="R616" s="7"/>
      <c r="S616" s="7"/>
    </row>
    <row r="617" spans="2:19" ht="15" x14ac:dyDescent="0.35">
      <c r="B617" s="7"/>
      <c r="C617" s="7"/>
      <c r="D617" s="7"/>
      <c r="E617" s="7"/>
      <c r="H617" s="7"/>
      <c r="I617" s="7"/>
      <c r="J617" s="48"/>
      <c r="K617" s="48"/>
      <c r="L617" s="48"/>
      <c r="M617" s="48"/>
      <c r="N617" s="48"/>
      <c r="O617" s="48"/>
      <c r="P617" s="48"/>
      <c r="Q617" s="7"/>
      <c r="R617" s="7"/>
      <c r="S617" s="7"/>
    </row>
    <row r="618" spans="2:19" ht="15" x14ac:dyDescent="0.35">
      <c r="B618" s="7"/>
      <c r="C618" s="7"/>
      <c r="D618" s="7"/>
      <c r="E618" s="7"/>
      <c r="H618" s="7"/>
      <c r="I618" s="7"/>
      <c r="J618" s="48"/>
      <c r="K618" s="48"/>
      <c r="L618" s="48"/>
      <c r="M618" s="48"/>
      <c r="N618" s="48"/>
      <c r="O618" s="48"/>
      <c r="P618" s="48"/>
      <c r="Q618" s="7"/>
      <c r="R618" s="7"/>
      <c r="S618" s="7"/>
    </row>
    <row r="619" spans="2:19" ht="15" x14ac:dyDescent="0.35">
      <c r="B619" s="7"/>
      <c r="C619" s="7"/>
      <c r="D619" s="7"/>
      <c r="E619" s="7"/>
      <c r="H619" s="7"/>
      <c r="I619" s="7"/>
      <c r="J619" s="48"/>
      <c r="K619" s="48"/>
      <c r="L619" s="48"/>
      <c r="M619" s="48"/>
      <c r="N619" s="48"/>
      <c r="O619" s="48"/>
      <c r="P619" s="48"/>
      <c r="Q619" s="7"/>
      <c r="R619" s="7"/>
      <c r="S619" s="7"/>
    </row>
    <row r="620" spans="2:19" ht="15" x14ac:dyDescent="0.35">
      <c r="B620" s="7"/>
      <c r="C620" s="7"/>
      <c r="D620" s="7"/>
      <c r="E620" s="7"/>
      <c r="H620" s="7"/>
      <c r="I620" s="7"/>
      <c r="J620" s="48"/>
      <c r="K620" s="48"/>
      <c r="L620" s="48"/>
      <c r="M620" s="48"/>
      <c r="N620" s="48"/>
      <c r="O620" s="48"/>
      <c r="P620" s="48"/>
      <c r="Q620" s="7"/>
      <c r="R620" s="7"/>
      <c r="S620" s="7"/>
    </row>
    <row r="621" spans="2:19" ht="15" x14ac:dyDescent="0.35">
      <c r="B621" s="7"/>
      <c r="C621" s="7"/>
      <c r="D621" s="7"/>
      <c r="E621" s="7"/>
      <c r="H621" s="7"/>
      <c r="I621" s="7"/>
      <c r="J621" s="48"/>
      <c r="K621" s="48"/>
      <c r="L621" s="48"/>
      <c r="M621" s="48"/>
      <c r="N621" s="48"/>
      <c r="O621" s="48"/>
      <c r="P621" s="48"/>
      <c r="Q621" s="7"/>
      <c r="R621" s="7"/>
      <c r="S621" s="7"/>
    </row>
    <row r="622" spans="2:19" ht="15" x14ac:dyDescent="0.35">
      <c r="B622" s="7"/>
      <c r="C622" s="7"/>
      <c r="D622" s="7"/>
      <c r="E622" s="7"/>
      <c r="H622" s="7"/>
      <c r="I622" s="7"/>
      <c r="J622" s="48"/>
      <c r="K622" s="48"/>
      <c r="L622" s="48"/>
      <c r="M622" s="48"/>
      <c r="N622" s="48"/>
      <c r="O622" s="48"/>
      <c r="P622" s="48"/>
      <c r="Q622" s="7"/>
      <c r="R622" s="7"/>
      <c r="S622" s="7"/>
    </row>
    <row r="623" spans="2:19" ht="15" x14ac:dyDescent="0.35">
      <c r="B623" s="7"/>
      <c r="C623" s="7"/>
      <c r="D623" s="7"/>
      <c r="E623" s="7"/>
      <c r="H623" s="7"/>
      <c r="I623" s="7"/>
      <c r="J623" s="48"/>
      <c r="K623" s="48"/>
      <c r="L623" s="48"/>
      <c r="M623" s="48"/>
      <c r="N623" s="48"/>
      <c r="O623" s="48"/>
      <c r="P623" s="48"/>
      <c r="Q623" s="7"/>
      <c r="R623" s="7"/>
      <c r="S623" s="7"/>
    </row>
    <row r="624" spans="2:19" ht="15" x14ac:dyDescent="0.35">
      <c r="B624" s="7"/>
      <c r="C624" s="7"/>
      <c r="D624" s="7"/>
      <c r="E624" s="7"/>
      <c r="H624" s="7"/>
      <c r="I624" s="7"/>
      <c r="J624" s="48"/>
      <c r="K624" s="48"/>
      <c r="L624" s="48"/>
      <c r="M624" s="48"/>
      <c r="N624" s="48"/>
      <c r="O624" s="48"/>
      <c r="P624" s="48"/>
      <c r="Q624" s="7"/>
      <c r="R624" s="7"/>
      <c r="S624" s="7"/>
    </row>
    <row r="625" spans="2:19" ht="15" x14ac:dyDescent="0.35">
      <c r="B625" s="7"/>
      <c r="C625" s="7"/>
      <c r="D625" s="7"/>
      <c r="E625" s="7"/>
      <c r="H625" s="7"/>
      <c r="I625" s="7"/>
      <c r="J625" s="48"/>
      <c r="K625" s="48"/>
      <c r="L625" s="48"/>
      <c r="M625" s="48"/>
      <c r="N625" s="48"/>
      <c r="O625" s="48"/>
      <c r="P625" s="48"/>
      <c r="Q625" s="7"/>
      <c r="R625" s="7"/>
      <c r="S625" s="7"/>
    </row>
    <row r="626" spans="2:19" ht="15" x14ac:dyDescent="0.35">
      <c r="B626" s="7"/>
      <c r="C626" s="7"/>
      <c r="D626" s="7"/>
      <c r="E626" s="7"/>
      <c r="H626" s="7"/>
      <c r="I626" s="7"/>
      <c r="J626" s="48"/>
      <c r="K626" s="48"/>
      <c r="L626" s="48"/>
      <c r="M626" s="48"/>
      <c r="N626" s="48"/>
      <c r="O626" s="48"/>
      <c r="P626" s="48"/>
      <c r="Q626" s="7"/>
      <c r="R626" s="7"/>
      <c r="S626" s="7"/>
    </row>
    <row r="627" spans="2:19" ht="15" x14ac:dyDescent="0.35">
      <c r="B627" s="7"/>
      <c r="C627" s="7"/>
      <c r="D627" s="7"/>
      <c r="E627" s="7"/>
      <c r="H627" s="7"/>
      <c r="I627" s="7"/>
      <c r="J627" s="48"/>
      <c r="K627" s="48"/>
      <c r="L627" s="48"/>
      <c r="M627" s="48"/>
      <c r="N627" s="48"/>
      <c r="O627" s="48"/>
      <c r="P627" s="48"/>
      <c r="Q627" s="7"/>
      <c r="R627" s="7"/>
      <c r="S627" s="7"/>
    </row>
    <row r="628" spans="2:19" ht="15" x14ac:dyDescent="0.35">
      <c r="B628" s="7"/>
      <c r="C628" s="7"/>
      <c r="D628" s="7"/>
      <c r="E628" s="7"/>
      <c r="H628" s="7"/>
      <c r="I628" s="7"/>
      <c r="J628" s="48"/>
      <c r="K628" s="48"/>
      <c r="L628" s="48"/>
      <c r="M628" s="48"/>
      <c r="N628" s="48"/>
      <c r="O628" s="48"/>
      <c r="P628" s="48"/>
      <c r="Q628" s="7"/>
      <c r="R628" s="7"/>
      <c r="S628" s="7"/>
    </row>
    <row r="629" spans="2:19" ht="15" x14ac:dyDescent="0.35">
      <c r="B629" s="7"/>
      <c r="C629" s="7"/>
      <c r="D629" s="7"/>
      <c r="E629" s="7"/>
      <c r="H629" s="7"/>
      <c r="I629" s="7"/>
      <c r="J629" s="48"/>
      <c r="K629" s="48"/>
      <c r="L629" s="48"/>
      <c r="M629" s="48"/>
      <c r="N629" s="48"/>
      <c r="O629" s="48"/>
      <c r="P629" s="48"/>
      <c r="Q629" s="7"/>
      <c r="R629" s="7"/>
      <c r="S629" s="7"/>
    </row>
    <row r="630" spans="2:19" ht="15" x14ac:dyDescent="0.35">
      <c r="B630" s="7"/>
      <c r="C630" s="7"/>
      <c r="D630" s="7"/>
      <c r="E630" s="7"/>
      <c r="H630" s="7"/>
      <c r="I630" s="7"/>
      <c r="J630" s="48"/>
      <c r="K630" s="48"/>
      <c r="L630" s="48"/>
      <c r="M630" s="48"/>
      <c r="N630" s="48"/>
      <c r="O630" s="48"/>
      <c r="P630" s="48"/>
      <c r="Q630" s="7"/>
      <c r="R630" s="7"/>
      <c r="S630" s="7"/>
    </row>
    <row r="631" spans="2:19" ht="15" x14ac:dyDescent="0.35">
      <c r="B631" s="7"/>
      <c r="C631" s="7"/>
      <c r="D631" s="7"/>
      <c r="E631" s="7"/>
      <c r="H631" s="7"/>
      <c r="I631" s="7"/>
      <c r="J631" s="48"/>
      <c r="K631" s="48"/>
      <c r="L631" s="48"/>
      <c r="M631" s="48"/>
      <c r="N631" s="48"/>
      <c r="O631" s="48"/>
      <c r="P631" s="48"/>
      <c r="Q631" s="7"/>
      <c r="R631" s="7"/>
      <c r="S631" s="7"/>
    </row>
    <row r="632" spans="2:19" ht="15" x14ac:dyDescent="0.35">
      <c r="B632" s="7"/>
      <c r="C632" s="7"/>
      <c r="D632" s="7"/>
      <c r="E632" s="7"/>
      <c r="H632" s="7"/>
      <c r="I632" s="7"/>
      <c r="J632" s="48"/>
      <c r="K632" s="48"/>
      <c r="L632" s="48"/>
      <c r="M632" s="48"/>
      <c r="N632" s="48"/>
      <c r="O632" s="48"/>
      <c r="P632" s="48"/>
      <c r="Q632" s="7"/>
      <c r="R632" s="7"/>
      <c r="S632" s="7"/>
    </row>
    <row r="633" spans="2:19" ht="15" x14ac:dyDescent="0.35">
      <c r="B633" s="7"/>
      <c r="C633" s="7"/>
      <c r="D633" s="7"/>
      <c r="E633" s="7"/>
      <c r="H633" s="7"/>
      <c r="I633" s="7"/>
      <c r="J633" s="48"/>
      <c r="K633" s="48"/>
      <c r="L633" s="48"/>
      <c r="M633" s="48"/>
      <c r="N633" s="48"/>
      <c r="O633" s="48"/>
      <c r="P633" s="48"/>
      <c r="Q633" s="7"/>
      <c r="R633" s="7"/>
      <c r="S633" s="7"/>
    </row>
    <row r="634" spans="2:19" ht="15" x14ac:dyDescent="0.35">
      <c r="B634" s="7"/>
      <c r="C634" s="7"/>
      <c r="D634" s="7"/>
      <c r="E634" s="7"/>
      <c r="H634" s="7"/>
      <c r="I634" s="7"/>
      <c r="J634" s="48"/>
      <c r="K634" s="48"/>
      <c r="L634" s="48"/>
      <c r="M634" s="48"/>
      <c r="N634" s="48"/>
      <c r="O634" s="48"/>
      <c r="P634" s="48"/>
      <c r="Q634" s="7"/>
      <c r="R634" s="7"/>
      <c r="S634" s="7"/>
    </row>
    <row r="635" spans="2:19" ht="15" x14ac:dyDescent="0.35">
      <c r="B635" s="7"/>
      <c r="C635" s="7"/>
      <c r="D635" s="7"/>
      <c r="E635" s="7"/>
      <c r="H635" s="7"/>
      <c r="I635" s="7"/>
      <c r="J635" s="48"/>
      <c r="K635" s="48"/>
      <c r="L635" s="48"/>
      <c r="M635" s="48"/>
      <c r="N635" s="48"/>
      <c r="O635" s="48"/>
      <c r="P635" s="48"/>
      <c r="Q635" s="7"/>
      <c r="R635" s="7"/>
      <c r="S635" s="7"/>
    </row>
    <row r="636" spans="2:19" ht="15" x14ac:dyDescent="0.35">
      <c r="B636" s="7"/>
      <c r="C636" s="7"/>
      <c r="D636" s="7"/>
      <c r="E636" s="7"/>
      <c r="H636" s="7"/>
      <c r="I636" s="7"/>
      <c r="J636" s="48"/>
      <c r="K636" s="48"/>
      <c r="L636" s="48"/>
      <c r="M636" s="48"/>
      <c r="N636" s="48"/>
      <c r="O636" s="48"/>
      <c r="P636" s="48"/>
      <c r="Q636" s="7"/>
      <c r="R636" s="7"/>
      <c r="S636" s="7"/>
    </row>
    <row r="637" spans="2:19" ht="15" x14ac:dyDescent="0.35">
      <c r="B637" s="7"/>
      <c r="C637" s="7"/>
      <c r="D637" s="7"/>
      <c r="E637" s="7"/>
      <c r="H637" s="7"/>
      <c r="I637" s="7"/>
      <c r="J637" s="48"/>
      <c r="K637" s="48"/>
      <c r="L637" s="48"/>
      <c r="M637" s="48"/>
      <c r="N637" s="48"/>
      <c r="O637" s="48"/>
      <c r="P637" s="48"/>
      <c r="Q637" s="7"/>
      <c r="R637" s="7"/>
      <c r="S637" s="7"/>
    </row>
    <row r="638" spans="2:19" ht="15" x14ac:dyDescent="0.35">
      <c r="B638" s="7"/>
      <c r="C638" s="7"/>
      <c r="D638" s="7"/>
      <c r="E638" s="7"/>
      <c r="H638" s="7"/>
      <c r="I638" s="7"/>
      <c r="J638" s="48"/>
      <c r="K638" s="48"/>
      <c r="L638" s="48"/>
      <c r="M638" s="48"/>
      <c r="N638" s="48"/>
      <c r="O638" s="48"/>
      <c r="P638" s="48"/>
      <c r="Q638" s="7"/>
      <c r="R638" s="7"/>
      <c r="S638" s="7"/>
    </row>
    <row r="639" spans="2:19" ht="15" x14ac:dyDescent="0.35">
      <c r="B639" s="7"/>
      <c r="C639" s="7"/>
      <c r="D639" s="7"/>
      <c r="E639" s="7"/>
      <c r="H639" s="7"/>
      <c r="I639" s="7"/>
      <c r="J639" s="48"/>
      <c r="K639" s="48"/>
      <c r="L639" s="48"/>
      <c r="M639" s="48"/>
      <c r="N639" s="48"/>
      <c r="O639" s="48"/>
      <c r="P639" s="48"/>
      <c r="Q639" s="7"/>
      <c r="R639" s="7"/>
      <c r="S639" s="7"/>
    </row>
    <row r="640" spans="2:19" ht="15" x14ac:dyDescent="0.35">
      <c r="B640" s="7"/>
      <c r="C640" s="7"/>
      <c r="D640" s="7"/>
      <c r="E640" s="7"/>
      <c r="H640" s="7"/>
      <c r="I640" s="7"/>
      <c r="J640" s="48"/>
      <c r="K640" s="48"/>
      <c r="L640" s="48"/>
      <c r="M640" s="48"/>
      <c r="N640" s="48"/>
      <c r="O640" s="48"/>
      <c r="P640" s="48"/>
      <c r="Q640" s="7"/>
      <c r="R640" s="7"/>
      <c r="S640" s="7"/>
    </row>
    <row r="641" spans="2:19" ht="15" x14ac:dyDescent="0.35">
      <c r="B641" s="7"/>
      <c r="C641" s="7"/>
      <c r="D641" s="7"/>
      <c r="E641" s="7"/>
      <c r="H641" s="7"/>
      <c r="I641" s="7"/>
      <c r="J641" s="48"/>
      <c r="K641" s="48"/>
      <c r="L641" s="48"/>
      <c r="M641" s="48"/>
      <c r="N641" s="48"/>
      <c r="O641" s="48"/>
      <c r="P641" s="48"/>
      <c r="Q641" s="7"/>
      <c r="R641" s="7"/>
      <c r="S641" s="7"/>
    </row>
    <row r="642" spans="2:19" ht="15" x14ac:dyDescent="0.35">
      <c r="B642" s="7"/>
      <c r="C642" s="7"/>
      <c r="D642" s="7"/>
      <c r="E642" s="7"/>
      <c r="H642" s="7"/>
      <c r="I642" s="7"/>
      <c r="J642" s="48"/>
      <c r="K642" s="48"/>
      <c r="L642" s="48"/>
      <c r="M642" s="48"/>
      <c r="N642" s="48"/>
      <c r="O642" s="48"/>
      <c r="P642" s="48"/>
      <c r="Q642" s="7"/>
      <c r="R642" s="7"/>
      <c r="S642" s="7"/>
    </row>
    <row r="643" spans="2:19" ht="15" x14ac:dyDescent="0.35">
      <c r="B643" s="7"/>
      <c r="C643" s="7"/>
      <c r="D643" s="7"/>
      <c r="E643" s="7"/>
      <c r="H643" s="7"/>
      <c r="I643" s="7"/>
      <c r="J643" s="48"/>
      <c r="K643" s="48"/>
      <c r="L643" s="48"/>
      <c r="M643" s="48"/>
      <c r="N643" s="48"/>
      <c r="O643" s="48"/>
      <c r="P643" s="48"/>
      <c r="Q643" s="7"/>
      <c r="R643" s="7"/>
      <c r="S643" s="7"/>
    </row>
    <row r="644" spans="2:19" ht="15" x14ac:dyDescent="0.35">
      <c r="B644" s="7"/>
      <c r="C644" s="7"/>
      <c r="D644" s="7"/>
      <c r="E644" s="7"/>
      <c r="H644" s="7"/>
      <c r="I644" s="7"/>
      <c r="J644" s="48"/>
      <c r="K644" s="48"/>
      <c r="L644" s="48"/>
      <c r="M644" s="48"/>
      <c r="N644" s="48"/>
      <c r="O644" s="48"/>
      <c r="P644" s="48"/>
      <c r="Q644" s="7"/>
      <c r="R644" s="7"/>
      <c r="S644" s="7"/>
    </row>
    <row r="645" spans="2:19" ht="15" x14ac:dyDescent="0.35">
      <c r="B645" s="7"/>
      <c r="C645" s="7"/>
      <c r="D645" s="7"/>
      <c r="E645" s="7"/>
      <c r="H645" s="7"/>
      <c r="I645" s="7"/>
      <c r="J645" s="48"/>
      <c r="K645" s="48"/>
      <c r="L645" s="48"/>
      <c r="M645" s="48"/>
      <c r="N645" s="48"/>
      <c r="O645" s="48"/>
      <c r="P645" s="48"/>
      <c r="Q645" s="7"/>
      <c r="R645" s="7"/>
      <c r="S645" s="7"/>
    </row>
    <row r="646" spans="2:19" ht="15" x14ac:dyDescent="0.35">
      <c r="B646" s="7"/>
      <c r="C646" s="7"/>
      <c r="D646" s="7"/>
      <c r="E646" s="7"/>
      <c r="H646" s="7"/>
      <c r="I646" s="7"/>
      <c r="J646" s="48"/>
      <c r="K646" s="48"/>
      <c r="L646" s="48"/>
      <c r="M646" s="48"/>
      <c r="N646" s="48"/>
      <c r="O646" s="48"/>
      <c r="P646" s="48"/>
      <c r="Q646" s="7"/>
      <c r="R646" s="7"/>
      <c r="S646" s="7"/>
    </row>
    <row r="647" spans="2:19" ht="15" x14ac:dyDescent="0.35">
      <c r="B647" s="7"/>
      <c r="C647" s="7"/>
      <c r="D647" s="7"/>
      <c r="E647" s="7"/>
      <c r="H647" s="7"/>
      <c r="I647" s="7"/>
      <c r="J647" s="48"/>
      <c r="K647" s="48"/>
      <c r="L647" s="48"/>
      <c r="M647" s="48"/>
      <c r="N647" s="48"/>
      <c r="O647" s="48"/>
      <c r="P647" s="48"/>
      <c r="Q647" s="7"/>
      <c r="R647" s="7"/>
      <c r="S647" s="7"/>
    </row>
    <row r="648" spans="2:19" ht="15" x14ac:dyDescent="0.35">
      <c r="B648" s="7"/>
      <c r="C648" s="7"/>
      <c r="D648" s="7"/>
      <c r="E648" s="7"/>
      <c r="H648" s="7"/>
      <c r="I648" s="7"/>
      <c r="J648" s="48"/>
      <c r="K648" s="48"/>
      <c r="L648" s="48"/>
      <c r="M648" s="48"/>
      <c r="N648" s="48"/>
      <c r="O648" s="48"/>
      <c r="P648" s="48"/>
      <c r="Q648" s="7"/>
      <c r="R648" s="7"/>
      <c r="S648" s="7"/>
    </row>
    <row r="649" spans="2:19" ht="15" x14ac:dyDescent="0.35">
      <c r="B649" s="7"/>
      <c r="C649" s="7"/>
      <c r="D649" s="7"/>
      <c r="E649" s="7"/>
      <c r="H649" s="7"/>
      <c r="I649" s="7"/>
      <c r="J649" s="48"/>
      <c r="K649" s="48"/>
      <c r="L649" s="48"/>
      <c r="M649" s="48"/>
      <c r="N649" s="48"/>
      <c r="O649" s="48"/>
      <c r="P649" s="48"/>
      <c r="Q649" s="7"/>
      <c r="R649" s="7"/>
      <c r="S649" s="7"/>
    </row>
    <row r="650" spans="2:19" ht="15" x14ac:dyDescent="0.35">
      <c r="B650" s="7"/>
      <c r="C650" s="7"/>
      <c r="D650" s="7"/>
      <c r="E650" s="7"/>
      <c r="H650" s="7"/>
      <c r="I650" s="7"/>
      <c r="J650" s="48"/>
      <c r="K650" s="48"/>
      <c r="L650" s="48"/>
      <c r="M650" s="48"/>
      <c r="N650" s="48"/>
      <c r="O650" s="48"/>
      <c r="P650" s="48"/>
      <c r="Q650" s="7"/>
      <c r="R650" s="7"/>
      <c r="S650" s="7"/>
    </row>
    <row r="651" spans="2:19" ht="15" x14ac:dyDescent="0.35">
      <c r="B651" s="7"/>
      <c r="C651" s="7"/>
      <c r="D651" s="7"/>
      <c r="E651" s="7"/>
      <c r="H651" s="7"/>
      <c r="I651" s="7"/>
      <c r="J651" s="48"/>
      <c r="K651" s="48"/>
      <c r="L651" s="48"/>
      <c r="M651" s="48"/>
      <c r="N651" s="48"/>
      <c r="O651" s="48"/>
      <c r="P651" s="48"/>
      <c r="Q651" s="7"/>
      <c r="R651" s="7"/>
      <c r="S651" s="7"/>
    </row>
    <row r="652" spans="2:19" ht="15" x14ac:dyDescent="0.35">
      <c r="B652" s="7"/>
      <c r="C652" s="7"/>
      <c r="D652" s="7"/>
      <c r="E652" s="7"/>
      <c r="H652" s="7"/>
      <c r="I652" s="7"/>
      <c r="J652" s="48"/>
      <c r="K652" s="48"/>
      <c r="L652" s="48"/>
      <c r="M652" s="48"/>
      <c r="N652" s="48"/>
      <c r="O652" s="48"/>
      <c r="P652" s="48"/>
      <c r="Q652" s="7"/>
      <c r="R652" s="7"/>
      <c r="S652" s="7"/>
    </row>
    <row r="653" spans="2:19" ht="15" x14ac:dyDescent="0.35">
      <c r="B653" s="7"/>
      <c r="C653" s="7"/>
      <c r="D653" s="7"/>
      <c r="E653" s="7"/>
      <c r="H653" s="7"/>
      <c r="I653" s="7"/>
      <c r="J653" s="48"/>
      <c r="K653" s="48"/>
      <c r="L653" s="48"/>
      <c r="M653" s="48"/>
      <c r="N653" s="48"/>
      <c r="O653" s="48"/>
      <c r="P653" s="48"/>
      <c r="Q653" s="7"/>
      <c r="R653" s="7"/>
      <c r="S653" s="7"/>
    </row>
    <row r="654" spans="2:19" ht="15" x14ac:dyDescent="0.35">
      <c r="B654" s="7"/>
      <c r="C654" s="7"/>
      <c r="D654" s="7"/>
      <c r="E654" s="7"/>
      <c r="H654" s="7"/>
      <c r="I654" s="7"/>
      <c r="J654" s="48"/>
      <c r="K654" s="48"/>
      <c r="L654" s="48"/>
      <c r="M654" s="48"/>
      <c r="N654" s="48"/>
      <c r="O654" s="48"/>
      <c r="P654" s="48"/>
      <c r="Q654" s="7"/>
      <c r="R654" s="7"/>
      <c r="S654" s="7"/>
    </row>
    <row r="655" spans="2:19" ht="15" x14ac:dyDescent="0.35">
      <c r="B655" s="7"/>
      <c r="C655" s="7"/>
      <c r="D655" s="7"/>
      <c r="E655" s="7"/>
      <c r="H655" s="7"/>
      <c r="I655" s="7"/>
      <c r="J655" s="48"/>
      <c r="K655" s="48"/>
      <c r="L655" s="48"/>
      <c r="M655" s="48"/>
      <c r="N655" s="48"/>
      <c r="O655" s="48"/>
      <c r="P655" s="48"/>
      <c r="Q655" s="7"/>
      <c r="R655" s="7"/>
      <c r="S655" s="7"/>
    </row>
    <row r="656" spans="2:19" ht="15" x14ac:dyDescent="0.35">
      <c r="B656" s="7"/>
      <c r="C656" s="7"/>
      <c r="D656" s="7"/>
      <c r="E656" s="7"/>
      <c r="H656" s="7"/>
      <c r="I656" s="7"/>
      <c r="J656" s="48"/>
      <c r="K656" s="48"/>
      <c r="L656" s="48"/>
      <c r="M656" s="48"/>
      <c r="N656" s="48"/>
      <c r="O656" s="48"/>
      <c r="P656" s="48"/>
      <c r="Q656" s="7"/>
      <c r="R656" s="7"/>
      <c r="S656" s="7"/>
    </row>
    <row r="657" spans="2:19" ht="15" x14ac:dyDescent="0.35">
      <c r="B657" s="7"/>
      <c r="C657" s="7"/>
      <c r="D657" s="7"/>
      <c r="E657" s="7"/>
      <c r="H657" s="7"/>
      <c r="I657" s="7"/>
      <c r="J657" s="48"/>
      <c r="K657" s="48"/>
      <c r="L657" s="48"/>
      <c r="M657" s="48"/>
      <c r="N657" s="48"/>
      <c r="O657" s="48"/>
      <c r="P657" s="48"/>
      <c r="Q657" s="7"/>
      <c r="R657" s="7"/>
      <c r="S657" s="7"/>
    </row>
    <row r="658" spans="2:19" ht="15" x14ac:dyDescent="0.35">
      <c r="B658" s="7"/>
      <c r="C658" s="7"/>
      <c r="D658" s="7"/>
      <c r="E658" s="7"/>
      <c r="H658" s="7"/>
      <c r="I658" s="7"/>
      <c r="J658" s="48"/>
      <c r="K658" s="48"/>
      <c r="L658" s="48"/>
      <c r="M658" s="48"/>
      <c r="N658" s="48"/>
      <c r="O658" s="48"/>
      <c r="P658" s="48"/>
      <c r="Q658" s="7"/>
      <c r="R658" s="7"/>
      <c r="S658" s="7"/>
    </row>
    <row r="659" spans="2:19" ht="15" x14ac:dyDescent="0.35">
      <c r="B659" s="7"/>
      <c r="C659" s="7"/>
      <c r="D659" s="7"/>
      <c r="E659" s="7"/>
      <c r="H659" s="7"/>
      <c r="I659" s="7"/>
      <c r="J659" s="48"/>
      <c r="K659" s="48"/>
      <c r="L659" s="48"/>
      <c r="M659" s="48"/>
      <c r="N659" s="48"/>
      <c r="O659" s="48"/>
      <c r="P659" s="48"/>
      <c r="Q659" s="7"/>
      <c r="R659" s="7"/>
      <c r="S659" s="7"/>
    </row>
    <row r="660" spans="2:19" ht="15" x14ac:dyDescent="0.35">
      <c r="B660" s="7"/>
      <c r="C660" s="7"/>
      <c r="D660" s="7"/>
      <c r="E660" s="7"/>
      <c r="H660" s="7"/>
      <c r="I660" s="7"/>
      <c r="J660" s="48"/>
      <c r="K660" s="48"/>
      <c r="L660" s="48"/>
      <c r="M660" s="48"/>
      <c r="N660" s="48"/>
      <c r="O660" s="48"/>
      <c r="P660" s="48"/>
      <c r="Q660" s="7"/>
      <c r="R660" s="7"/>
      <c r="S660" s="7"/>
    </row>
    <row r="661" spans="2:19" ht="15" x14ac:dyDescent="0.35">
      <c r="B661" s="7"/>
      <c r="C661" s="7"/>
      <c r="D661" s="7"/>
      <c r="E661" s="7"/>
      <c r="H661" s="7"/>
      <c r="I661" s="7"/>
      <c r="J661" s="48"/>
      <c r="K661" s="48"/>
      <c r="L661" s="48"/>
      <c r="M661" s="48"/>
      <c r="N661" s="48"/>
      <c r="O661" s="48"/>
      <c r="P661" s="48"/>
      <c r="Q661" s="7"/>
      <c r="R661" s="7"/>
      <c r="S661" s="7"/>
    </row>
    <row r="662" spans="2:19" ht="15" x14ac:dyDescent="0.35">
      <c r="B662" s="7"/>
      <c r="C662" s="7"/>
      <c r="D662" s="7"/>
      <c r="E662" s="7"/>
      <c r="H662" s="7"/>
      <c r="I662" s="7"/>
      <c r="J662" s="48"/>
      <c r="K662" s="48"/>
      <c r="L662" s="48"/>
      <c r="M662" s="48"/>
      <c r="N662" s="48"/>
      <c r="O662" s="48"/>
      <c r="P662" s="48"/>
      <c r="Q662" s="7"/>
      <c r="R662" s="7"/>
      <c r="S662" s="7"/>
    </row>
    <row r="663" spans="2:19" ht="15" x14ac:dyDescent="0.35">
      <c r="B663" s="7"/>
      <c r="C663" s="7"/>
      <c r="D663" s="7"/>
      <c r="E663" s="7"/>
      <c r="H663" s="7"/>
      <c r="I663" s="7"/>
      <c r="J663" s="48"/>
      <c r="K663" s="48"/>
      <c r="L663" s="48"/>
      <c r="M663" s="48"/>
      <c r="N663" s="48"/>
      <c r="O663" s="48"/>
      <c r="P663" s="48"/>
      <c r="Q663" s="7"/>
      <c r="R663" s="7"/>
      <c r="S663" s="7"/>
    </row>
    <row r="664" spans="2:19" ht="15" x14ac:dyDescent="0.35">
      <c r="B664" s="7"/>
      <c r="C664" s="7"/>
      <c r="D664" s="7"/>
      <c r="E664" s="7"/>
      <c r="H664" s="7"/>
      <c r="I664" s="7"/>
      <c r="J664" s="48"/>
      <c r="K664" s="48"/>
      <c r="L664" s="48"/>
      <c r="M664" s="48"/>
      <c r="N664" s="48"/>
      <c r="O664" s="48"/>
      <c r="P664" s="48"/>
      <c r="Q664" s="7"/>
      <c r="R664" s="7"/>
      <c r="S664" s="7"/>
    </row>
    <row r="665" spans="2:19" ht="15" x14ac:dyDescent="0.35">
      <c r="B665" s="7"/>
      <c r="C665" s="7"/>
      <c r="D665" s="7"/>
      <c r="E665" s="7"/>
      <c r="H665" s="7"/>
      <c r="I665" s="7"/>
      <c r="J665" s="48"/>
      <c r="K665" s="48"/>
      <c r="L665" s="48"/>
      <c r="M665" s="48"/>
      <c r="N665" s="48"/>
      <c r="O665" s="48"/>
      <c r="P665" s="48"/>
      <c r="Q665" s="7"/>
      <c r="R665" s="7"/>
      <c r="S665" s="7"/>
    </row>
    <row r="666" spans="2:19" ht="15" x14ac:dyDescent="0.35">
      <c r="B666" s="7"/>
      <c r="C666" s="7"/>
      <c r="D666" s="7"/>
      <c r="E666" s="7"/>
      <c r="H666" s="7"/>
      <c r="I666" s="7"/>
      <c r="J666" s="48"/>
      <c r="K666" s="48"/>
      <c r="L666" s="48"/>
      <c r="M666" s="48"/>
      <c r="N666" s="48"/>
      <c r="O666" s="48"/>
      <c r="P666" s="48"/>
      <c r="Q666" s="7"/>
      <c r="R666" s="7"/>
      <c r="S666" s="7"/>
    </row>
    <row r="667" spans="2:19" ht="15" x14ac:dyDescent="0.35">
      <c r="B667" s="7"/>
      <c r="C667" s="7"/>
      <c r="D667" s="7"/>
      <c r="E667" s="7"/>
      <c r="H667" s="7"/>
      <c r="I667" s="7"/>
      <c r="J667" s="48"/>
      <c r="K667" s="48"/>
      <c r="L667" s="48"/>
      <c r="M667" s="48"/>
      <c r="N667" s="48"/>
      <c r="O667" s="48"/>
      <c r="P667" s="48"/>
      <c r="Q667" s="7"/>
      <c r="R667" s="7"/>
      <c r="S667" s="7"/>
    </row>
    <row r="668" spans="2:19" ht="15" x14ac:dyDescent="0.35">
      <c r="B668" s="7"/>
      <c r="C668" s="7"/>
      <c r="D668" s="7"/>
      <c r="E668" s="7"/>
      <c r="H668" s="7"/>
      <c r="I668" s="7"/>
      <c r="J668" s="48"/>
      <c r="K668" s="48"/>
      <c r="L668" s="48"/>
      <c r="M668" s="48"/>
      <c r="N668" s="48"/>
      <c r="O668" s="48"/>
      <c r="P668" s="48"/>
      <c r="Q668" s="7"/>
      <c r="R668" s="7"/>
      <c r="S668" s="7"/>
    </row>
    <row r="669" spans="2:19" ht="15" x14ac:dyDescent="0.35">
      <c r="B669" s="7"/>
      <c r="C669" s="7"/>
      <c r="D669" s="7"/>
      <c r="E669" s="7"/>
      <c r="H669" s="7"/>
      <c r="I669" s="7"/>
      <c r="J669" s="48"/>
      <c r="K669" s="48"/>
      <c r="L669" s="48"/>
      <c r="M669" s="48"/>
      <c r="N669" s="48"/>
      <c r="O669" s="48"/>
      <c r="P669" s="48"/>
      <c r="Q669" s="7"/>
      <c r="R669" s="7"/>
      <c r="S669" s="7"/>
    </row>
    <row r="670" spans="2:19" ht="15" x14ac:dyDescent="0.35">
      <c r="B670" s="7"/>
      <c r="C670" s="7"/>
      <c r="D670" s="7"/>
      <c r="E670" s="7"/>
      <c r="H670" s="7"/>
      <c r="I670" s="7"/>
      <c r="J670" s="48"/>
      <c r="K670" s="48"/>
      <c r="L670" s="48"/>
      <c r="M670" s="48"/>
      <c r="N670" s="48"/>
      <c r="O670" s="48"/>
      <c r="P670" s="48"/>
      <c r="Q670" s="7"/>
      <c r="R670" s="7"/>
      <c r="S670" s="7"/>
    </row>
    <row r="671" spans="2:19" ht="15" x14ac:dyDescent="0.35">
      <c r="B671" s="7"/>
      <c r="C671" s="7"/>
      <c r="D671" s="7"/>
      <c r="E671" s="7"/>
      <c r="H671" s="7"/>
      <c r="I671" s="7"/>
      <c r="J671" s="48"/>
      <c r="K671" s="48"/>
      <c r="L671" s="48"/>
      <c r="M671" s="48"/>
      <c r="N671" s="48"/>
      <c r="O671" s="48"/>
      <c r="P671" s="48"/>
      <c r="Q671" s="7"/>
      <c r="R671" s="7"/>
      <c r="S671" s="7"/>
    </row>
    <row r="672" spans="2:19" ht="15" x14ac:dyDescent="0.35">
      <c r="B672" s="7"/>
      <c r="C672" s="7"/>
      <c r="D672" s="7"/>
      <c r="E672" s="7"/>
      <c r="H672" s="7"/>
      <c r="I672" s="7"/>
      <c r="J672" s="48"/>
      <c r="K672" s="48"/>
      <c r="L672" s="48"/>
      <c r="M672" s="48"/>
      <c r="N672" s="48"/>
      <c r="O672" s="48"/>
      <c r="P672" s="48"/>
      <c r="Q672" s="7"/>
      <c r="R672" s="7"/>
      <c r="S672" s="7"/>
    </row>
    <row r="673" spans="2:19" ht="15" x14ac:dyDescent="0.35">
      <c r="B673" s="7"/>
      <c r="C673" s="7"/>
      <c r="D673" s="7"/>
      <c r="E673" s="7"/>
      <c r="H673" s="7"/>
      <c r="I673" s="7"/>
      <c r="J673" s="48"/>
      <c r="K673" s="48"/>
      <c r="L673" s="48"/>
      <c r="M673" s="48"/>
      <c r="N673" s="48"/>
      <c r="O673" s="48"/>
      <c r="P673" s="48"/>
      <c r="Q673" s="7"/>
      <c r="R673" s="7"/>
      <c r="S673" s="7"/>
    </row>
    <row r="674" spans="2:19" ht="15" x14ac:dyDescent="0.35">
      <c r="B674" s="7"/>
      <c r="C674" s="7"/>
      <c r="D674" s="7"/>
      <c r="E674" s="7"/>
      <c r="H674" s="7"/>
      <c r="I674" s="7"/>
      <c r="J674" s="48"/>
      <c r="K674" s="48"/>
      <c r="L674" s="48"/>
      <c r="M674" s="48"/>
      <c r="N674" s="48"/>
      <c r="O674" s="48"/>
      <c r="P674" s="48"/>
      <c r="Q674" s="7"/>
      <c r="R674" s="7"/>
      <c r="S674" s="7"/>
    </row>
    <row r="675" spans="2:19" ht="15" x14ac:dyDescent="0.35">
      <c r="B675" s="7"/>
      <c r="C675" s="7"/>
      <c r="D675" s="7"/>
      <c r="E675" s="7"/>
      <c r="H675" s="7"/>
      <c r="I675" s="7"/>
      <c r="J675" s="48"/>
      <c r="K675" s="48"/>
      <c r="L675" s="48"/>
      <c r="M675" s="48"/>
      <c r="N675" s="48"/>
      <c r="O675" s="48"/>
      <c r="P675" s="48"/>
      <c r="Q675" s="7"/>
      <c r="R675" s="7"/>
      <c r="S675" s="7"/>
    </row>
    <row r="676" spans="2:19" ht="15" x14ac:dyDescent="0.35">
      <c r="B676" s="7"/>
      <c r="C676" s="7"/>
      <c r="D676" s="7"/>
      <c r="E676" s="7"/>
      <c r="H676" s="7"/>
      <c r="I676" s="7"/>
      <c r="J676" s="48"/>
      <c r="K676" s="48"/>
      <c r="L676" s="48"/>
      <c r="M676" s="48"/>
      <c r="N676" s="48"/>
      <c r="O676" s="48"/>
      <c r="P676" s="48"/>
      <c r="Q676" s="7"/>
      <c r="R676" s="7"/>
      <c r="S676" s="7"/>
    </row>
    <row r="677" spans="2:19" ht="15" x14ac:dyDescent="0.35">
      <c r="B677" s="7"/>
      <c r="C677" s="7"/>
      <c r="D677" s="7"/>
      <c r="E677" s="7"/>
      <c r="H677" s="7"/>
      <c r="I677" s="7"/>
      <c r="J677" s="48"/>
      <c r="K677" s="48"/>
      <c r="L677" s="48"/>
      <c r="M677" s="48"/>
      <c r="N677" s="48"/>
      <c r="O677" s="48"/>
      <c r="P677" s="48"/>
      <c r="Q677" s="7"/>
      <c r="R677" s="7"/>
      <c r="S677" s="7"/>
    </row>
    <row r="678" spans="2:19" ht="15" x14ac:dyDescent="0.35">
      <c r="B678" s="7"/>
      <c r="C678" s="7"/>
      <c r="D678" s="7"/>
      <c r="E678" s="7"/>
      <c r="H678" s="7"/>
      <c r="I678" s="7"/>
      <c r="J678" s="48"/>
      <c r="K678" s="48"/>
      <c r="L678" s="48"/>
      <c r="M678" s="48"/>
      <c r="N678" s="48"/>
      <c r="O678" s="48"/>
      <c r="P678" s="48"/>
      <c r="Q678" s="7"/>
      <c r="R678" s="7"/>
      <c r="S678" s="7"/>
    </row>
    <row r="679" spans="2:19" ht="15" x14ac:dyDescent="0.35">
      <c r="B679" s="7"/>
      <c r="C679" s="7"/>
      <c r="D679" s="7"/>
      <c r="E679" s="7"/>
      <c r="H679" s="7"/>
      <c r="I679" s="7"/>
      <c r="J679" s="48"/>
      <c r="K679" s="48"/>
      <c r="L679" s="48"/>
      <c r="M679" s="48"/>
      <c r="N679" s="48"/>
      <c r="O679" s="48"/>
      <c r="P679" s="48"/>
      <c r="Q679" s="7"/>
      <c r="R679" s="7"/>
      <c r="S679" s="7"/>
    </row>
    <row r="680" spans="2:19" ht="15" x14ac:dyDescent="0.35">
      <c r="B680" s="7"/>
      <c r="C680" s="7"/>
      <c r="D680" s="7"/>
      <c r="E680" s="7"/>
      <c r="H680" s="7"/>
      <c r="I680" s="7"/>
      <c r="J680" s="48"/>
      <c r="K680" s="48"/>
      <c r="L680" s="48"/>
      <c r="M680" s="48"/>
      <c r="N680" s="48"/>
      <c r="O680" s="48"/>
      <c r="P680" s="48"/>
      <c r="Q680" s="7"/>
      <c r="R680" s="7"/>
      <c r="S680" s="7"/>
    </row>
    <row r="681" spans="2:19" ht="15" x14ac:dyDescent="0.35">
      <c r="B681" s="7"/>
      <c r="C681" s="7"/>
      <c r="D681" s="7"/>
      <c r="E681" s="7"/>
      <c r="H681" s="7"/>
      <c r="I681" s="7"/>
      <c r="J681" s="48"/>
      <c r="K681" s="48"/>
      <c r="L681" s="48"/>
      <c r="M681" s="48"/>
      <c r="N681" s="48"/>
      <c r="O681" s="48"/>
      <c r="P681" s="48"/>
      <c r="Q681" s="7"/>
      <c r="R681" s="7"/>
      <c r="S681" s="7"/>
    </row>
    <row r="682" spans="2:19" ht="15" x14ac:dyDescent="0.35">
      <c r="B682" s="7"/>
      <c r="C682" s="7"/>
      <c r="D682" s="7"/>
      <c r="E682" s="7"/>
      <c r="H682" s="7"/>
      <c r="I682" s="7"/>
      <c r="J682" s="48"/>
      <c r="K682" s="48"/>
      <c r="L682" s="48"/>
      <c r="M682" s="48"/>
      <c r="N682" s="48"/>
      <c r="O682" s="48"/>
      <c r="P682" s="48"/>
      <c r="Q682" s="7"/>
      <c r="R682" s="7"/>
      <c r="S682" s="7"/>
    </row>
    <row r="683" spans="2:19" ht="15" x14ac:dyDescent="0.35">
      <c r="B683" s="7"/>
      <c r="C683" s="7"/>
      <c r="D683" s="7"/>
      <c r="E683" s="7"/>
      <c r="H683" s="7"/>
      <c r="I683" s="7"/>
      <c r="J683" s="48"/>
      <c r="K683" s="48"/>
      <c r="L683" s="48"/>
      <c r="M683" s="48"/>
      <c r="N683" s="48"/>
      <c r="O683" s="48"/>
      <c r="P683" s="48"/>
      <c r="Q683" s="7"/>
      <c r="R683" s="7"/>
      <c r="S683" s="7"/>
    </row>
    <row r="684" spans="2:19" ht="15" x14ac:dyDescent="0.35">
      <c r="B684" s="7"/>
      <c r="C684" s="7"/>
      <c r="D684" s="7"/>
      <c r="E684" s="7"/>
      <c r="H684" s="7"/>
      <c r="I684" s="7"/>
      <c r="J684" s="48"/>
      <c r="K684" s="48"/>
      <c r="L684" s="48"/>
      <c r="M684" s="48"/>
      <c r="N684" s="48"/>
      <c r="O684" s="48"/>
      <c r="P684" s="48"/>
      <c r="Q684" s="7"/>
      <c r="R684" s="7"/>
      <c r="S684" s="7"/>
    </row>
    <row r="685" spans="2:19" ht="15" x14ac:dyDescent="0.35">
      <c r="B685" s="7"/>
      <c r="C685" s="7"/>
      <c r="D685" s="7"/>
      <c r="E685" s="7"/>
      <c r="H685" s="7"/>
      <c r="I685" s="7"/>
      <c r="J685" s="48"/>
      <c r="K685" s="48"/>
      <c r="L685" s="48"/>
      <c r="M685" s="48"/>
      <c r="N685" s="48"/>
      <c r="O685" s="48"/>
      <c r="P685" s="48"/>
      <c r="Q685" s="7"/>
      <c r="R685" s="7"/>
      <c r="S685" s="7"/>
    </row>
    <row r="686" spans="2:19" ht="15" x14ac:dyDescent="0.35">
      <c r="B686" s="7"/>
      <c r="C686" s="7"/>
      <c r="D686" s="7"/>
      <c r="E686" s="7"/>
      <c r="H686" s="7"/>
      <c r="I686" s="7"/>
      <c r="J686" s="48"/>
      <c r="K686" s="48"/>
      <c r="L686" s="48"/>
      <c r="M686" s="48"/>
      <c r="N686" s="48"/>
      <c r="O686" s="48"/>
      <c r="P686" s="48"/>
      <c r="Q686" s="7"/>
      <c r="R686" s="7"/>
      <c r="S686" s="7"/>
    </row>
    <row r="687" spans="2:19" ht="15" x14ac:dyDescent="0.35">
      <c r="B687" s="7"/>
      <c r="C687" s="7"/>
      <c r="D687" s="7"/>
      <c r="E687" s="7"/>
      <c r="H687" s="7"/>
      <c r="I687" s="7"/>
      <c r="J687" s="48"/>
      <c r="K687" s="48"/>
      <c r="L687" s="48"/>
      <c r="M687" s="48"/>
      <c r="N687" s="48"/>
      <c r="O687" s="48"/>
      <c r="P687" s="48"/>
      <c r="Q687" s="7"/>
      <c r="R687" s="7"/>
      <c r="S687" s="7"/>
    </row>
    <row r="688" spans="2:19" ht="15" x14ac:dyDescent="0.35">
      <c r="B688" s="7"/>
      <c r="C688" s="7"/>
      <c r="D688" s="7"/>
      <c r="E688" s="7"/>
      <c r="H688" s="7"/>
      <c r="I688" s="7"/>
      <c r="J688" s="48"/>
      <c r="K688" s="48"/>
      <c r="L688" s="48"/>
      <c r="M688" s="48"/>
      <c r="N688" s="48"/>
      <c r="O688" s="48"/>
      <c r="P688" s="48"/>
      <c r="Q688" s="7"/>
      <c r="R688" s="7"/>
      <c r="S688" s="7"/>
    </row>
    <row r="689" spans="2:19" ht="15" x14ac:dyDescent="0.35">
      <c r="B689" s="7"/>
      <c r="C689" s="7"/>
      <c r="D689" s="7"/>
      <c r="E689" s="7"/>
      <c r="H689" s="7"/>
      <c r="I689" s="7"/>
      <c r="J689" s="48"/>
      <c r="K689" s="48"/>
      <c r="L689" s="48"/>
      <c r="M689" s="48"/>
      <c r="N689" s="48"/>
      <c r="O689" s="48"/>
      <c r="P689" s="48"/>
      <c r="Q689" s="7"/>
      <c r="R689" s="7"/>
      <c r="S689" s="7"/>
    </row>
    <row r="690" spans="2:19" ht="15" x14ac:dyDescent="0.35">
      <c r="B690" s="7"/>
      <c r="C690" s="7"/>
      <c r="D690" s="7"/>
      <c r="E690" s="7"/>
      <c r="H690" s="7"/>
      <c r="I690" s="7"/>
      <c r="J690" s="48"/>
      <c r="K690" s="48"/>
      <c r="L690" s="48"/>
      <c r="M690" s="48"/>
      <c r="N690" s="48"/>
      <c r="O690" s="48"/>
      <c r="P690" s="48"/>
      <c r="Q690" s="7"/>
      <c r="R690" s="7"/>
      <c r="S690" s="7"/>
    </row>
    <row r="691" spans="2:19" ht="15" x14ac:dyDescent="0.35">
      <c r="B691" s="7"/>
      <c r="C691" s="7"/>
      <c r="D691" s="7"/>
      <c r="E691" s="7"/>
      <c r="H691" s="7"/>
      <c r="I691" s="7"/>
      <c r="J691" s="48"/>
      <c r="K691" s="48"/>
      <c r="L691" s="48"/>
      <c r="M691" s="48"/>
      <c r="N691" s="48"/>
      <c r="O691" s="48"/>
      <c r="P691" s="48"/>
      <c r="Q691" s="7"/>
      <c r="R691" s="7"/>
      <c r="S691" s="7"/>
    </row>
    <row r="692" spans="2:19" ht="15" x14ac:dyDescent="0.35">
      <c r="B692" s="7"/>
      <c r="C692" s="7"/>
      <c r="D692" s="7"/>
      <c r="E692" s="7"/>
      <c r="H692" s="7"/>
      <c r="I692" s="7"/>
      <c r="J692" s="48"/>
      <c r="K692" s="48"/>
      <c r="L692" s="48"/>
      <c r="M692" s="48"/>
      <c r="N692" s="48"/>
      <c r="O692" s="48"/>
      <c r="P692" s="48"/>
      <c r="Q692" s="7"/>
      <c r="R692" s="7"/>
      <c r="S692" s="7"/>
    </row>
    <row r="693" spans="2:19" ht="15" x14ac:dyDescent="0.35">
      <c r="B693" s="7"/>
      <c r="C693" s="7"/>
      <c r="D693" s="7"/>
      <c r="E693" s="7"/>
      <c r="H693" s="7"/>
      <c r="I693" s="7"/>
      <c r="J693" s="48"/>
      <c r="K693" s="48"/>
      <c r="L693" s="48"/>
      <c r="M693" s="48"/>
      <c r="N693" s="48"/>
      <c r="O693" s="48"/>
      <c r="P693" s="48"/>
      <c r="Q693" s="7"/>
      <c r="R693" s="7"/>
      <c r="S693" s="7"/>
    </row>
    <row r="694" spans="2:19" ht="15" x14ac:dyDescent="0.35">
      <c r="B694" s="7"/>
      <c r="C694" s="7"/>
      <c r="D694" s="7"/>
      <c r="E694" s="7"/>
      <c r="H694" s="7"/>
      <c r="I694" s="7"/>
      <c r="J694" s="48"/>
      <c r="K694" s="48"/>
      <c r="L694" s="48"/>
      <c r="M694" s="48"/>
      <c r="N694" s="48"/>
      <c r="O694" s="48"/>
      <c r="P694" s="48"/>
      <c r="Q694" s="7"/>
      <c r="R694" s="7"/>
      <c r="S694" s="7"/>
    </row>
    <row r="695" spans="2:19" ht="15" x14ac:dyDescent="0.35">
      <c r="B695" s="7"/>
      <c r="C695" s="7"/>
      <c r="D695" s="7"/>
      <c r="E695" s="7"/>
      <c r="H695" s="7"/>
      <c r="I695" s="7"/>
      <c r="J695" s="48"/>
      <c r="K695" s="48"/>
      <c r="L695" s="48"/>
      <c r="M695" s="48"/>
      <c r="N695" s="48"/>
      <c r="O695" s="48"/>
      <c r="P695" s="48"/>
      <c r="Q695" s="7"/>
      <c r="R695" s="7"/>
      <c r="S695" s="7"/>
    </row>
    <row r="696" spans="2:19" ht="15" x14ac:dyDescent="0.35">
      <c r="B696" s="7"/>
      <c r="C696" s="7"/>
      <c r="D696" s="7"/>
      <c r="E696" s="7"/>
      <c r="H696" s="7"/>
      <c r="I696" s="7"/>
      <c r="J696" s="48"/>
      <c r="K696" s="48"/>
      <c r="L696" s="48"/>
      <c r="M696" s="48"/>
      <c r="N696" s="48"/>
      <c r="O696" s="48"/>
      <c r="P696" s="48"/>
      <c r="Q696" s="7"/>
      <c r="R696" s="7"/>
      <c r="S696" s="7"/>
    </row>
    <row r="697" spans="2:19" ht="15" x14ac:dyDescent="0.35">
      <c r="B697" s="7"/>
      <c r="C697" s="7"/>
      <c r="D697" s="7"/>
      <c r="E697" s="7"/>
      <c r="H697" s="7"/>
      <c r="I697" s="7"/>
      <c r="J697" s="48"/>
      <c r="K697" s="48"/>
      <c r="L697" s="48"/>
      <c r="M697" s="48"/>
      <c r="N697" s="48"/>
      <c r="O697" s="48"/>
      <c r="P697" s="48"/>
      <c r="Q697" s="7"/>
      <c r="R697" s="7"/>
      <c r="S697" s="7"/>
    </row>
    <row r="698" spans="2:19" ht="15" x14ac:dyDescent="0.35">
      <c r="B698" s="7"/>
      <c r="C698" s="7"/>
      <c r="D698" s="7"/>
      <c r="E698" s="7"/>
      <c r="H698" s="7"/>
      <c r="I698" s="7"/>
      <c r="J698" s="48"/>
      <c r="K698" s="48"/>
      <c r="L698" s="48"/>
      <c r="M698" s="48"/>
      <c r="N698" s="48"/>
      <c r="O698" s="48"/>
      <c r="P698" s="48"/>
      <c r="Q698" s="7"/>
      <c r="R698" s="7"/>
      <c r="S698" s="7"/>
    </row>
    <row r="699" spans="2:19" ht="15" x14ac:dyDescent="0.35">
      <c r="B699" s="7"/>
      <c r="C699" s="7"/>
      <c r="D699" s="7"/>
      <c r="E699" s="7"/>
      <c r="H699" s="7"/>
      <c r="I699" s="7"/>
      <c r="J699" s="48"/>
      <c r="K699" s="48"/>
      <c r="L699" s="48"/>
      <c r="M699" s="48"/>
      <c r="N699" s="48"/>
      <c r="O699" s="48"/>
      <c r="P699" s="48"/>
      <c r="Q699" s="7"/>
      <c r="R699" s="7"/>
      <c r="S699" s="7"/>
    </row>
    <row r="700" spans="2:19" ht="15" x14ac:dyDescent="0.35">
      <c r="B700" s="7"/>
      <c r="C700" s="7"/>
      <c r="D700" s="7"/>
      <c r="E700" s="7"/>
      <c r="H700" s="7"/>
      <c r="I700" s="7"/>
      <c r="J700" s="48"/>
      <c r="K700" s="48"/>
      <c r="L700" s="48"/>
      <c r="M700" s="48"/>
      <c r="N700" s="48"/>
      <c r="O700" s="48"/>
      <c r="P700" s="48"/>
      <c r="Q700" s="7"/>
      <c r="R700" s="7"/>
      <c r="S700" s="7"/>
    </row>
    <row r="701" spans="2:19" ht="15" x14ac:dyDescent="0.35">
      <c r="B701" s="7"/>
      <c r="C701" s="7"/>
      <c r="D701" s="7"/>
      <c r="E701" s="7"/>
      <c r="H701" s="7"/>
      <c r="I701" s="7"/>
      <c r="J701" s="48"/>
      <c r="K701" s="48"/>
      <c r="L701" s="48"/>
      <c r="M701" s="48"/>
      <c r="N701" s="48"/>
      <c r="O701" s="48"/>
      <c r="P701" s="48"/>
      <c r="Q701" s="7"/>
      <c r="R701" s="7"/>
      <c r="S701" s="7"/>
    </row>
    <row r="702" spans="2:19" ht="15" x14ac:dyDescent="0.35">
      <c r="B702" s="7"/>
      <c r="C702" s="7"/>
      <c r="D702" s="7"/>
      <c r="E702" s="7"/>
      <c r="H702" s="7"/>
      <c r="I702" s="7"/>
      <c r="J702" s="48"/>
      <c r="K702" s="48"/>
      <c r="L702" s="48"/>
      <c r="M702" s="48"/>
      <c r="N702" s="48"/>
      <c r="O702" s="48"/>
      <c r="P702" s="48"/>
      <c r="Q702" s="7"/>
      <c r="R702" s="7"/>
      <c r="S702" s="7"/>
    </row>
    <row r="703" spans="2:19" ht="15" x14ac:dyDescent="0.35">
      <c r="B703" s="7"/>
      <c r="C703" s="7"/>
      <c r="D703" s="7"/>
      <c r="E703" s="7"/>
      <c r="H703" s="7"/>
      <c r="I703" s="7"/>
      <c r="J703" s="48"/>
      <c r="K703" s="48"/>
      <c r="L703" s="48"/>
      <c r="M703" s="48"/>
      <c r="N703" s="48"/>
      <c r="O703" s="48"/>
      <c r="P703" s="48"/>
      <c r="Q703" s="7"/>
      <c r="R703" s="7"/>
      <c r="S703" s="7"/>
    </row>
    <row r="704" spans="2:19" ht="15" x14ac:dyDescent="0.35">
      <c r="B704" s="7"/>
      <c r="C704" s="7"/>
      <c r="D704" s="7"/>
      <c r="E704" s="7"/>
      <c r="H704" s="7"/>
      <c r="I704" s="7"/>
      <c r="J704" s="48"/>
      <c r="K704" s="48"/>
      <c r="L704" s="48"/>
      <c r="M704" s="48"/>
      <c r="N704" s="48"/>
      <c r="O704" s="48"/>
      <c r="P704" s="48"/>
      <c r="Q704" s="7"/>
      <c r="R704" s="7"/>
      <c r="S704" s="7"/>
    </row>
    <row r="705" spans="2:19" ht="15" x14ac:dyDescent="0.35">
      <c r="B705" s="7"/>
      <c r="C705" s="7"/>
      <c r="D705" s="7"/>
      <c r="E705" s="7"/>
      <c r="H705" s="7"/>
      <c r="I705" s="7"/>
      <c r="J705" s="48"/>
      <c r="K705" s="48"/>
      <c r="L705" s="48"/>
      <c r="M705" s="48"/>
      <c r="N705" s="48"/>
      <c r="O705" s="48"/>
      <c r="P705" s="48"/>
      <c r="Q705" s="7"/>
      <c r="R705" s="7"/>
      <c r="S705" s="7"/>
    </row>
    <row r="706" spans="2:19" ht="15" x14ac:dyDescent="0.35">
      <c r="B706" s="7"/>
      <c r="C706" s="7"/>
      <c r="D706" s="7"/>
      <c r="E706" s="7"/>
      <c r="H706" s="7"/>
      <c r="I706" s="7"/>
      <c r="J706" s="48"/>
      <c r="K706" s="48"/>
      <c r="L706" s="48"/>
      <c r="M706" s="48"/>
      <c r="N706" s="48"/>
      <c r="O706" s="48"/>
      <c r="P706" s="48"/>
      <c r="Q706" s="7"/>
      <c r="R706" s="7"/>
      <c r="S706" s="7"/>
    </row>
    <row r="707" spans="2:19" ht="15" x14ac:dyDescent="0.35">
      <c r="B707" s="7"/>
      <c r="C707" s="7"/>
      <c r="D707" s="7"/>
      <c r="E707" s="7"/>
      <c r="H707" s="7"/>
      <c r="I707" s="7"/>
      <c r="J707" s="48"/>
      <c r="K707" s="48"/>
      <c r="L707" s="48"/>
      <c r="M707" s="48"/>
      <c r="N707" s="48"/>
      <c r="O707" s="48"/>
      <c r="P707" s="48"/>
      <c r="Q707" s="7"/>
      <c r="R707" s="7"/>
      <c r="S707" s="7"/>
    </row>
    <row r="708" spans="2:19" ht="15" x14ac:dyDescent="0.35">
      <c r="B708" s="7"/>
      <c r="C708" s="7"/>
      <c r="D708" s="7"/>
      <c r="E708" s="7"/>
      <c r="H708" s="7"/>
      <c r="I708" s="7"/>
      <c r="J708" s="48"/>
      <c r="K708" s="48"/>
      <c r="L708" s="48"/>
      <c r="M708" s="48"/>
      <c r="N708" s="48"/>
      <c r="O708" s="48"/>
      <c r="P708" s="48"/>
      <c r="Q708" s="7"/>
      <c r="R708" s="7"/>
      <c r="S708" s="7"/>
    </row>
    <row r="709" spans="2:19" ht="15" x14ac:dyDescent="0.35">
      <c r="B709" s="7"/>
      <c r="C709" s="7"/>
      <c r="D709" s="7"/>
      <c r="E709" s="7"/>
      <c r="H709" s="7"/>
      <c r="I709" s="7"/>
      <c r="J709" s="48"/>
      <c r="K709" s="48"/>
      <c r="L709" s="48"/>
      <c r="M709" s="48"/>
      <c r="N709" s="48"/>
      <c r="O709" s="48"/>
      <c r="P709" s="48"/>
      <c r="Q709" s="7"/>
      <c r="R709" s="7"/>
      <c r="S709" s="7"/>
    </row>
    <row r="710" spans="2:19" ht="15" x14ac:dyDescent="0.35">
      <c r="B710" s="7"/>
      <c r="C710" s="7"/>
      <c r="D710" s="7"/>
      <c r="E710" s="7"/>
      <c r="H710" s="7"/>
      <c r="I710" s="7"/>
      <c r="J710" s="48"/>
      <c r="K710" s="48"/>
      <c r="L710" s="48"/>
      <c r="M710" s="48"/>
      <c r="N710" s="48"/>
      <c r="O710" s="48"/>
      <c r="P710" s="48"/>
      <c r="Q710" s="7"/>
      <c r="R710" s="7"/>
      <c r="S710" s="7"/>
    </row>
    <row r="711" spans="2:19" ht="15" x14ac:dyDescent="0.35">
      <c r="B711" s="7"/>
      <c r="C711" s="7"/>
      <c r="D711" s="7"/>
      <c r="E711" s="7"/>
      <c r="H711" s="7"/>
      <c r="I711" s="7"/>
      <c r="J711" s="48"/>
      <c r="K711" s="48"/>
      <c r="L711" s="48"/>
      <c r="M711" s="48"/>
      <c r="N711" s="48"/>
      <c r="O711" s="48"/>
      <c r="P711" s="48"/>
      <c r="Q711" s="7"/>
      <c r="R711" s="7"/>
      <c r="S711" s="7"/>
    </row>
    <row r="712" spans="2:19" ht="15" x14ac:dyDescent="0.35">
      <c r="B712" s="7"/>
      <c r="C712" s="7"/>
      <c r="D712" s="7"/>
      <c r="E712" s="7"/>
      <c r="H712" s="7"/>
      <c r="I712" s="7"/>
      <c r="J712" s="48"/>
      <c r="K712" s="48"/>
      <c r="L712" s="48"/>
      <c r="M712" s="48"/>
      <c r="N712" s="48"/>
      <c r="O712" s="48"/>
      <c r="P712" s="48"/>
      <c r="Q712" s="7"/>
      <c r="R712" s="7"/>
      <c r="S712" s="7"/>
    </row>
    <row r="713" spans="2:19" ht="15" x14ac:dyDescent="0.35">
      <c r="B713" s="7"/>
      <c r="C713" s="7"/>
      <c r="D713" s="7"/>
      <c r="E713" s="7"/>
      <c r="H713" s="7"/>
      <c r="I713" s="7"/>
      <c r="J713" s="48"/>
      <c r="K713" s="48"/>
      <c r="L713" s="48"/>
      <c r="M713" s="48"/>
      <c r="N713" s="48"/>
      <c r="O713" s="48"/>
      <c r="P713" s="48"/>
      <c r="Q713" s="7"/>
      <c r="R713" s="7"/>
      <c r="S713" s="7"/>
    </row>
    <row r="714" spans="2:19" ht="15" x14ac:dyDescent="0.35">
      <c r="B714" s="7"/>
      <c r="C714" s="7"/>
      <c r="D714" s="7"/>
      <c r="E714" s="7"/>
      <c r="H714" s="7"/>
      <c r="I714" s="7"/>
      <c r="J714" s="48"/>
      <c r="K714" s="48"/>
      <c r="L714" s="48"/>
      <c r="M714" s="48"/>
      <c r="N714" s="48"/>
      <c r="O714" s="48"/>
      <c r="P714" s="48"/>
      <c r="Q714" s="7"/>
      <c r="R714" s="7"/>
      <c r="S714" s="7"/>
    </row>
    <row r="715" spans="2:19" ht="15" x14ac:dyDescent="0.35">
      <c r="B715" s="7"/>
      <c r="C715" s="7"/>
      <c r="D715" s="7"/>
      <c r="E715" s="7"/>
      <c r="H715" s="7"/>
      <c r="I715" s="7"/>
      <c r="J715" s="48"/>
      <c r="K715" s="48"/>
      <c r="L715" s="48"/>
      <c r="M715" s="48"/>
      <c r="N715" s="48"/>
      <c r="O715" s="48"/>
      <c r="P715" s="48"/>
      <c r="Q715" s="7"/>
      <c r="R715" s="7"/>
      <c r="S715" s="7"/>
    </row>
    <row r="716" spans="2:19" ht="15" x14ac:dyDescent="0.35">
      <c r="B716" s="7"/>
      <c r="C716" s="7"/>
      <c r="D716" s="7"/>
      <c r="E716" s="7"/>
      <c r="H716" s="7"/>
      <c r="I716" s="7"/>
      <c r="J716" s="48"/>
      <c r="K716" s="48"/>
      <c r="L716" s="48"/>
      <c r="M716" s="48"/>
      <c r="N716" s="48"/>
      <c r="O716" s="48"/>
      <c r="P716" s="48"/>
      <c r="Q716" s="7"/>
      <c r="R716" s="7"/>
      <c r="S716" s="7"/>
    </row>
    <row r="717" spans="2:19" ht="15" x14ac:dyDescent="0.35">
      <c r="B717" s="7"/>
      <c r="C717" s="7"/>
      <c r="D717" s="7"/>
      <c r="E717" s="7"/>
      <c r="H717" s="7"/>
      <c r="I717" s="7"/>
      <c r="J717" s="48"/>
      <c r="K717" s="48"/>
      <c r="L717" s="48"/>
      <c r="M717" s="48"/>
      <c r="N717" s="48"/>
      <c r="O717" s="48"/>
      <c r="P717" s="48"/>
      <c r="Q717" s="7"/>
      <c r="R717" s="7"/>
      <c r="S717" s="7"/>
    </row>
    <row r="718" spans="2:19" ht="15" x14ac:dyDescent="0.35">
      <c r="B718" s="7"/>
      <c r="C718" s="7"/>
      <c r="D718" s="7"/>
      <c r="E718" s="7"/>
      <c r="H718" s="7"/>
      <c r="I718" s="7"/>
      <c r="J718" s="48"/>
      <c r="K718" s="48"/>
      <c r="L718" s="48"/>
      <c r="M718" s="48"/>
      <c r="N718" s="48"/>
      <c r="O718" s="48"/>
      <c r="P718" s="48"/>
      <c r="Q718" s="7"/>
      <c r="R718" s="7"/>
      <c r="S718" s="7"/>
    </row>
    <row r="719" spans="2:19" ht="15" x14ac:dyDescent="0.35">
      <c r="B719" s="7"/>
      <c r="C719" s="7"/>
      <c r="D719" s="7"/>
      <c r="E719" s="7"/>
      <c r="H719" s="7"/>
      <c r="I719" s="7"/>
      <c r="J719" s="48"/>
      <c r="K719" s="48"/>
      <c r="L719" s="48"/>
      <c r="M719" s="48"/>
      <c r="N719" s="48"/>
      <c r="O719" s="48"/>
      <c r="P719" s="48"/>
      <c r="Q719" s="7"/>
      <c r="R719" s="7"/>
      <c r="S719" s="7"/>
    </row>
    <row r="720" spans="2:19" ht="15" x14ac:dyDescent="0.35">
      <c r="B720" s="7"/>
      <c r="C720" s="7"/>
      <c r="D720" s="7"/>
      <c r="E720" s="7"/>
      <c r="H720" s="7"/>
      <c r="I720" s="7"/>
      <c r="J720" s="48"/>
      <c r="K720" s="48"/>
      <c r="L720" s="48"/>
      <c r="M720" s="48"/>
      <c r="N720" s="48"/>
      <c r="O720" s="48"/>
      <c r="P720" s="48"/>
      <c r="Q720" s="7"/>
      <c r="R720" s="7"/>
      <c r="S720" s="7"/>
    </row>
    <row r="721" spans="2:19" ht="15" x14ac:dyDescent="0.35">
      <c r="B721" s="7"/>
      <c r="C721" s="7"/>
      <c r="D721" s="7"/>
      <c r="E721" s="7"/>
      <c r="H721" s="7"/>
      <c r="I721" s="7"/>
      <c r="J721" s="48"/>
      <c r="K721" s="48"/>
      <c r="L721" s="48"/>
      <c r="M721" s="48"/>
      <c r="N721" s="48"/>
      <c r="O721" s="48"/>
      <c r="P721" s="48"/>
      <c r="Q721" s="7"/>
      <c r="R721" s="7"/>
      <c r="S721" s="7"/>
    </row>
    <row r="722" spans="2:19" ht="15" x14ac:dyDescent="0.35">
      <c r="B722" s="7"/>
      <c r="C722" s="7"/>
      <c r="D722" s="7"/>
      <c r="E722" s="7"/>
      <c r="H722" s="7"/>
      <c r="I722" s="7"/>
      <c r="J722" s="48"/>
      <c r="K722" s="48"/>
      <c r="L722" s="48"/>
      <c r="M722" s="48"/>
      <c r="N722" s="48"/>
      <c r="O722" s="48"/>
      <c r="P722" s="48"/>
      <c r="Q722" s="7"/>
      <c r="R722" s="7"/>
      <c r="S722" s="7"/>
    </row>
    <row r="723" spans="2:19" ht="15" x14ac:dyDescent="0.35">
      <c r="B723" s="7"/>
      <c r="C723" s="7"/>
      <c r="D723" s="7"/>
      <c r="E723" s="7"/>
      <c r="H723" s="7"/>
      <c r="I723" s="7"/>
      <c r="J723" s="48"/>
      <c r="K723" s="48"/>
      <c r="L723" s="48"/>
      <c r="M723" s="48"/>
      <c r="N723" s="48"/>
      <c r="O723" s="48"/>
      <c r="P723" s="48"/>
      <c r="Q723" s="7"/>
      <c r="R723" s="7"/>
      <c r="S723" s="7"/>
    </row>
    <row r="724" spans="2:19" ht="15" x14ac:dyDescent="0.35">
      <c r="B724" s="7"/>
      <c r="C724" s="7"/>
      <c r="D724" s="7"/>
      <c r="E724" s="7"/>
      <c r="H724" s="7"/>
      <c r="I724" s="7"/>
      <c r="J724" s="48"/>
      <c r="K724" s="48"/>
      <c r="L724" s="48"/>
      <c r="M724" s="48"/>
      <c r="N724" s="48"/>
      <c r="O724" s="48"/>
      <c r="P724" s="48"/>
      <c r="Q724" s="7"/>
      <c r="R724" s="7"/>
      <c r="S724" s="7"/>
    </row>
    <row r="725" spans="2:19" ht="15" x14ac:dyDescent="0.35">
      <c r="B725" s="7"/>
      <c r="C725" s="7"/>
      <c r="D725" s="7"/>
      <c r="E725" s="7"/>
      <c r="H725" s="7"/>
      <c r="I725" s="7"/>
      <c r="J725" s="48"/>
      <c r="K725" s="48"/>
      <c r="L725" s="48"/>
      <c r="M725" s="48"/>
      <c r="N725" s="48"/>
      <c r="O725" s="48"/>
      <c r="P725" s="48"/>
      <c r="Q725" s="7"/>
      <c r="R725" s="7"/>
      <c r="S725" s="7"/>
    </row>
    <row r="726" spans="2:19" ht="15" x14ac:dyDescent="0.35">
      <c r="B726" s="7"/>
      <c r="C726" s="7"/>
      <c r="D726" s="7"/>
      <c r="E726" s="7"/>
      <c r="H726" s="7"/>
      <c r="I726" s="7"/>
      <c r="J726" s="48"/>
      <c r="K726" s="48"/>
      <c r="L726" s="48"/>
      <c r="M726" s="48"/>
      <c r="N726" s="48"/>
      <c r="O726" s="48"/>
      <c r="P726" s="48"/>
      <c r="Q726" s="7"/>
      <c r="R726" s="7"/>
      <c r="S726" s="7"/>
    </row>
    <row r="727" spans="2:19" ht="15" x14ac:dyDescent="0.35">
      <c r="B727" s="7"/>
      <c r="C727" s="7"/>
      <c r="D727" s="7"/>
      <c r="E727" s="7"/>
      <c r="H727" s="7"/>
      <c r="I727" s="7"/>
      <c r="J727" s="48"/>
      <c r="K727" s="48"/>
      <c r="L727" s="48"/>
      <c r="M727" s="48"/>
      <c r="N727" s="48"/>
      <c r="O727" s="48"/>
      <c r="P727" s="48"/>
      <c r="Q727" s="7"/>
      <c r="R727" s="7"/>
      <c r="S727" s="7"/>
    </row>
    <row r="728" spans="2:19" ht="15" x14ac:dyDescent="0.35">
      <c r="B728" s="7"/>
      <c r="C728" s="7"/>
      <c r="D728" s="7"/>
      <c r="E728" s="7"/>
      <c r="H728" s="7"/>
      <c r="I728" s="7"/>
      <c r="J728" s="48"/>
      <c r="K728" s="48"/>
      <c r="L728" s="48"/>
      <c r="M728" s="48"/>
      <c r="N728" s="48"/>
      <c r="O728" s="48"/>
      <c r="P728" s="48"/>
      <c r="Q728" s="7"/>
      <c r="R728" s="7"/>
      <c r="S728" s="7"/>
    </row>
    <row r="729" spans="2:19" ht="15" x14ac:dyDescent="0.35">
      <c r="B729" s="7"/>
      <c r="C729" s="7"/>
      <c r="D729" s="7"/>
      <c r="E729" s="7"/>
      <c r="H729" s="7"/>
      <c r="I729" s="7"/>
      <c r="J729" s="48"/>
      <c r="K729" s="48"/>
      <c r="L729" s="48"/>
      <c r="M729" s="48"/>
      <c r="N729" s="48"/>
      <c r="O729" s="48"/>
      <c r="P729" s="48"/>
      <c r="Q729" s="7"/>
      <c r="R729" s="7"/>
      <c r="S729" s="7"/>
    </row>
    <row r="730" spans="2:19" ht="15" x14ac:dyDescent="0.35">
      <c r="B730" s="7"/>
      <c r="C730" s="7"/>
      <c r="D730" s="7"/>
      <c r="E730" s="7"/>
      <c r="H730" s="7"/>
      <c r="I730" s="7"/>
      <c r="J730" s="48"/>
      <c r="K730" s="48"/>
      <c r="L730" s="48"/>
      <c r="M730" s="48"/>
      <c r="N730" s="48"/>
      <c r="O730" s="48"/>
      <c r="P730" s="48"/>
      <c r="Q730" s="7"/>
      <c r="R730" s="7"/>
      <c r="S730" s="7"/>
    </row>
    <row r="731" spans="2:19" ht="15" x14ac:dyDescent="0.35">
      <c r="B731" s="7"/>
      <c r="C731" s="7"/>
      <c r="D731" s="7"/>
      <c r="E731" s="7"/>
      <c r="H731" s="7"/>
      <c r="I731" s="7"/>
      <c r="J731" s="48"/>
      <c r="K731" s="48"/>
      <c r="L731" s="48"/>
      <c r="M731" s="48"/>
      <c r="N731" s="48"/>
      <c r="O731" s="48"/>
      <c r="P731" s="48"/>
      <c r="Q731" s="7"/>
      <c r="R731" s="7"/>
      <c r="S731" s="7"/>
    </row>
    <row r="732" spans="2:19" ht="15" x14ac:dyDescent="0.35">
      <c r="B732" s="7"/>
      <c r="C732" s="7"/>
      <c r="D732" s="7"/>
      <c r="E732" s="7"/>
      <c r="H732" s="7"/>
      <c r="I732" s="7"/>
      <c r="J732" s="48"/>
      <c r="K732" s="48"/>
      <c r="L732" s="48"/>
      <c r="M732" s="48"/>
      <c r="N732" s="48"/>
      <c r="O732" s="48"/>
      <c r="P732" s="48"/>
      <c r="Q732" s="7"/>
      <c r="R732" s="7"/>
      <c r="S732" s="7"/>
    </row>
    <row r="733" spans="2:19" ht="15" x14ac:dyDescent="0.35">
      <c r="B733" s="7"/>
      <c r="C733" s="7"/>
      <c r="D733" s="7"/>
      <c r="E733" s="7"/>
      <c r="H733" s="7"/>
      <c r="I733" s="7"/>
      <c r="J733" s="48"/>
      <c r="K733" s="48"/>
      <c r="L733" s="48"/>
      <c r="M733" s="48"/>
      <c r="N733" s="48"/>
      <c r="O733" s="48"/>
      <c r="P733" s="48"/>
      <c r="Q733" s="7"/>
      <c r="R733" s="7"/>
      <c r="S733" s="7"/>
    </row>
    <row r="734" spans="2:19" ht="15" x14ac:dyDescent="0.35">
      <c r="B734" s="7"/>
      <c r="C734" s="7"/>
      <c r="D734" s="7"/>
      <c r="E734" s="7"/>
      <c r="H734" s="7"/>
      <c r="I734" s="7"/>
      <c r="J734" s="48"/>
      <c r="K734" s="48"/>
      <c r="L734" s="48"/>
      <c r="M734" s="48"/>
      <c r="N734" s="48"/>
      <c r="O734" s="48"/>
      <c r="P734" s="48"/>
      <c r="Q734" s="7"/>
      <c r="R734" s="7"/>
      <c r="S734" s="7"/>
    </row>
    <row r="735" spans="2:19" ht="15" x14ac:dyDescent="0.35">
      <c r="B735" s="7"/>
      <c r="C735" s="7"/>
      <c r="D735" s="7"/>
      <c r="E735" s="7"/>
      <c r="H735" s="7"/>
      <c r="I735" s="7"/>
      <c r="J735" s="48"/>
      <c r="K735" s="48"/>
      <c r="L735" s="48"/>
      <c r="M735" s="48"/>
      <c r="N735" s="48"/>
      <c r="O735" s="48"/>
      <c r="P735" s="48"/>
      <c r="Q735" s="7"/>
      <c r="R735" s="7"/>
      <c r="S735" s="7"/>
    </row>
    <row r="736" spans="2:19" ht="15" x14ac:dyDescent="0.35">
      <c r="B736" s="7"/>
      <c r="C736" s="7"/>
      <c r="D736" s="7"/>
      <c r="E736" s="7"/>
      <c r="H736" s="7"/>
      <c r="I736" s="7"/>
      <c r="J736" s="48"/>
      <c r="K736" s="48"/>
      <c r="L736" s="48"/>
      <c r="M736" s="48"/>
      <c r="N736" s="48"/>
      <c r="O736" s="48"/>
      <c r="P736" s="48"/>
      <c r="Q736" s="7"/>
      <c r="R736" s="7"/>
      <c r="S736" s="7"/>
    </row>
    <row r="737" spans="2:19" ht="15" x14ac:dyDescent="0.35">
      <c r="B737" s="7"/>
      <c r="C737" s="7"/>
      <c r="D737" s="7"/>
      <c r="E737" s="7"/>
      <c r="H737" s="7"/>
      <c r="I737" s="7"/>
      <c r="J737" s="48"/>
      <c r="K737" s="48"/>
      <c r="L737" s="48"/>
      <c r="M737" s="48"/>
      <c r="N737" s="48"/>
      <c r="O737" s="48"/>
      <c r="P737" s="48"/>
      <c r="Q737" s="7"/>
      <c r="R737" s="7"/>
      <c r="S737" s="7"/>
    </row>
    <row r="738" spans="2:19" ht="15" x14ac:dyDescent="0.35">
      <c r="B738" s="7"/>
      <c r="C738" s="7"/>
      <c r="D738" s="7"/>
      <c r="E738" s="7"/>
      <c r="H738" s="7"/>
      <c r="I738" s="7"/>
      <c r="J738" s="48"/>
      <c r="K738" s="48"/>
      <c r="L738" s="48"/>
      <c r="M738" s="48"/>
      <c r="N738" s="48"/>
      <c r="O738" s="48"/>
      <c r="P738" s="48"/>
      <c r="Q738" s="7"/>
      <c r="R738" s="7"/>
      <c r="S738" s="7"/>
    </row>
    <row r="739" spans="2:19" ht="15" x14ac:dyDescent="0.35">
      <c r="B739" s="7"/>
      <c r="C739" s="7"/>
      <c r="D739" s="7"/>
      <c r="E739" s="7"/>
      <c r="H739" s="7"/>
      <c r="I739" s="7"/>
      <c r="J739" s="48"/>
      <c r="K739" s="48"/>
      <c r="L739" s="48"/>
      <c r="M739" s="48"/>
      <c r="N739" s="48"/>
      <c r="O739" s="48"/>
      <c r="P739" s="48"/>
      <c r="Q739" s="7"/>
      <c r="R739" s="7"/>
      <c r="S739" s="7"/>
    </row>
    <row r="740" spans="2:19" ht="15" x14ac:dyDescent="0.35">
      <c r="B740" s="7"/>
      <c r="C740" s="7"/>
      <c r="D740" s="7"/>
      <c r="E740" s="7"/>
      <c r="H740" s="7"/>
      <c r="I740" s="7"/>
      <c r="J740" s="48"/>
      <c r="K740" s="48"/>
      <c r="L740" s="48"/>
      <c r="M740" s="48"/>
      <c r="N740" s="48"/>
      <c r="O740" s="48"/>
      <c r="P740" s="48"/>
      <c r="Q740" s="7"/>
      <c r="R740" s="7"/>
      <c r="S740" s="7"/>
    </row>
    <row r="741" spans="2:19" ht="15" x14ac:dyDescent="0.35">
      <c r="B741" s="7"/>
      <c r="C741" s="7"/>
      <c r="D741" s="7"/>
      <c r="E741" s="7"/>
      <c r="H741" s="7"/>
      <c r="I741" s="7"/>
      <c r="J741" s="48"/>
      <c r="K741" s="48"/>
      <c r="L741" s="48"/>
      <c r="M741" s="48"/>
      <c r="N741" s="48"/>
      <c r="O741" s="48"/>
      <c r="P741" s="48"/>
      <c r="Q741" s="7"/>
      <c r="R741" s="7"/>
      <c r="S741" s="7"/>
    </row>
    <row r="742" spans="2:19" ht="15" x14ac:dyDescent="0.35">
      <c r="B742" s="7"/>
      <c r="C742" s="7"/>
      <c r="D742" s="7"/>
      <c r="E742" s="7"/>
      <c r="H742" s="7"/>
      <c r="I742" s="7"/>
      <c r="J742" s="48"/>
      <c r="K742" s="48"/>
      <c r="L742" s="48"/>
      <c r="M742" s="48"/>
      <c r="N742" s="48"/>
      <c r="O742" s="48"/>
      <c r="P742" s="48"/>
      <c r="Q742" s="7"/>
      <c r="R742" s="7"/>
      <c r="S742" s="7"/>
    </row>
    <row r="743" spans="2:19" ht="15" x14ac:dyDescent="0.35">
      <c r="B743" s="7"/>
      <c r="C743" s="7"/>
      <c r="D743" s="7"/>
      <c r="E743" s="7"/>
      <c r="H743" s="7"/>
      <c r="I743" s="7"/>
      <c r="J743" s="48"/>
      <c r="K743" s="48"/>
      <c r="L743" s="48"/>
      <c r="M743" s="48"/>
      <c r="N743" s="48"/>
      <c r="O743" s="48"/>
      <c r="P743" s="48"/>
      <c r="Q743" s="7"/>
      <c r="R743" s="7"/>
      <c r="S743" s="7"/>
    </row>
    <row r="744" spans="2:19" ht="15" x14ac:dyDescent="0.35">
      <c r="B744" s="7"/>
      <c r="C744" s="7"/>
      <c r="D744" s="7"/>
      <c r="E744" s="7"/>
      <c r="H744" s="7"/>
      <c r="I744" s="7"/>
      <c r="J744" s="48"/>
      <c r="K744" s="48"/>
      <c r="L744" s="48"/>
      <c r="M744" s="48"/>
      <c r="N744" s="48"/>
      <c r="O744" s="48"/>
      <c r="P744" s="48"/>
      <c r="Q744" s="7"/>
      <c r="R744" s="7"/>
      <c r="S744" s="7"/>
    </row>
    <row r="745" spans="2:19" ht="15" x14ac:dyDescent="0.35">
      <c r="B745" s="7"/>
      <c r="C745" s="7"/>
      <c r="D745" s="7"/>
      <c r="E745" s="7"/>
      <c r="H745" s="7"/>
      <c r="I745" s="7"/>
      <c r="J745" s="48"/>
      <c r="K745" s="48"/>
      <c r="L745" s="48"/>
      <c r="M745" s="48"/>
      <c r="N745" s="48"/>
      <c r="O745" s="48"/>
      <c r="P745" s="48"/>
      <c r="Q745" s="7"/>
      <c r="R745" s="7"/>
      <c r="S745" s="7"/>
    </row>
    <row r="746" spans="2:19" ht="15" x14ac:dyDescent="0.35">
      <c r="B746" s="7"/>
      <c r="C746" s="7"/>
      <c r="D746" s="7"/>
      <c r="E746" s="7"/>
      <c r="H746" s="7"/>
      <c r="I746" s="7"/>
      <c r="J746" s="48"/>
      <c r="K746" s="48"/>
      <c r="L746" s="48"/>
      <c r="M746" s="48"/>
      <c r="N746" s="48"/>
      <c r="O746" s="48"/>
      <c r="P746" s="48"/>
      <c r="Q746" s="7"/>
      <c r="R746" s="7"/>
      <c r="S746" s="7"/>
    </row>
    <row r="747" spans="2:19" ht="15" x14ac:dyDescent="0.35">
      <c r="B747" s="7"/>
      <c r="C747" s="7"/>
      <c r="D747" s="7"/>
      <c r="E747" s="7"/>
      <c r="H747" s="7"/>
      <c r="I747" s="7"/>
      <c r="J747" s="48"/>
      <c r="K747" s="48"/>
      <c r="L747" s="48"/>
      <c r="M747" s="48"/>
      <c r="N747" s="48"/>
      <c r="O747" s="48"/>
      <c r="P747" s="48"/>
      <c r="Q747" s="7"/>
      <c r="R747" s="7"/>
      <c r="S747" s="7"/>
    </row>
    <row r="748" spans="2:19" ht="15" x14ac:dyDescent="0.35">
      <c r="B748" s="7"/>
      <c r="C748" s="7"/>
      <c r="D748" s="7"/>
      <c r="E748" s="7"/>
      <c r="H748" s="7"/>
      <c r="I748" s="7"/>
      <c r="J748" s="48"/>
      <c r="K748" s="48"/>
      <c r="L748" s="48"/>
      <c r="M748" s="48"/>
      <c r="N748" s="48"/>
      <c r="O748" s="48"/>
      <c r="P748" s="48"/>
      <c r="Q748" s="7"/>
      <c r="R748" s="7"/>
      <c r="S748" s="7"/>
    </row>
    <row r="749" spans="2:19" ht="15" x14ac:dyDescent="0.35">
      <c r="B749" s="7"/>
      <c r="C749" s="7"/>
      <c r="D749" s="7"/>
      <c r="E749" s="7"/>
      <c r="H749" s="7"/>
      <c r="I749" s="7"/>
      <c r="J749" s="48"/>
      <c r="K749" s="48"/>
      <c r="L749" s="48"/>
      <c r="M749" s="48"/>
      <c r="N749" s="48"/>
      <c r="O749" s="48"/>
      <c r="P749" s="48"/>
      <c r="Q749" s="7"/>
      <c r="R749" s="7"/>
      <c r="S749" s="7"/>
    </row>
    <row r="750" spans="2:19" ht="15" x14ac:dyDescent="0.35">
      <c r="B750" s="7"/>
      <c r="C750" s="7"/>
      <c r="D750" s="7"/>
      <c r="E750" s="7"/>
      <c r="H750" s="7"/>
      <c r="I750" s="7"/>
      <c r="J750" s="48"/>
      <c r="K750" s="48"/>
      <c r="L750" s="48"/>
      <c r="M750" s="48"/>
      <c r="N750" s="48"/>
      <c r="O750" s="48"/>
      <c r="P750" s="48"/>
      <c r="Q750" s="7"/>
      <c r="R750" s="7"/>
      <c r="S750" s="7"/>
    </row>
    <row r="751" spans="2:19" ht="15" x14ac:dyDescent="0.35">
      <c r="B751" s="7"/>
      <c r="C751" s="7"/>
      <c r="D751" s="7"/>
      <c r="E751" s="7"/>
      <c r="H751" s="7"/>
      <c r="I751" s="7"/>
      <c r="J751" s="48"/>
      <c r="K751" s="48"/>
      <c r="L751" s="48"/>
      <c r="M751" s="48"/>
      <c r="N751" s="48"/>
      <c r="O751" s="48"/>
      <c r="P751" s="48"/>
      <c r="Q751" s="7"/>
      <c r="R751" s="7"/>
      <c r="S751" s="7"/>
    </row>
    <row r="752" spans="2:19" ht="15" x14ac:dyDescent="0.35">
      <c r="B752" s="7"/>
      <c r="C752" s="7"/>
      <c r="D752" s="7"/>
      <c r="E752" s="7"/>
      <c r="H752" s="7"/>
      <c r="I752" s="7"/>
      <c r="J752" s="48"/>
      <c r="K752" s="48"/>
      <c r="L752" s="48"/>
      <c r="M752" s="48"/>
      <c r="N752" s="48"/>
      <c r="O752" s="48"/>
      <c r="P752" s="48"/>
      <c r="Q752" s="7"/>
      <c r="R752" s="7"/>
      <c r="S752" s="7"/>
    </row>
    <row r="753" spans="2:19" ht="15" x14ac:dyDescent="0.35">
      <c r="B753" s="7"/>
      <c r="C753" s="7"/>
      <c r="D753" s="7"/>
      <c r="E753" s="7"/>
      <c r="H753" s="7"/>
      <c r="I753" s="7"/>
      <c r="J753" s="48"/>
      <c r="K753" s="48"/>
      <c r="L753" s="48"/>
      <c r="M753" s="48"/>
      <c r="N753" s="48"/>
      <c r="O753" s="48"/>
      <c r="P753" s="48"/>
      <c r="Q753" s="7"/>
      <c r="R753" s="7"/>
      <c r="S753" s="7"/>
    </row>
    <row r="754" spans="2:19" ht="15" x14ac:dyDescent="0.35">
      <c r="B754" s="7"/>
      <c r="C754" s="7"/>
      <c r="D754" s="7"/>
      <c r="E754" s="7"/>
      <c r="H754" s="7"/>
      <c r="I754" s="7"/>
      <c r="J754" s="48"/>
      <c r="K754" s="48"/>
      <c r="L754" s="48"/>
      <c r="M754" s="48"/>
      <c r="N754" s="48"/>
      <c r="O754" s="48"/>
      <c r="P754" s="48"/>
      <c r="Q754" s="7"/>
      <c r="R754" s="7"/>
      <c r="S754" s="7"/>
    </row>
    <row r="755" spans="2:19" ht="15" x14ac:dyDescent="0.35">
      <c r="B755" s="7"/>
      <c r="C755" s="7"/>
      <c r="D755" s="7"/>
      <c r="E755" s="7"/>
      <c r="H755" s="7"/>
      <c r="I755" s="7"/>
      <c r="J755" s="48"/>
      <c r="K755" s="48"/>
      <c r="L755" s="48"/>
      <c r="M755" s="48"/>
      <c r="N755" s="48"/>
      <c r="O755" s="48"/>
      <c r="P755" s="48"/>
      <c r="Q755" s="7"/>
      <c r="R755" s="7"/>
      <c r="S755" s="7"/>
    </row>
    <row r="756" spans="2:19" ht="15" x14ac:dyDescent="0.35">
      <c r="B756" s="7"/>
      <c r="C756" s="7"/>
      <c r="D756" s="7"/>
      <c r="E756" s="7"/>
      <c r="H756" s="7"/>
      <c r="I756" s="7"/>
      <c r="J756" s="48"/>
      <c r="K756" s="48"/>
      <c r="L756" s="48"/>
      <c r="M756" s="48"/>
      <c r="N756" s="48"/>
      <c r="O756" s="48"/>
      <c r="P756" s="48"/>
      <c r="Q756" s="7"/>
      <c r="R756" s="7"/>
      <c r="S756" s="7"/>
    </row>
    <row r="757" spans="2:19" ht="15" x14ac:dyDescent="0.35">
      <c r="B757" s="7"/>
      <c r="C757" s="7"/>
      <c r="D757" s="7"/>
      <c r="E757" s="7"/>
      <c r="H757" s="7"/>
      <c r="I757" s="7"/>
      <c r="J757" s="48"/>
      <c r="K757" s="48"/>
      <c r="L757" s="48"/>
      <c r="M757" s="48"/>
      <c r="N757" s="48"/>
      <c r="O757" s="48"/>
      <c r="P757" s="48"/>
      <c r="Q757" s="7"/>
      <c r="R757" s="7"/>
      <c r="S757" s="7"/>
    </row>
    <row r="758" spans="2:19" ht="15" x14ac:dyDescent="0.35">
      <c r="B758" s="7"/>
      <c r="C758" s="7"/>
      <c r="D758" s="7"/>
      <c r="E758" s="7"/>
      <c r="H758" s="7"/>
      <c r="I758" s="7"/>
      <c r="J758" s="48"/>
      <c r="K758" s="48"/>
      <c r="L758" s="48"/>
      <c r="M758" s="48"/>
      <c r="N758" s="48"/>
      <c r="O758" s="48"/>
      <c r="P758" s="48"/>
      <c r="Q758" s="7"/>
      <c r="R758" s="7"/>
      <c r="S758" s="7"/>
    </row>
    <row r="759" spans="2:19" ht="15" x14ac:dyDescent="0.35">
      <c r="B759" s="7"/>
      <c r="C759" s="7"/>
      <c r="D759" s="7"/>
      <c r="E759" s="7"/>
      <c r="H759" s="7"/>
      <c r="I759" s="7"/>
      <c r="J759" s="48"/>
      <c r="K759" s="48"/>
      <c r="L759" s="48"/>
      <c r="M759" s="48"/>
      <c r="N759" s="48"/>
      <c r="O759" s="48"/>
      <c r="P759" s="48"/>
      <c r="Q759" s="7"/>
      <c r="R759" s="7"/>
      <c r="S759" s="7"/>
    </row>
    <row r="760" spans="2:19" ht="15" x14ac:dyDescent="0.35">
      <c r="B760" s="7"/>
      <c r="C760" s="7"/>
      <c r="D760" s="7"/>
      <c r="E760" s="7"/>
      <c r="H760" s="7"/>
      <c r="I760" s="7"/>
      <c r="J760" s="48"/>
      <c r="K760" s="48"/>
      <c r="L760" s="48"/>
      <c r="M760" s="48"/>
      <c r="N760" s="48"/>
      <c r="O760" s="48"/>
      <c r="P760" s="48"/>
      <c r="Q760" s="7"/>
      <c r="R760" s="7"/>
      <c r="S760" s="7"/>
    </row>
    <row r="761" spans="2:19" ht="15" x14ac:dyDescent="0.35">
      <c r="B761" s="7"/>
      <c r="C761" s="7"/>
      <c r="D761" s="7"/>
      <c r="E761" s="7"/>
      <c r="H761" s="7"/>
      <c r="I761" s="7"/>
      <c r="J761" s="48"/>
      <c r="K761" s="48"/>
      <c r="L761" s="48"/>
      <c r="M761" s="48"/>
      <c r="N761" s="48"/>
      <c r="O761" s="48"/>
      <c r="P761" s="48"/>
      <c r="Q761" s="7"/>
      <c r="R761" s="7"/>
      <c r="S761" s="7"/>
    </row>
    <row r="762" spans="2:19" ht="15" x14ac:dyDescent="0.35">
      <c r="B762" s="7"/>
      <c r="C762" s="7"/>
      <c r="D762" s="7"/>
      <c r="E762" s="7"/>
      <c r="H762" s="7"/>
      <c r="I762" s="7"/>
      <c r="J762" s="48"/>
      <c r="K762" s="48"/>
      <c r="L762" s="48"/>
      <c r="M762" s="48"/>
      <c r="N762" s="48"/>
      <c r="O762" s="48"/>
      <c r="P762" s="48"/>
      <c r="Q762" s="7"/>
      <c r="R762" s="7"/>
      <c r="S762" s="7"/>
    </row>
    <row r="763" spans="2:19" ht="15" x14ac:dyDescent="0.35">
      <c r="B763" s="7"/>
      <c r="C763" s="7"/>
      <c r="D763" s="7"/>
      <c r="E763" s="7"/>
      <c r="H763" s="7"/>
      <c r="I763" s="7"/>
      <c r="J763" s="48"/>
      <c r="K763" s="48"/>
      <c r="L763" s="48"/>
      <c r="M763" s="48"/>
      <c r="N763" s="48"/>
      <c r="O763" s="48"/>
      <c r="P763" s="48"/>
      <c r="Q763" s="7"/>
      <c r="R763" s="7"/>
      <c r="S763" s="7"/>
    </row>
    <row r="764" spans="2:19" ht="15" x14ac:dyDescent="0.35">
      <c r="B764" s="7"/>
      <c r="C764" s="7"/>
      <c r="D764" s="7"/>
      <c r="E764" s="7"/>
      <c r="H764" s="7"/>
      <c r="I764" s="7"/>
      <c r="J764" s="48"/>
      <c r="K764" s="48"/>
      <c r="L764" s="48"/>
      <c r="M764" s="48"/>
      <c r="N764" s="48"/>
      <c r="O764" s="48"/>
      <c r="P764" s="48"/>
      <c r="Q764" s="7"/>
      <c r="R764" s="7"/>
      <c r="S764" s="7"/>
    </row>
    <row r="765" spans="2:19" ht="15" x14ac:dyDescent="0.35">
      <c r="B765" s="7"/>
      <c r="C765" s="7"/>
      <c r="D765" s="7"/>
      <c r="E765" s="7"/>
      <c r="H765" s="7"/>
      <c r="I765" s="7"/>
      <c r="J765" s="48"/>
      <c r="K765" s="48"/>
      <c r="L765" s="48"/>
      <c r="M765" s="48"/>
      <c r="N765" s="48"/>
      <c r="O765" s="48"/>
      <c r="P765" s="48"/>
      <c r="Q765" s="7"/>
      <c r="R765" s="7"/>
      <c r="S765" s="7"/>
    </row>
    <row r="766" spans="2:19" ht="15" x14ac:dyDescent="0.35">
      <c r="B766" s="7"/>
      <c r="C766" s="7"/>
      <c r="D766" s="7"/>
      <c r="E766" s="7"/>
      <c r="H766" s="7"/>
      <c r="I766" s="7"/>
      <c r="J766" s="48"/>
      <c r="K766" s="48"/>
      <c r="L766" s="48"/>
      <c r="M766" s="48"/>
      <c r="N766" s="48"/>
      <c r="O766" s="48"/>
      <c r="P766" s="48"/>
      <c r="Q766" s="7"/>
      <c r="R766" s="7"/>
      <c r="S766" s="7"/>
    </row>
    <row r="767" spans="2:19" ht="15" x14ac:dyDescent="0.35">
      <c r="B767" s="7"/>
      <c r="C767" s="7"/>
      <c r="D767" s="7"/>
      <c r="E767" s="7"/>
      <c r="H767" s="7"/>
      <c r="I767" s="7"/>
      <c r="J767" s="48"/>
      <c r="K767" s="48"/>
      <c r="L767" s="48"/>
      <c r="M767" s="48"/>
      <c r="N767" s="48"/>
      <c r="O767" s="48"/>
      <c r="P767" s="48"/>
      <c r="Q767" s="7"/>
      <c r="R767" s="7"/>
      <c r="S767" s="7"/>
    </row>
    <row r="768" spans="2:19" ht="15" x14ac:dyDescent="0.35">
      <c r="B768" s="7"/>
      <c r="C768" s="7"/>
      <c r="D768" s="7"/>
      <c r="E768" s="7"/>
      <c r="H768" s="7"/>
      <c r="I768" s="7"/>
      <c r="J768" s="48"/>
      <c r="K768" s="48"/>
      <c r="L768" s="48"/>
      <c r="M768" s="48"/>
      <c r="N768" s="48"/>
      <c r="O768" s="48"/>
      <c r="P768" s="48"/>
      <c r="Q768" s="7"/>
      <c r="R768" s="7"/>
      <c r="S768" s="7"/>
    </row>
    <row r="769" spans="2:19" ht="15" x14ac:dyDescent="0.35">
      <c r="B769" s="7"/>
      <c r="C769" s="7"/>
      <c r="D769" s="7"/>
      <c r="E769" s="7"/>
      <c r="H769" s="7"/>
      <c r="I769" s="7"/>
      <c r="J769" s="48"/>
      <c r="K769" s="48"/>
      <c r="L769" s="48"/>
      <c r="M769" s="48"/>
      <c r="N769" s="48"/>
      <c r="O769" s="48"/>
      <c r="P769" s="48"/>
      <c r="Q769" s="7"/>
      <c r="R769" s="7"/>
      <c r="S769" s="7"/>
    </row>
    <row r="770" spans="2:19" ht="15" x14ac:dyDescent="0.35">
      <c r="B770" s="7"/>
      <c r="C770" s="7"/>
      <c r="D770" s="7"/>
      <c r="E770" s="7"/>
      <c r="H770" s="7"/>
      <c r="I770" s="7"/>
      <c r="J770" s="48"/>
      <c r="K770" s="48"/>
      <c r="L770" s="48"/>
      <c r="M770" s="48"/>
      <c r="N770" s="48"/>
      <c r="O770" s="48"/>
      <c r="P770" s="48"/>
      <c r="Q770" s="7"/>
      <c r="R770" s="7"/>
      <c r="S770" s="7"/>
    </row>
    <row r="771" spans="2:19" ht="15" x14ac:dyDescent="0.35">
      <c r="B771" s="7"/>
      <c r="C771" s="7"/>
      <c r="D771" s="7"/>
      <c r="E771" s="7"/>
      <c r="H771" s="7"/>
      <c r="I771" s="7"/>
      <c r="J771" s="48"/>
      <c r="K771" s="48"/>
      <c r="L771" s="48"/>
      <c r="M771" s="48"/>
      <c r="N771" s="48"/>
      <c r="O771" s="48"/>
      <c r="P771" s="48"/>
      <c r="Q771" s="7"/>
      <c r="R771" s="7"/>
      <c r="S771" s="7"/>
    </row>
    <row r="772" spans="2:19" ht="15" x14ac:dyDescent="0.35">
      <c r="B772" s="7"/>
      <c r="C772" s="7"/>
      <c r="D772" s="7"/>
      <c r="E772" s="7"/>
      <c r="H772" s="7"/>
      <c r="I772" s="7"/>
      <c r="J772" s="48"/>
      <c r="K772" s="48"/>
      <c r="L772" s="48"/>
      <c r="M772" s="48"/>
      <c r="N772" s="48"/>
      <c r="O772" s="48"/>
      <c r="P772" s="48"/>
      <c r="Q772" s="7"/>
      <c r="R772" s="7"/>
      <c r="S772" s="7"/>
    </row>
    <row r="773" spans="2:19" ht="15" x14ac:dyDescent="0.35">
      <c r="B773" s="7"/>
      <c r="C773" s="7"/>
      <c r="D773" s="7"/>
      <c r="E773" s="7"/>
      <c r="H773" s="7"/>
      <c r="I773" s="7"/>
      <c r="J773" s="48"/>
      <c r="K773" s="48"/>
      <c r="L773" s="48"/>
      <c r="M773" s="48"/>
      <c r="N773" s="48"/>
      <c r="O773" s="48"/>
      <c r="P773" s="48"/>
      <c r="Q773" s="7"/>
      <c r="R773" s="7"/>
      <c r="S773" s="7"/>
    </row>
    <row r="774" spans="2:19" ht="15" x14ac:dyDescent="0.35">
      <c r="B774" s="7"/>
      <c r="C774" s="7"/>
      <c r="D774" s="7"/>
      <c r="E774" s="7"/>
      <c r="H774" s="7"/>
      <c r="I774" s="7"/>
      <c r="J774" s="48"/>
      <c r="K774" s="48"/>
      <c r="L774" s="48"/>
      <c r="M774" s="48"/>
      <c r="N774" s="48"/>
      <c r="O774" s="48"/>
      <c r="P774" s="48"/>
      <c r="Q774" s="7"/>
      <c r="R774" s="7"/>
      <c r="S774" s="7"/>
    </row>
    <row r="775" spans="2:19" ht="15" x14ac:dyDescent="0.35">
      <c r="B775" s="7"/>
      <c r="C775" s="7"/>
      <c r="D775" s="7"/>
      <c r="E775" s="7"/>
      <c r="H775" s="7"/>
      <c r="I775" s="7"/>
      <c r="J775" s="48"/>
      <c r="K775" s="48"/>
      <c r="L775" s="48"/>
      <c r="M775" s="48"/>
      <c r="N775" s="48"/>
      <c r="O775" s="48"/>
      <c r="P775" s="48"/>
      <c r="Q775" s="7"/>
      <c r="R775" s="7"/>
      <c r="S775" s="7"/>
    </row>
    <row r="776" spans="2:19" ht="15" x14ac:dyDescent="0.35">
      <c r="B776" s="7"/>
      <c r="C776" s="7"/>
      <c r="D776" s="7"/>
      <c r="E776" s="7"/>
      <c r="H776" s="7"/>
      <c r="I776" s="7"/>
      <c r="J776" s="48"/>
      <c r="K776" s="48"/>
      <c r="L776" s="48"/>
      <c r="M776" s="48"/>
      <c r="N776" s="48"/>
      <c r="O776" s="48"/>
      <c r="P776" s="48"/>
      <c r="Q776" s="7"/>
      <c r="R776" s="7"/>
      <c r="S776" s="7"/>
    </row>
    <row r="777" spans="2:19" ht="15" x14ac:dyDescent="0.35">
      <c r="B777" s="7"/>
      <c r="C777" s="7"/>
      <c r="D777" s="7"/>
      <c r="E777" s="7"/>
      <c r="H777" s="7"/>
      <c r="I777" s="7"/>
      <c r="J777" s="48"/>
      <c r="K777" s="48"/>
      <c r="L777" s="48"/>
      <c r="M777" s="48"/>
      <c r="N777" s="48"/>
      <c r="O777" s="48"/>
      <c r="P777" s="48"/>
      <c r="Q777" s="7"/>
      <c r="R777" s="7"/>
      <c r="S777" s="7"/>
    </row>
    <row r="778" spans="2:19" ht="15" x14ac:dyDescent="0.35">
      <c r="B778" s="7"/>
      <c r="C778" s="7"/>
      <c r="D778" s="7"/>
      <c r="E778" s="7"/>
      <c r="H778" s="7"/>
      <c r="I778" s="7"/>
      <c r="J778" s="48"/>
      <c r="K778" s="48"/>
      <c r="L778" s="48"/>
      <c r="M778" s="48"/>
      <c r="N778" s="48"/>
      <c r="O778" s="48"/>
      <c r="P778" s="48"/>
      <c r="Q778" s="7"/>
      <c r="R778" s="7"/>
      <c r="S778" s="7"/>
    </row>
    <row r="779" spans="2:19" ht="15" x14ac:dyDescent="0.35">
      <c r="B779" s="7"/>
      <c r="C779" s="7"/>
      <c r="D779" s="7"/>
      <c r="E779" s="7"/>
      <c r="H779" s="7"/>
      <c r="I779" s="7"/>
      <c r="J779" s="48"/>
      <c r="K779" s="48"/>
      <c r="L779" s="48"/>
      <c r="M779" s="48"/>
      <c r="N779" s="48"/>
      <c r="O779" s="48"/>
      <c r="P779" s="48"/>
      <c r="Q779" s="7"/>
      <c r="R779" s="7"/>
      <c r="S779" s="7"/>
    </row>
    <row r="780" spans="2:19" ht="15" x14ac:dyDescent="0.35">
      <c r="B780" s="7"/>
      <c r="C780" s="7"/>
      <c r="D780" s="7"/>
      <c r="E780" s="7"/>
      <c r="H780" s="7"/>
      <c r="I780" s="7"/>
      <c r="J780" s="48"/>
      <c r="K780" s="48"/>
      <c r="L780" s="48"/>
      <c r="M780" s="48"/>
      <c r="N780" s="48"/>
      <c r="O780" s="48"/>
      <c r="P780" s="48"/>
      <c r="Q780" s="7"/>
      <c r="R780" s="7"/>
      <c r="S780" s="7"/>
    </row>
    <row r="781" spans="2:19" ht="15" x14ac:dyDescent="0.35">
      <c r="B781" s="7"/>
      <c r="C781" s="7"/>
      <c r="D781" s="7"/>
      <c r="E781" s="7"/>
      <c r="H781" s="7"/>
      <c r="I781" s="7"/>
      <c r="J781" s="48"/>
      <c r="K781" s="48"/>
      <c r="L781" s="48"/>
      <c r="M781" s="48"/>
      <c r="N781" s="48"/>
      <c r="O781" s="48"/>
      <c r="P781" s="48"/>
      <c r="Q781" s="7"/>
      <c r="R781" s="7"/>
      <c r="S781" s="7"/>
    </row>
    <row r="782" spans="2:19" ht="15" x14ac:dyDescent="0.35">
      <c r="B782" s="7"/>
      <c r="C782" s="7"/>
      <c r="D782" s="7"/>
      <c r="E782" s="7"/>
      <c r="H782" s="7"/>
      <c r="I782" s="7"/>
      <c r="J782" s="48"/>
      <c r="K782" s="48"/>
      <c r="L782" s="48"/>
      <c r="M782" s="48"/>
      <c r="N782" s="48"/>
      <c r="O782" s="48"/>
      <c r="P782" s="48"/>
      <c r="Q782" s="7"/>
      <c r="R782" s="7"/>
      <c r="S782" s="7"/>
    </row>
    <row r="783" spans="2:19" ht="15" x14ac:dyDescent="0.35">
      <c r="B783" s="7"/>
      <c r="C783" s="7"/>
      <c r="D783" s="7"/>
      <c r="E783" s="7"/>
      <c r="H783" s="7"/>
      <c r="I783" s="7"/>
      <c r="J783" s="48"/>
      <c r="K783" s="48"/>
      <c r="L783" s="48"/>
      <c r="M783" s="48"/>
      <c r="N783" s="48"/>
      <c r="O783" s="48"/>
      <c r="P783" s="48"/>
      <c r="Q783" s="7"/>
      <c r="R783" s="7"/>
      <c r="S783" s="7"/>
    </row>
    <row r="784" spans="2:19" ht="15" x14ac:dyDescent="0.35">
      <c r="B784" s="7"/>
      <c r="C784" s="7"/>
      <c r="D784" s="7"/>
      <c r="E784" s="7"/>
      <c r="H784" s="7"/>
      <c r="I784" s="7"/>
      <c r="J784" s="48"/>
      <c r="K784" s="48"/>
      <c r="L784" s="48"/>
      <c r="M784" s="48"/>
      <c r="N784" s="48"/>
      <c r="O784" s="48"/>
      <c r="P784" s="48"/>
      <c r="Q784" s="7"/>
      <c r="R784" s="7"/>
      <c r="S784" s="7"/>
    </row>
    <row r="785" spans="2:19" ht="15" x14ac:dyDescent="0.35">
      <c r="B785" s="7"/>
      <c r="C785" s="7"/>
      <c r="D785" s="7"/>
      <c r="E785" s="7"/>
      <c r="H785" s="7"/>
      <c r="I785" s="7"/>
      <c r="J785" s="48"/>
      <c r="K785" s="48"/>
      <c r="L785" s="48"/>
      <c r="M785" s="48"/>
      <c r="N785" s="48"/>
      <c r="O785" s="48"/>
      <c r="P785" s="48"/>
      <c r="Q785" s="7"/>
      <c r="R785" s="7"/>
      <c r="S785" s="7"/>
    </row>
    <row r="786" spans="2:19" ht="15" x14ac:dyDescent="0.35">
      <c r="B786" s="7"/>
      <c r="C786" s="7"/>
      <c r="D786" s="7"/>
      <c r="E786" s="7"/>
      <c r="H786" s="7"/>
      <c r="I786" s="7"/>
      <c r="J786" s="48"/>
      <c r="K786" s="48"/>
      <c r="L786" s="48"/>
      <c r="M786" s="48"/>
      <c r="N786" s="48"/>
      <c r="O786" s="48"/>
      <c r="P786" s="48"/>
      <c r="Q786" s="7"/>
      <c r="R786" s="7"/>
      <c r="S786" s="7"/>
    </row>
    <row r="787" spans="2:19" ht="15" x14ac:dyDescent="0.35">
      <c r="B787" s="7"/>
      <c r="C787" s="7"/>
      <c r="D787" s="7"/>
      <c r="E787" s="7"/>
      <c r="H787" s="7"/>
      <c r="I787" s="7"/>
      <c r="J787" s="48"/>
      <c r="K787" s="48"/>
      <c r="L787" s="48"/>
      <c r="M787" s="48"/>
      <c r="N787" s="48"/>
      <c r="O787" s="48"/>
      <c r="P787" s="48"/>
      <c r="Q787" s="7"/>
      <c r="R787" s="7"/>
      <c r="S787" s="7"/>
    </row>
    <row r="788" spans="2:19" ht="15" x14ac:dyDescent="0.35">
      <c r="B788" s="7"/>
      <c r="C788" s="7"/>
      <c r="D788" s="7"/>
      <c r="E788" s="7"/>
      <c r="H788" s="7"/>
      <c r="I788" s="7"/>
      <c r="J788" s="48"/>
      <c r="K788" s="48"/>
      <c r="L788" s="48"/>
      <c r="M788" s="48"/>
      <c r="N788" s="48"/>
      <c r="O788" s="48"/>
      <c r="P788" s="48"/>
      <c r="Q788" s="7"/>
      <c r="R788" s="7"/>
      <c r="S788" s="7"/>
    </row>
    <row r="789" spans="2:19" ht="15" x14ac:dyDescent="0.35">
      <c r="B789" s="7"/>
      <c r="C789" s="7"/>
      <c r="D789" s="7"/>
      <c r="E789" s="7"/>
      <c r="H789" s="7"/>
      <c r="I789" s="7"/>
      <c r="J789" s="48"/>
      <c r="K789" s="48"/>
      <c r="L789" s="48"/>
      <c r="M789" s="48"/>
      <c r="N789" s="48"/>
      <c r="O789" s="48"/>
      <c r="P789" s="48"/>
      <c r="Q789" s="7"/>
      <c r="R789" s="7"/>
      <c r="S789" s="7"/>
    </row>
    <row r="790" spans="2:19" ht="15" x14ac:dyDescent="0.35">
      <c r="B790" s="7"/>
      <c r="C790" s="7"/>
      <c r="D790" s="7"/>
      <c r="E790" s="7"/>
      <c r="H790" s="7"/>
      <c r="I790" s="7"/>
      <c r="J790" s="48"/>
      <c r="K790" s="48"/>
      <c r="L790" s="48"/>
      <c r="M790" s="48"/>
      <c r="N790" s="48"/>
      <c r="O790" s="48"/>
      <c r="P790" s="48"/>
      <c r="Q790" s="7"/>
      <c r="R790" s="7"/>
      <c r="S790" s="7"/>
    </row>
    <row r="791" spans="2:19" ht="15" x14ac:dyDescent="0.35">
      <c r="B791" s="7"/>
      <c r="C791" s="7"/>
      <c r="D791" s="7"/>
      <c r="E791" s="7"/>
      <c r="H791" s="7"/>
      <c r="I791" s="7"/>
      <c r="J791" s="48"/>
      <c r="K791" s="48"/>
      <c r="L791" s="48"/>
      <c r="M791" s="48"/>
      <c r="N791" s="48"/>
      <c r="O791" s="48"/>
      <c r="P791" s="48"/>
      <c r="Q791" s="7"/>
      <c r="R791" s="7"/>
      <c r="S791" s="7"/>
    </row>
    <row r="792" spans="2:19" ht="15" x14ac:dyDescent="0.35">
      <c r="B792" s="7"/>
      <c r="C792" s="7"/>
      <c r="D792" s="7"/>
      <c r="E792" s="7"/>
      <c r="H792" s="7"/>
      <c r="I792" s="7"/>
      <c r="J792" s="48"/>
      <c r="K792" s="48"/>
      <c r="L792" s="48"/>
      <c r="M792" s="48"/>
      <c r="N792" s="48"/>
      <c r="O792" s="48"/>
      <c r="P792" s="48"/>
      <c r="Q792" s="7"/>
      <c r="R792" s="7"/>
      <c r="S792" s="7"/>
    </row>
    <row r="793" spans="2:19" ht="15" x14ac:dyDescent="0.35">
      <c r="B793" s="7"/>
      <c r="C793" s="7"/>
      <c r="D793" s="7"/>
      <c r="E793" s="7"/>
      <c r="H793" s="7"/>
      <c r="I793" s="7"/>
      <c r="J793" s="48"/>
      <c r="K793" s="48"/>
      <c r="L793" s="48"/>
      <c r="M793" s="48"/>
      <c r="N793" s="48"/>
      <c r="O793" s="48"/>
      <c r="P793" s="48"/>
      <c r="Q793" s="7"/>
      <c r="R793" s="7"/>
      <c r="S793" s="7"/>
    </row>
    <row r="794" spans="2:19" ht="15" x14ac:dyDescent="0.35">
      <c r="B794" s="7"/>
      <c r="C794" s="7"/>
      <c r="D794" s="7"/>
      <c r="E794" s="7"/>
      <c r="H794" s="7"/>
      <c r="I794" s="7"/>
      <c r="J794" s="48"/>
      <c r="K794" s="48"/>
      <c r="L794" s="48"/>
      <c r="M794" s="48"/>
      <c r="N794" s="48"/>
      <c r="O794" s="48"/>
      <c r="P794" s="48"/>
      <c r="Q794" s="7"/>
      <c r="R794" s="7"/>
      <c r="S794" s="7"/>
    </row>
    <row r="795" spans="2:19" ht="15" x14ac:dyDescent="0.35">
      <c r="B795" s="7"/>
      <c r="C795" s="7"/>
      <c r="D795" s="7"/>
      <c r="E795" s="7"/>
      <c r="H795" s="7"/>
      <c r="I795" s="7"/>
      <c r="J795" s="48"/>
      <c r="K795" s="48"/>
      <c r="L795" s="48"/>
      <c r="M795" s="48"/>
      <c r="N795" s="48"/>
      <c r="O795" s="48"/>
      <c r="P795" s="48"/>
      <c r="Q795" s="7"/>
      <c r="R795" s="7"/>
      <c r="S795" s="7"/>
    </row>
    <row r="796" spans="2:19" ht="15" x14ac:dyDescent="0.35">
      <c r="B796" s="7"/>
      <c r="C796" s="7"/>
      <c r="D796" s="7"/>
      <c r="E796" s="7"/>
      <c r="H796" s="7"/>
      <c r="I796" s="7"/>
      <c r="J796" s="48"/>
      <c r="K796" s="48"/>
      <c r="L796" s="48"/>
      <c r="M796" s="48"/>
      <c r="N796" s="48"/>
      <c r="O796" s="48"/>
      <c r="P796" s="48"/>
      <c r="Q796" s="7"/>
      <c r="R796" s="7"/>
      <c r="S796" s="7"/>
    </row>
    <row r="797" spans="2:19" ht="15" x14ac:dyDescent="0.35">
      <c r="B797" s="7"/>
      <c r="C797" s="7"/>
      <c r="D797" s="7"/>
      <c r="E797" s="7"/>
      <c r="H797" s="7"/>
      <c r="I797" s="7"/>
      <c r="J797" s="48"/>
      <c r="K797" s="48"/>
      <c r="L797" s="48"/>
      <c r="M797" s="48"/>
      <c r="N797" s="48"/>
      <c r="O797" s="48"/>
      <c r="P797" s="48"/>
      <c r="Q797" s="7"/>
      <c r="R797" s="7"/>
      <c r="S797" s="7"/>
    </row>
    <row r="798" spans="2:19" ht="15" x14ac:dyDescent="0.35">
      <c r="B798" s="7"/>
      <c r="C798" s="7"/>
      <c r="D798" s="7"/>
      <c r="E798" s="7"/>
      <c r="H798" s="7"/>
      <c r="I798" s="7"/>
      <c r="J798" s="48"/>
      <c r="K798" s="48"/>
      <c r="L798" s="48"/>
      <c r="M798" s="48"/>
      <c r="N798" s="48"/>
      <c r="O798" s="48"/>
      <c r="P798" s="48"/>
      <c r="Q798" s="7"/>
      <c r="R798" s="7"/>
      <c r="S798" s="7"/>
    </row>
    <row r="799" spans="2:19" ht="15" x14ac:dyDescent="0.35">
      <c r="B799" s="7"/>
      <c r="C799" s="7"/>
      <c r="D799" s="7"/>
      <c r="E799" s="7"/>
      <c r="H799" s="7"/>
      <c r="I799" s="7"/>
      <c r="J799" s="48"/>
      <c r="K799" s="48"/>
      <c r="L799" s="48"/>
      <c r="M799" s="48"/>
      <c r="N799" s="48"/>
      <c r="O799" s="48"/>
      <c r="P799" s="48"/>
      <c r="Q799" s="7"/>
      <c r="R799" s="7"/>
      <c r="S799" s="7"/>
    </row>
    <row r="800" spans="2:19" ht="15" x14ac:dyDescent="0.35">
      <c r="B800" s="7"/>
      <c r="C800" s="7"/>
      <c r="D800" s="7"/>
      <c r="E800" s="7"/>
      <c r="H800" s="7"/>
      <c r="I800" s="7"/>
      <c r="J800" s="48"/>
      <c r="K800" s="48"/>
      <c r="L800" s="48"/>
      <c r="M800" s="48"/>
      <c r="N800" s="48"/>
      <c r="O800" s="48"/>
      <c r="P800" s="48"/>
      <c r="Q800" s="7"/>
      <c r="R800" s="7"/>
      <c r="S800" s="7"/>
    </row>
    <row r="801" spans="2:19" ht="15" x14ac:dyDescent="0.35">
      <c r="B801" s="7"/>
      <c r="C801" s="7"/>
      <c r="D801" s="7"/>
      <c r="E801" s="7"/>
      <c r="H801" s="7"/>
      <c r="I801" s="7"/>
      <c r="J801" s="48"/>
      <c r="K801" s="48"/>
      <c r="L801" s="48"/>
      <c r="M801" s="48"/>
      <c r="N801" s="48"/>
      <c r="O801" s="48"/>
      <c r="P801" s="48"/>
      <c r="Q801" s="7"/>
      <c r="R801" s="7"/>
      <c r="S801" s="7"/>
    </row>
    <row r="802" spans="2:19" ht="15" x14ac:dyDescent="0.35">
      <c r="B802" s="7"/>
      <c r="C802" s="7"/>
      <c r="D802" s="7"/>
      <c r="E802" s="7"/>
      <c r="H802" s="7"/>
      <c r="I802" s="7"/>
      <c r="J802" s="48"/>
      <c r="K802" s="48"/>
      <c r="L802" s="48"/>
      <c r="M802" s="48"/>
      <c r="N802" s="48"/>
      <c r="O802" s="48"/>
      <c r="P802" s="48"/>
      <c r="Q802" s="7"/>
      <c r="R802" s="7"/>
      <c r="S802" s="7"/>
    </row>
    <row r="803" spans="2:19" ht="15" x14ac:dyDescent="0.35">
      <c r="B803" s="7"/>
      <c r="C803" s="7"/>
      <c r="D803" s="7"/>
      <c r="E803" s="7"/>
      <c r="H803" s="7"/>
      <c r="I803" s="7"/>
      <c r="J803" s="48"/>
      <c r="K803" s="48"/>
      <c r="L803" s="48"/>
      <c r="M803" s="48"/>
      <c r="N803" s="48"/>
      <c r="O803" s="48"/>
      <c r="P803" s="48"/>
      <c r="Q803" s="7"/>
      <c r="R803" s="7"/>
      <c r="S803" s="7"/>
    </row>
    <row r="804" spans="2:19" ht="15" x14ac:dyDescent="0.35">
      <c r="B804" s="7"/>
      <c r="C804" s="7"/>
      <c r="D804" s="7"/>
      <c r="E804" s="7"/>
      <c r="H804" s="7"/>
      <c r="I804" s="7"/>
      <c r="J804" s="48"/>
      <c r="K804" s="48"/>
      <c r="L804" s="48"/>
      <c r="M804" s="48"/>
      <c r="N804" s="48"/>
      <c r="O804" s="48"/>
      <c r="P804" s="48"/>
      <c r="Q804" s="7"/>
      <c r="R804" s="7"/>
      <c r="S804" s="7"/>
    </row>
    <row r="805" spans="2:19" ht="15" x14ac:dyDescent="0.35">
      <c r="B805" s="7"/>
      <c r="C805" s="7"/>
      <c r="D805" s="7"/>
      <c r="E805" s="7"/>
      <c r="H805" s="7"/>
      <c r="I805" s="7"/>
      <c r="J805" s="48"/>
      <c r="K805" s="48"/>
      <c r="L805" s="48"/>
      <c r="M805" s="48"/>
      <c r="N805" s="48"/>
      <c r="O805" s="48"/>
      <c r="P805" s="48"/>
      <c r="Q805" s="7"/>
      <c r="R805" s="7"/>
      <c r="S805" s="7"/>
    </row>
    <row r="806" spans="2:19" ht="15" x14ac:dyDescent="0.35">
      <c r="B806" s="7"/>
      <c r="C806" s="7"/>
      <c r="D806" s="7"/>
      <c r="E806" s="7"/>
      <c r="H806" s="7"/>
      <c r="I806" s="7"/>
      <c r="J806" s="48"/>
      <c r="K806" s="48"/>
      <c r="L806" s="48"/>
      <c r="M806" s="48"/>
      <c r="N806" s="48"/>
      <c r="O806" s="48"/>
      <c r="P806" s="48"/>
      <c r="Q806" s="7"/>
      <c r="R806" s="7"/>
      <c r="S806" s="7"/>
    </row>
    <row r="807" spans="2:19" ht="15" x14ac:dyDescent="0.35">
      <c r="B807" s="7"/>
      <c r="C807" s="7"/>
      <c r="D807" s="7"/>
      <c r="E807" s="7"/>
      <c r="H807" s="7"/>
      <c r="I807" s="7"/>
      <c r="J807" s="48"/>
      <c r="K807" s="48"/>
      <c r="L807" s="48"/>
      <c r="M807" s="48"/>
      <c r="N807" s="48"/>
      <c r="O807" s="48"/>
      <c r="P807" s="48"/>
      <c r="Q807" s="7"/>
      <c r="R807" s="7"/>
      <c r="S807" s="7"/>
    </row>
    <row r="808" spans="2:19" ht="15" x14ac:dyDescent="0.35">
      <c r="B808" s="7"/>
      <c r="C808" s="7"/>
      <c r="D808" s="7"/>
      <c r="E808" s="7"/>
      <c r="H808" s="7"/>
      <c r="I808" s="7"/>
      <c r="J808" s="48"/>
      <c r="K808" s="48"/>
      <c r="L808" s="48"/>
      <c r="M808" s="48"/>
      <c r="N808" s="48"/>
      <c r="O808" s="48"/>
      <c r="P808" s="48"/>
      <c r="Q808" s="7"/>
      <c r="R808" s="7"/>
      <c r="S808" s="7"/>
    </row>
    <row r="809" spans="2:19" ht="15" x14ac:dyDescent="0.35">
      <c r="B809" s="7"/>
      <c r="C809" s="7"/>
      <c r="D809" s="7"/>
      <c r="E809" s="7"/>
      <c r="H809" s="7"/>
      <c r="I809" s="7"/>
      <c r="J809" s="48"/>
      <c r="K809" s="48"/>
      <c r="L809" s="48"/>
      <c r="M809" s="48"/>
      <c r="N809" s="48"/>
      <c r="O809" s="48"/>
      <c r="P809" s="48"/>
      <c r="Q809" s="7"/>
      <c r="R809" s="7"/>
      <c r="S809" s="7"/>
    </row>
    <row r="810" spans="2:19" ht="15" x14ac:dyDescent="0.35">
      <c r="B810" s="7"/>
      <c r="C810" s="7"/>
      <c r="D810" s="7"/>
      <c r="E810" s="7"/>
      <c r="H810" s="7"/>
      <c r="I810" s="7"/>
      <c r="J810" s="48"/>
      <c r="K810" s="48"/>
      <c r="L810" s="48"/>
      <c r="M810" s="48"/>
      <c r="N810" s="48"/>
      <c r="O810" s="48"/>
      <c r="P810" s="48"/>
      <c r="Q810" s="7"/>
      <c r="R810" s="7"/>
      <c r="S810" s="7"/>
    </row>
    <row r="811" spans="2:19" ht="15" x14ac:dyDescent="0.35">
      <c r="B811" s="7"/>
      <c r="C811" s="7"/>
      <c r="D811" s="7"/>
      <c r="E811" s="7"/>
      <c r="H811" s="7"/>
      <c r="I811" s="7"/>
      <c r="J811" s="48"/>
      <c r="K811" s="48"/>
      <c r="L811" s="48"/>
      <c r="M811" s="48"/>
      <c r="N811" s="48"/>
      <c r="O811" s="48"/>
      <c r="P811" s="48"/>
      <c r="Q811" s="7"/>
      <c r="R811" s="7"/>
      <c r="S811" s="7"/>
    </row>
    <row r="812" spans="2:19" ht="15" x14ac:dyDescent="0.35">
      <c r="B812" s="7"/>
      <c r="C812" s="7"/>
      <c r="D812" s="7"/>
      <c r="E812" s="7"/>
      <c r="H812" s="7"/>
      <c r="I812" s="7"/>
      <c r="J812" s="48"/>
      <c r="K812" s="48"/>
      <c r="L812" s="48"/>
      <c r="M812" s="48"/>
      <c r="N812" s="48"/>
      <c r="O812" s="48"/>
      <c r="P812" s="48"/>
      <c r="Q812" s="7"/>
      <c r="R812" s="7"/>
      <c r="S812" s="7"/>
    </row>
    <row r="813" spans="2:19" ht="15" x14ac:dyDescent="0.35">
      <c r="B813" s="7"/>
      <c r="C813" s="7"/>
      <c r="D813" s="7"/>
      <c r="E813" s="7"/>
      <c r="H813" s="7"/>
      <c r="I813" s="7"/>
      <c r="J813" s="48"/>
      <c r="K813" s="48"/>
      <c r="L813" s="48"/>
      <c r="M813" s="48"/>
      <c r="N813" s="48"/>
      <c r="O813" s="48"/>
      <c r="P813" s="48"/>
      <c r="Q813" s="7"/>
      <c r="R813" s="7"/>
      <c r="S813" s="7"/>
    </row>
    <row r="814" spans="2:19" ht="15" x14ac:dyDescent="0.35">
      <c r="B814" s="7"/>
      <c r="C814" s="7"/>
      <c r="D814" s="7"/>
      <c r="E814" s="7"/>
      <c r="H814" s="7"/>
      <c r="I814" s="7"/>
      <c r="J814" s="48"/>
      <c r="K814" s="48"/>
      <c r="L814" s="48"/>
      <c r="M814" s="48"/>
      <c r="N814" s="48"/>
      <c r="O814" s="48"/>
      <c r="P814" s="48"/>
      <c r="Q814" s="7"/>
      <c r="R814" s="7"/>
      <c r="S814" s="7"/>
    </row>
    <row r="815" spans="2:19" ht="15" x14ac:dyDescent="0.35">
      <c r="B815" s="7"/>
      <c r="C815" s="7"/>
      <c r="D815" s="7"/>
      <c r="E815" s="7"/>
      <c r="H815" s="7"/>
      <c r="I815" s="7"/>
      <c r="J815" s="48"/>
      <c r="K815" s="48"/>
      <c r="L815" s="48"/>
      <c r="M815" s="48"/>
      <c r="N815" s="48"/>
      <c r="O815" s="48"/>
      <c r="P815" s="48"/>
      <c r="Q815" s="7"/>
      <c r="R815" s="7"/>
      <c r="S815" s="7"/>
    </row>
    <row r="816" spans="2:19" ht="15" x14ac:dyDescent="0.35">
      <c r="B816" s="7"/>
      <c r="C816" s="7"/>
      <c r="D816" s="7"/>
      <c r="E816" s="7"/>
      <c r="H816" s="7"/>
      <c r="I816" s="7"/>
      <c r="J816" s="48"/>
      <c r="K816" s="48"/>
      <c r="L816" s="48"/>
      <c r="M816" s="48"/>
      <c r="N816" s="48"/>
      <c r="O816" s="48"/>
      <c r="P816" s="48"/>
      <c r="Q816" s="7"/>
      <c r="R816" s="7"/>
      <c r="S816" s="7"/>
    </row>
    <row r="817" spans="2:19" ht="15" x14ac:dyDescent="0.35">
      <c r="B817" s="7"/>
      <c r="C817" s="7"/>
      <c r="D817" s="7"/>
      <c r="E817" s="7"/>
      <c r="H817" s="7"/>
      <c r="I817" s="7"/>
      <c r="J817" s="48"/>
      <c r="K817" s="48"/>
      <c r="L817" s="48"/>
      <c r="M817" s="48"/>
      <c r="N817" s="48"/>
      <c r="O817" s="48"/>
      <c r="P817" s="48"/>
      <c r="Q817" s="7"/>
      <c r="R817" s="7"/>
      <c r="S817" s="7"/>
    </row>
    <row r="818" spans="2:19" ht="15" x14ac:dyDescent="0.35">
      <c r="B818" s="7"/>
      <c r="C818" s="7"/>
      <c r="D818" s="7"/>
      <c r="E818" s="7"/>
      <c r="H818" s="7"/>
      <c r="I818" s="7"/>
      <c r="J818" s="48"/>
      <c r="K818" s="48"/>
      <c r="L818" s="48"/>
      <c r="M818" s="48"/>
      <c r="N818" s="48"/>
      <c r="O818" s="48"/>
      <c r="P818" s="48"/>
      <c r="Q818" s="7"/>
      <c r="R818" s="7"/>
      <c r="S818" s="7"/>
    </row>
    <row r="819" spans="2:19" ht="15" x14ac:dyDescent="0.35">
      <c r="B819" s="7"/>
      <c r="C819" s="7"/>
      <c r="D819" s="7"/>
      <c r="E819" s="7"/>
      <c r="H819" s="7"/>
      <c r="I819" s="7"/>
      <c r="J819" s="48"/>
      <c r="K819" s="48"/>
      <c r="L819" s="48"/>
      <c r="M819" s="48"/>
      <c r="N819" s="48"/>
      <c r="O819" s="48"/>
      <c r="P819" s="48"/>
      <c r="Q819" s="7"/>
      <c r="R819" s="7"/>
      <c r="S819" s="7"/>
    </row>
    <row r="820" spans="2:19" ht="15" x14ac:dyDescent="0.35">
      <c r="B820" s="7"/>
      <c r="C820" s="7"/>
      <c r="D820" s="7"/>
      <c r="E820" s="7"/>
      <c r="H820" s="7"/>
      <c r="I820" s="7"/>
      <c r="J820" s="48"/>
      <c r="K820" s="48"/>
      <c r="L820" s="48"/>
      <c r="M820" s="48"/>
      <c r="N820" s="48"/>
      <c r="O820" s="48"/>
      <c r="P820" s="48"/>
      <c r="Q820" s="7"/>
      <c r="R820" s="7"/>
      <c r="S820" s="7"/>
    </row>
    <row r="821" spans="2:19" ht="15" x14ac:dyDescent="0.35">
      <c r="B821" s="7"/>
      <c r="C821" s="7"/>
      <c r="D821" s="7"/>
      <c r="E821" s="7"/>
      <c r="H821" s="7"/>
      <c r="I821" s="7"/>
      <c r="J821" s="48"/>
      <c r="K821" s="48"/>
      <c r="L821" s="48"/>
      <c r="M821" s="48"/>
      <c r="N821" s="48"/>
      <c r="O821" s="48"/>
      <c r="P821" s="48"/>
      <c r="Q821" s="7"/>
      <c r="R821" s="7"/>
      <c r="S821" s="7"/>
    </row>
    <row r="822" spans="2:19" ht="15" x14ac:dyDescent="0.35">
      <c r="B822" s="7"/>
      <c r="C822" s="7"/>
      <c r="D822" s="7"/>
      <c r="E822" s="7"/>
      <c r="H822" s="7"/>
      <c r="I822" s="7"/>
      <c r="J822" s="48"/>
      <c r="K822" s="48"/>
      <c r="L822" s="48"/>
      <c r="M822" s="48"/>
      <c r="N822" s="48"/>
      <c r="O822" s="48"/>
      <c r="P822" s="48"/>
      <c r="Q822" s="7"/>
      <c r="R822" s="7"/>
      <c r="S822" s="7"/>
    </row>
    <row r="823" spans="2:19" ht="15" x14ac:dyDescent="0.35">
      <c r="B823" s="7"/>
      <c r="C823" s="7"/>
      <c r="D823" s="7"/>
      <c r="E823" s="7"/>
      <c r="H823" s="7"/>
      <c r="I823" s="7"/>
      <c r="J823" s="48"/>
      <c r="K823" s="48"/>
      <c r="L823" s="48"/>
      <c r="M823" s="48"/>
      <c r="N823" s="48"/>
      <c r="O823" s="48"/>
      <c r="P823" s="48"/>
      <c r="Q823" s="7"/>
      <c r="R823" s="7"/>
      <c r="S823" s="7"/>
    </row>
    <row r="824" spans="2:19" ht="15" x14ac:dyDescent="0.35">
      <c r="B824" s="7"/>
      <c r="C824" s="7"/>
      <c r="D824" s="7"/>
      <c r="E824" s="7"/>
      <c r="H824" s="7"/>
      <c r="I824" s="7"/>
      <c r="J824" s="48"/>
      <c r="K824" s="48"/>
      <c r="L824" s="48"/>
      <c r="M824" s="48"/>
      <c r="N824" s="48"/>
      <c r="O824" s="48"/>
      <c r="P824" s="48"/>
      <c r="Q824" s="7"/>
      <c r="R824" s="7"/>
      <c r="S824" s="7"/>
    </row>
    <row r="825" spans="2:19" ht="15" x14ac:dyDescent="0.35">
      <c r="B825" s="7"/>
      <c r="C825" s="7"/>
      <c r="D825" s="7"/>
      <c r="E825" s="7"/>
      <c r="H825" s="7"/>
      <c r="I825" s="7"/>
      <c r="J825" s="48"/>
      <c r="K825" s="48"/>
      <c r="L825" s="48"/>
      <c r="M825" s="48"/>
      <c r="N825" s="48"/>
      <c r="O825" s="48"/>
      <c r="P825" s="48"/>
      <c r="Q825" s="7"/>
      <c r="R825" s="7"/>
      <c r="S825" s="7"/>
    </row>
    <row r="826" spans="2:19" ht="15" x14ac:dyDescent="0.35">
      <c r="B826" s="7"/>
      <c r="C826" s="7"/>
      <c r="D826" s="7"/>
      <c r="E826" s="7"/>
      <c r="H826" s="7"/>
      <c r="I826" s="7"/>
      <c r="J826" s="48"/>
      <c r="K826" s="48"/>
      <c r="L826" s="48"/>
      <c r="M826" s="48"/>
      <c r="N826" s="48"/>
      <c r="O826" s="48"/>
      <c r="P826" s="48"/>
      <c r="Q826" s="7"/>
      <c r="R826" s="7"/>
      <c r="S826" s="7"/>
    </row>
    <row r="827" spans="2:19" ht="15" x14ac:dyDescent="0.35">
      <c r="B827" s="7"/>
      <c r="C827" s="7"/>
      <c r="D827" s="7"/>
      <c r="E827" s="7"/>
      <c r="H827" s="7"/>
      <c r="I827" s="7"/>
      <c r="J827" s="48"/>
      <c r="K827" s="48"/>
      <c r="L827" s="48"/>
      <c r="M827" s="48"/>
      <c r="N827" s="48"/>
      <c r="O827" s="48"/>
      <c r="P827" s="48"/>
      <c r="Q827" s="7"/>
      <c r="R827" s="7"/>
      <c r="S827" s="7"/>
    </row>
    <row r="828" spans="2:19" ht="15" x14ac:dyDescent="0.35">
      <c r="B828" s="7"/>
      <c r="C828" s="7"/>
      <c r="D828" s="7"/>
      <c r="E828" s="7"/>
      <c r="H828" s="7"/>
      <c r="I828" s="7"/>
      <c r="J828" s="48"/>
      <c r="K828" s="48"/>
      <c r="L828" s="48"/>
      <c r="M828" s="48"/>
      <c r="N828" s="48"/>
      <c r="O828" s="48"/>
      <c r="P828" s="48"/>
      <c r="Q828" s="7"/>
      <c r="R828" s="7"/>
      <c r="S828" s="7"/>
    </row>
    <row r="829" spans="2:19" ht="15" x14ac:dyDescent="0.35">
      <c r="B829" s="7"/>
      <c r="C829" s="7"/>
      <c r="D829" s="7"/>
      <c r="E829" s="7"/>
      <c r="H829" s="7"/>
      <c r="I829" s="7"/>
      <c r="J829" s="48"/>
      <c r="K829" s="48"/>
      <c r="L829" s="48"/>
      <c r="M829" s="48"/>
      <c r="N829" s="48"/>
      <c r="O829" s="48"/>
      <c r="P829" s="48"/>
      <c r="Q829" s="7"/>
      <c r="R829" s="7"/>
      <c r="S829" s="7"/>
    </row>
    <row r="830" spans="2:19" ht="15" x14ac:dyDescent="0.35">
      <c r="B830" s="7"/>
      <c r="C830" s="7"/>
      <c r="D830" s="7"/>
      <c r="E830" s="7"/>
      <c r="H830" s="7"/>
      <c r="I830" s="7"/>
      <c r="J830" s="48"/>
      <c r="K830" s="48"/>
      <c r="L830" s="48"/>
      <c r="M830" s="48"/>
      <c r="N830" s="48"/>
      <c r="O830" s="48"/>
      <c r="P830" s="48"/>
      <c r="Q830" s="7"/>
      <c r="R830" s="7"/>
      <c r="S830" s="7"/>
    </row>
    <row r="831" spans="2:19" ht="15" x14ac:dyDescent="0.35">
      <c r="B831" s="7"/>
      <c r="C831" s="7"/>
      <c r="D831" s="7"/>
      <c r="E831" s="7"/>
      <c r="H831" s="7"/>
      <c r="I831" s="7"/>
      <c r="J831" s="48"/>
      <c r="K831" s="48"/>
      <c r="L831" s="48"/>
      <c r="M831" s="48"/>
      <c r="N831" s="48"/>
      <c r="O831" s="48"/>
      <c r="P831" s="48"/>
      <c r="Q831" s="7"/>
      <c r="R831" s="7"/>
      <c r="S831" s="7"/>
    </row>
    <row r="832" spans="2:19" ht="15" x14ac:dyDescent="0.35">
      <c r="B832" s="7"/>
      <c r="C832" s="7"/>
      <c r="D832" s="7"/>
      <c r="E832" s="7"/>
      <c r="H832" s="7"/>
      <c r="I832" s="7"/>
      <c r="J832" s="48"/>
      <c r="K832" s="48"/>
      <c r="L832" s="48"/>
      <c r="M832" s="48"/>
      <c r="N832" s="48"/>
      <c r="O832" s="48"/>
      <c r="P832" s="48"/>
      <c r="Q832" s="7"/>
      <c r="R832" s="7"/>
      <c r="S832" s="7"/>
    </row>
    <row r="833" spans="2:19" ht="15" x14ac:dyDescent="0.35">
      <c r="B833" s="7"/>
      <c r="C833" s="7"/>
      <c r="D833" s="7"/>
      <c r="E833" s="7"/>
      <c r="H833" s="7"/>
      <c r="I833" s="7"/>
      <c r="J833" s="48"/>
      <c r="K833" s="48"/>
      <c r="L833" s="48"/>
      <c r="M833" s="48"/>
      <c r="N833" s="48"/>
      <c r="O833" s="48"/>
      <c r="P833" s="48"/>
      <c r="Q833" s="7"/>
      <c r="R833" s="7"/>
      <c r="S833" s="7"/>
    </row>
    <row r="834" spans="2:19" ht="15" x14ac:dyDescent="0.35">
      <c r="B834" s="7"/>
      <c r="C834" s="7"/>
      <c r="D834" s="7"/>
      <c r="E834" s="7"/>
      <c r="H834" s="7"/>
      <c r="I834" s="7"/>
      <c r="J834" s="48"/>
      <c r="K834" s="48"/>
      <c r="L834" s="48"/>
      <c r="M834" s="48"/>
      <c r="N834" s="48"/>
      <c r="O834" s="48"/>
      <c r="P834" s="48"/>
      <c r="Q834" s="7"/>
      <c r="R834" s="7"/>
      <c r="S834" s="7"/>
    </row>
    <row r="835" spans="2:19" ht="15" x14ac:dyDescent="0.35">
      <c r="B835" s="7"/>
      <c r="C835" s="7"/>
      <c r="D835" s="7"/>
      <c r="E835" s="7"/>
      <c r="H835" s="7"/>
      <c r="I835" s="7"/>
      <c r="J835" s="48"/>
      <c r="K835" s="48"/>
      <c r="L835" s="48"/>
      <c r="M835" s="48"/>
      <c r="N835" s="48"/>
      <c r="O835" s="48"/>
      <c r="P835" s="48"/>
      <c r="Q835" s="7"/>
      <c r="R835" s="7"/>
      <c r="S835" s="7"/>
    </row>
    <row r="836" spans="2:19" ht="15" x14ac:dyDescent="0.35">
      <c r="B836" s="7"/>
      <c r="C836" s="7"/>
      <c r="D836" s="7"/>
      <c r="E836" s="7"/>
      <c r="H836" s="7"/>
      <c r="I836" s="7"/>
      <c r="J836" s="48"/>
      <c r="K836" s="48"/>
      <c r="L836" s="48"/>
      <c r="M836" s="48"/>
      <c r="N836" s="48"/>
      <c r="O836" s="48"/>
      <c r="P836" s="48"/>
      <c r="Q836" s="7"/>
      <c r="R836" s="7"/>
      <c r="S836" s="7"/>
    </row>
    <row r="837" spans="2:19" ht="15" x14ac:dyDescent="0.35">
      <c r="B837" s="7"/>
      <c r="C837" s="7"/>
      <c r="D837" s="7"/>
      <c r="E837" s="7"/>
      <c r="H837" s="7"/>
      <c r="I837" s="7"/>
      <c r="J837" s="48"/>
      <c r="K837" s="48"/>
      <c r="L837" s="48"/>
      <c r="M837" s="48"/>
      <c r="N837" s="48"/>
      <c r="O837" s="48"/>
      <c r="P837" s="48"/>
      <c r="Q837" s="7"/>
      <c r="R837" s="7"/>
      <c r="S837" s="7"/>
    </row>
    <row r="838" spans="2:19" ht="15" x14ac:dyDescent="0.35">
      <c r="B838" s="7"/>
      <c r="C838" s="7"/>
      <c r="D838" s="7"/>
      <c r="E838" s="7"/>
      <c r="H838" s="7"/>
      <c r="I838" s="7"/>
      <c r="J838" s="48"/>
      <c r="K838" s="48"/>
      <c r="L838" s="48"/>
      <c r="M838" s="48"/>
      <c r="N838" s="48"/>
      <c r="O838" s="48"/>
      <c r="P838" s="48"/>
      <c r="Q838" s="7"/>
      <c r="R838" s="7"/>
      <c r="S838" s="7"/>
    </row>
    <row r="839" spans="2:19" ht="15" x14ac:dyDescent="0.35">
      <c r="B839" s="7"/>
      <c r="C839" s="7"/>
      <c r="D839" s="7"/>
      <c r="E839" s="7"/>
      <c r="H839" s="7"/>
      <c r="I839" s="7"/>
      <c r="J839" s="48"/>
      <c r="K839" s="48"/>
      <c r="L839" s="48"/>
      <c r="M839" s="48"/>
      <c r="N839" s="48"/>
      <c r="O839" s="48"/>
      <c r="P839" s="48"/>
      <c r="Q839" s="7"/>
      <c r="R839" s="7"/>
      <c r="S839" s="7"/>
    </row>
    <row r="840" spans="2:19" ht="15" x14ac:dyDescent="0.35">
      <c r="B840" s="7"/>
      <c r="C840" s="7"/>
      <c r="D840" s="7"/>
      <c r="E840" s="7"/>
      <c r="H840" s="7"/>
      <c r="I840" s="7"/>
      <c r="J840" s="48"/>
      <c r="K840" s="48"/>
      <c r="L840" s="48"/>
      <c r="M840" s="48"/>
      <c r="N840" s="48"/>
      <c r="O840" s="48"/>
      <c r="P840" s="48"/>
      <c r="Q840" s="7"/>
      <c r="R840" s="7"/>
      <c r="S840" s="7"/>
    </row>
    <row r="841" spans="2:19" ht="15" x14ac:dyDescent="0.35">
      <c r="B841" s="7"/>
      <c r="C841" s="7"/>
      <c r="D841" s="7"/>
      <c r="E841" s="7"/>
      <c r="H841" s="7"/>
      <c r="I841" s="7"/>
      <c r="J841" s="48"/>
      <c r="K841" s="48"/>
      <c r="L841" s="48"/>
      <c r="M841" s="48"/>
      <c r="N841" s="48"/>
      <c r="O841" s="48"/>
      <c r="P841" s="48"/>
      <c r="Q841" s="7"/>
      <c r="R841" s="7"/>
      <c r="S841" s="7"/>
    </row>
    <row r="842" spans="2:19" ht="15" x14ac:dyDescent="0.35">
      <c r="B842" s="7"/>
      <c r="C842" s="7"/>
      <c r="D842" s="7"/>
      <c r="E842" s="7"/>
      <c r="H842" s="7"/>
      <c r="I842" s="7"/>
      <c r="J842" s="48"/>
      <c r="K842" s="48"/>
      <c r="L842" s="48"/>
      <c r="M842" s="48"/>
      <c r="N842" s="48"/>
      <c r="O842" s="48"/>
      <c r="P842" s="48"/>
      <c r="Q842" s="7"/>
      <c r="R842" s="7"/>
      <c r="S842" s="7"/>
    </row>
    <row r="843" spans="2:19" ht="15" x14ac:dyDescent="0.35">
      <c r="B843" s="7"/>
      <c r="C843" s="7"/>
      <c r="D843" s="7"/>
      <c r="E843" s="7"/>
      <c r="H843" s="7"/>
      <c r="I843" s="7"/>
      <c r="J843" s="48"/>
      <c r="K843" s="48"/>
      <c r="L843" s="48"/>
      <c r="M843" s="48"/>
      <c r="N843" s="48"/>
      <c r="O843" s="48"/>
      <c r="P843" s="48"/>
      <c r="Q843" s="7"/>
      <c r="R843" s="7"/>
      <c r="S843" s="7"/>
    </row>
    <row r="844" spans="2:19" ht="15" x14ac:dyDescent="0.35">
      <c r="B844" s="7"/>
      <c r="C844" s="7"/>
      <c r="D844" s="7"/>
      <c r="E844" s="7"/>
      <c r="H844" s="7"/>
      <c r="I844" s="7"/>
      <c r="J844" s="48"/>
      <c r="K844" s="48"/>
      <c r="L844" s="48"/>
      <c r="M844" s="48"/>
      <c r="N844" s="48"/>
      <c r="O844" s="48"/>
      <c r="P844" s="48"/>
      <c r="Q844" s="7"/>
      <c r="R844" s="7"/>
      <c r="S844" s="7"/>
    </row>
    <row r="845" spans="2:19" ht="15" x14ac:dyDescent="0.35">
      <c r="B845" s="7"/>
      <c r="C845" s="7"/>
      <c r="D845" s="7"/>
      <c r="E845" s="7"/>
      <c r="H845" s="7"/>
      <c r="I845" s="7"/>
      <c r="J845" s="48"/>
      <c r="K845" s="48"/>
      <c r="L845" s="48"/>
      <c r="M845" s="48"/>
      <c r="N845" s="48"/>
      <c r="O845" s="48"/>
      <c r="P845" s="48"/>
      <c r="Q845" s="7"/>
      <c r="R845" s="7"/>
      <c r="S845" s="7"/>
    </row>
    <row r="846" spans="2:19" ht="15" x14ac:dyDescent="0.35">
      <c r="B846" s="7"/>
      <c r="C846" s="7"/>
      <c r="D846" s="7"/>
      <c r="E846" s="7"/>
      <c r="H846" s="7"/>
      <c r="I846" s="7"/>
      <c r="J846" s="48"/>
      <c r="K846" s="48"/>
      <c r="L846" s="48"/>
      <c r="M846" s="48"/>
      <c r="N846" s="48"/>
      <c r="O846" s="48"/>
      <c r="P846" s="48"/>
      <c r="Q846" s="7"/>
      <c r="R846" s="7"/>
      <c r="S846" s="7"/>
    </row>
    <row r="847" spans="2:19" ht="15" x14ac:dyDescent="0.35">
      <c r="B847" s="7"/>
      <c r="C847" s="7"/>
      <c r="D847" s="7"/>
      <c r="E847" s="7"/>
      <c r="H847" s="7"/>
      <c r="I847" s="7"/>
      <c r="J847" s="48"/>
      <c r="K847" s="48"/>
      <c r="L847" s="48"/>
      <c r="M847" s="48"/>
      <c r="N847" s="48"/>
      <c r="O847" s="48"/>
      <c r="P847" s="48"/>
      <c r="Q847" s="7"/>
      <c r="R847" s="7"/>
      <c r="S847" s="7"/>
    </row>
    <row r="848" spans="2:19" ht="15" x14ac:dyDescent="0.35">
      <c r="B848" s="7"/>
      <c r="C848" s="7"/>
      <c r="D848" s="7"/>
      <c r="E848" s="7"/>
      <c r="H848" s="7"/>
      <c r="I848" s="7"/>
      <c r="J848" s="48"/>
      <c r="K848" s="48"/>
      <c r="L848" s="48"/>
      <c r="M848" s="48"/>
      <c r="N848" s="48"/>
      <c r="O848" s="48"/>
      <c r="P848" s="48"/>
      <c r="Q848" s="7"/>
      <c r="R848" s="7"/>
      <c r="S848" s="7"/>
    </row>
    <row r="849" spans="2:19" ht="15" x14ac:dyDescent="0.35">
      <c r="B849" s="7"/>
      <c r="C849" s="7"/>
      <c r="D849" s="7"/>
      <c r="E849" s="7"/>
      <c r="H849" s="7"/>
      <c r="I849" s="7"/>
      <c r="J849" s="48"/>
      <c r="K849" s="48"/>
      <c r="L849" s="48"/>
      <c r="M849" s="48"/>
      <c r="N849" s="48"/>
      <c r="O849" s="48"/>
      <c r="P849" s="48"/>
      <c r="Q849" s="7"/>
      <c r="R849" s="7"/>
      <c r="S849" s="7"/>
    </row>
    <row r="850" spans="2:19" ht="15" x14ac:dyDescent="0.35">
      <c r="B850" s="7"/>
      <c r="C850" s="7"/>
      <c r="D850" s="7"/>
      <c r="E850" s="7"/>
      <c r="H850" s="7"/>
      <c r="I850" s="7"/>
      <c r="J850" s="48"/>
      <c r="K850" s="48"/>
      <c r="L850" s="48"/>
      <c r="M850" s="48"/>
      <c r="N850" s="48"/>
      <c r="O850" s="48"/>
      <c r="P850" s="48"/>
      <c r="Q850" s="7"/>
      <c r="R850" s="7"/>
      <c r="S850" s="7"/>
    </row>
    <row r="851" spans="2:19" ht="15" x14ac:dyDescent="0.35">
      <c r="B851" s="7"/>
      <c r="C851" s="7"/>
      <c r="D851" s="7"/>
      <c r="E851" s="7"/>
      <c r="H851" s="7"/>
      <c r="I851" s="7"/>
      <c r="J851" s="48"/>
      <c r="K851" s="48"/>
      <c r="L851" s="48"/>
      <c r="M851" s="48"/>
      <c r="N851" s="48"/>
      <c r="O851" s="48"/>
      <c r="P851" s="48"/>
      <c r="Q851" s="7"/>
      <c r="R851" s="7"/>
      <c r="S851" s="7"/>
    </row>
    <row r="852" spans="2:19" ht="15" x14ac:dyDescent="0.35">
      <c r="B852" s="7"/>
      <c r="C852" s="7"/>
      <c r="D852" s="7"/>
      <c r="E852" s="7"/>
      <c r="H852" s="7"/>
      <c r="I852" s="7"/>
      <c r="J852" s="48"/>
      <c r="K852" s="48"/>
      <c r="L852" s="48"/>
      <c r="M852" s="48"/>
      <c r="N852" s="48"/>
      <c r="O852" s="48"/>
      <c r="P852" s="48"/>
      <c r="Q852" s="7"/>
      <c r="R852" s="7"/>
      <c r="S852" s="7"/>
    </row>
    <row r="853" spans="2:19" ht="15" x14ac:dyDescent="0.35">
      <c r="B853" s="7"/>
      <c r="C853" s="7"/>
      <c r="D853" s="7"/>
      <c r="E853" s="7"/>
      <c r="H853" s="7"/>
      <c r="I853" s="7"/>
      <c r="J853" s="48"/>
      <c r="K853" s="48"/>
      <c r="L853" s="48"/>
      <c r="M853" s="48"/>
      <c r="N853" s="48"/>
      <c r="O853" s="48"/>
      <c r="P853" s="48"/>
      <c r="Q853" s="7"/>
      <c r="R853" s="7"/>
      <c r="S853" s="7"/>
    </row>
    <row r="854" spans="2:19" ht="15" x14ac:dyDescent="0.35">
      <c r="B854" s="7"/>
      <c r="C854" s="7"/>
      <c r="D854" s="7"/>
      <c r="E854" s="7"/>
      <c r="H854" s="7"/>
      <c r="I854" s="7"/>
      <c r="J854" s="48"/>
      <c r="K854" s="48"/>
      <c r="L854" s="48"/>
      <c r="M854" s="48"/>
      <c r="N854" s="48"/>
      <c r="O854" s="48"/>
      <c r="P854" s="48"/>
      <c r="Q854" s="7"/>
      <c r="R854" s="7"/>
      <c r="S854" s="7"/>
    </row>
    <row r="855" spans="2:19" ht="15" x14ac:dyDescent="0.35">
      <c r="B855" s="7"/>
      <c r="C855" s="7"/>
      <c r="D855" s="7"/>
      <c r="E855" s="7"/>
      <c r="H855" s="7"/>
      <c r="I855" s="7"/>
      <c r="J855" s="48"/>
      <c r="K855" s="48"/>
      <c r="L855" s="48"/>
      <c r="M855" s="48"/>
      <c r="N855" s="48"/>
      <c r="O855" s="48"/>
      <c r="P855" s="48"/>
      <c r="Q855" s="7"/>
      <c r="R855" s="7"/>
      <c r="S855" s="7"/>
    </row>
    <row r="856" spans="2:19" ht="15" x14ac:dyDescent="0.35">
      <c r="B856" s="7"/>
      <c r="C856" s="7"/>
      <c r="D856" s="7"/>
      <c r="E856" s="7"/>
      <c r="H856" s="7"/>
      <c r="I856" s="7"/>
      <c r="J856" s="48"/>
      <c r="K856" s="48"/>
      <c r="L856" s="48"/>
      <c r="M856" s="48"/>
      <c r="N856" s="48"/>
      <c r="O856" s="48"/>
      <c r="P856" s="48"/>
      <c r="Q856" s="7"/>
      <c r="R856" s="7"/>
      <c r="S856" s="7"/>
    </row>
    <row r="857" spans="2:19" ht="15" x14ac:dyDescent="0.35">
      <c r="B857" s="7"/>
      <c r="C857" s="7"/>
      <c r="D857" s="7"/>
      <c r="E857" s="7"/>
      <c r="H857" s="7"/>
      <c r="I857" s="7"/>
      <c r="J857" s="48"/>
      <c r="K857" s="48"/>
      <c r="L857" s="48"/>
      <c r="M857" s="48"/>
      <c r="N857" s="48"/>
      <c r="O857" s="48"/>
      <c r="P857" s="48"/>
      <c r="Q857" s="7"/>
      <c r="R857" s="7"/>
      <c r="S857" s="7"/>
    </row>
    <row r="858" spans="2:19" ht="15" x14ac:dyDescent="0.35">
      <c r="B858" s="7"/>
      <c r="C858" s="7"/>
      <c r="D858" s="7"/>
      <c r="E858" s="7"/>
      <c r="H858" s="7"/>
      <c r="I858" s="7"/>
      <c r="J858" s="48"/>
      <c r="K858" s="48"/>
      <c r="L858" s="48"/>
      <c r="M858" s="48"/>
      <c r="N858" s="48"/>
      <c r="O858" s="48"/>
      <c r="P858" s="48"/>
      <c r="Q858" s="7"/>
      <c r="R858" s="7"/>
      <c r="S858" s="7"/>
    </row>
    <row r="859" spans="2:19" ht="15" x14ac:dyDescent="0.35">
      <c r="B859" s="7"/>
      <c r="C859" s="7"/>
      <c r="D859" s="7"/>
      <c r="E859" s="7"/>
      <c r="H859" s="7"/>
      <c r="I859" s="7"/>
      <c r="J859" s="48"/>
      <c r="K859" s="48"/>
      <c r="L859" s="48"/>
      <c r="M859" s="48"/>
      <c r="N859" s="48"/>
      <c r="O859" s="48"/>
      <c r="P859" s="48"/>
      <c r="Q859" s="7"/>
      <c r="R859" s="7"/>
      <c r="S859" s="7"/>
    </row>
    <row r="860" spans="2:19" ht="15" x14ac:dyDescent="0.35">
      <c r="B860" s="7"/>
      <c r="C860" s="7"/>
      <c r="D860" s="7"/>
      <c r="E860" s="7"/>
      <c r="H860" s="7"/>
      <c r="I860" s="7"/>
      <c r="J860" s="48"/>
      <c r="K860" s="48"/>
      <c r="L860" s="48"/>
      <c r="M860" s="48"/>
      <c r="N860" s="48"/>
      <c r="O860" s="48"/>
      <c r="P860" s="48"/>
      <c r="Q860" s="7"/>
      <c r="R860" s="7"/>
      <c r="S860" s="7"/>
    </row>
    <row r="861" spans="2:19" ht="15" x14ac:dyDescent="0.35">
      <c r="B861" s="7"/>
      <c r="C861" s="7"/>
      <c r="D861" s="7"/>
      <c r="E861" s="7"/>
      <c r="H861" s="7"/>
      <c r="I861" s="7"/>
      <c r="J861" s="48"/>
      <c r="K861" s="48"/>
      <c r="L861" s="48"/>
      <c r="M861" s="48"/>
      <c r="N861" s="48"/>
      <c r="O861" s="48"/>
      <c r="P861" s="48"/>
      <c r="Q861" s="7"/>
      <c r="R861" s="7"/>
      <c r="S861" s="7"/>
    </row>
    <row r="862" spans="2:19" ht="15" x14ac:dyDescent="0.35">
      <c r="B862" s="7"/>
      <c r="C862" s="7"/>
      <c r="D862" s="7"/>
      <c r="E862" s="7"/>
      <c r="H862" s="7"/>
      <c r="I862" s="7"/>
      <c r="J862" s="48"/>
      <c r="K862" s="48"/>
      <c r="L862" s="48"/>
      <c r="M862" s="48"/>
      <c r="N862" s="48"/>
      <c r="O862" s="48"/>
      <c r="P862" s="48"/>
      <c r="Q862" s="7"/>
      <c r="R862" s="7"/>
      <c r="S862" s="7"/>
    </row>
    <row r="863" spans="2:19" ht="15" x14ac:dyDescent="0.35">
      <c r="B863" s="7"/>
      <c r="C863" s="7"/>
      <c r="D863" s="7"/>
      <c r="E863" s="7"/>
      <c r="H863" s="7"/>
      <c r="I863" s="7"/>
      <c r="J863" s="48"/>
      <c r="K863" s="48"/>
      <c r="L863" s="48"/>
      <c r="M863" s="48"/>
      <c r="N863" s="48"/>
      <c r="O863" s="48"/>
      <c r="P863" s="48"/>
      <c r="Q863" s="7"/>
      <c r="R863" s="7"/>
      <c r="S863" s="7"/>
    </row>
    <row r="864" spans="2:19" ht="15" x14ac:dyDescent="0.35">
      <c r="B864" s="7"/>
      <c r="C864" s="7"/>
      <c r="D864" s="7"/>
      <c r="E864" s="7"/>
      <c r="H864" s="7"/>
      <c r="I864" s="7"/>
      <c r="J864" s="48"/>
      <c r="K864" s="48"/>
      <c r="L864" s="48"/>
      <c r="M864" s="48"/>
      <c r="N864" s="48"/>
      <c r="O864" s="48"/>
      <c r="P864" s="48"/>
      <c r="Q864" s="7"/>
      <c r="R864" s="7"/>
      <c r="S864" s="7"/>
    </row>
    <row r="865" spans="2:19" ht="15" x14ac:dyDescent="0.35">
      <c r="B865" s="7"/>
      <c r="C865" s="7"/>
      <c r="D865" s="7"/>
      <c r="E865" s="7"/>
      <c r="H865" s="7"/>
      <c r="I865" s="7"/>
      <c r="J865" s="48"/>
      <c r="K865" s="48"/>
      <c r="L865" s="48"/>
      <c r="M865" s="48"/>
      <c r="N865" s="48"/>
      <c r="O865" s="48"/>
      <c r="P865" s="48"/>
      <c r="Q865" s="7"/>
      <c r="R865" s="7"/>
      <c r="S865" s="7"/>
    </row>
    <row r="866" spans="2:19" ht="15" x14ac:dyDescent="0.35">
      <c r="B866" s="7"/>
      <c r="C866" s="7"/>
      <c r="D866" s="7"/>
      <c r="E866" s="7"/>
      <c r="H866" s="7"/>
      <c r="I866" s="7"/>
      <c r="J866" s="48"/>
      <c r="K866" s="48"/>
      <c r="L866" s="48"/>
      <c r="M866" s="48"/>
      <c r="N866" s="48"/>
      <c r="O866" s="48"/>
      <c r="P866" s="48"/>
      <c r="Q866" s="7"/>
      <c r="R866" s="7"/>
      <c r="S866" s="7"/>
    </row>
    <row r="867" spans="2:19" ht="15" x14ac:dyDescent="0.35">
      <c r="B867" s="7"/>
      <c r="C867" s="7"/>
      <c r="D867" s="7"/>
      <c r="E867" s="7"/>
      <c r="H867" s="7"/>
      <c r="I867" s="7"/>
      <c r="J867" s="48"/>
      <c r="K867" s="48"/>
      <c r="L867" s="48"/>
      <c r="M867" s="48"/>
      <c r="N867" s="48"/>
      <c r="O867" s="48"/>
      <c r="P867" s="48"/>
      <c r="Q867" s="7"/>
      <c r="R867" s="7"/>
      <c r="S867" s="7"/>
    </row>
    <row r="868" spans="2:19" ht="15" x14ac:dyDescent="0.35">
      <c r="B868" s="7"/>
      <c r="C868" s="7"/>
      <c r="D868" s="7"/>
      <c r="E868" s="7"/>
      <c r="H868" s="7"/>
      <c r="I868" s="7"/>
      <c r="J868" s="48"/>
      <c r="K868" s="48"/>
      <c r="L868" s="48"/>
      <c r="M868" s="48"/>
      <c r="N868" s="48"/>
      <c r="O868" s="48"/>
      <c r="P868" s="48"/>
      <c r="Q868" s="7"/>
      <c r="R868" s="7"/>
      <c r="S868" s="7"/>
    </row>
    <row r="869" spans="2:19" ht="15" x14ac:dyDescent="0.35">
      <c r="B869" s="7"/>
      <c r="C869" s="7"/>
      <c r="D869" s="7"/>
      <c r="E869" s="7"/>
      <c r="H869" s="7"/>
      <c r="I869" s="7"/>
      <c r="J869" s="48"/>
      <c r="K869" s="48"/>
      <c r="L869" s="48"/>
      <c r="M869" s="48"/>
      <c r="N869" s="48"/>
      <c r="O869" s="48"/>
      <c r="P869" s="48"/>
      <c r="Q869" s="7"/>
      <c r="R869" s="7"/>
      <c r="S869" s="7"/>
    </row>
    <row r="870" spans="2:19" ht="15" x14ac:dyDescent="0.35">
      <c r="B870" s="7"/>
      <c r="C870" s="7"/>
      <c r="D870" s="7"/>
      <c r="E870" s="7"/>
      <c r="H870" s="7"/>
      <c r="I870" s="7"/>
      <c r="J870" s="48"/>
      <c r="K870" s="48"/>
      <c r="L870" s="48"/>
      <c r="M870" s="48"/>
      <c r="N870" s="48"/>
      <c r="O870" s="48"/>
      <c r="P870" s="48"/>
      <c r="Q870" s="7"/>
      <c r="R870" s="7"/>
      <c r="S870" s="7"/>
    </row>
    <row r="871" spans="2:19" ht="15" x14ac:dyDescent="0.35">
      <c r="B871" s="7"/>
      <c r="C871" s="7"/>
      <c r="D871" s="7"/>
      <c r="E871" s="7"/>
      <c r="H871" s="7"/>
      <c r="I871" s="7"/>
      <c r="J871" s="48"/>
      <c r="K871" s="48"/>
      <c r="L871" s="48"/>
      <c r="M871" s="48"/>
      <c r="N871" s="48"/>
      <c r="O871" s="48"/>
      <c r="P871" s="48"/>
      <c r="Q871" s="7"/>
      <c r="R871" s="7"/>
      <c r="S871" s="7"/>
    </row>
    <row r="872" spans="2:19" ht="15" x14ac:dyDescent="0.35">
      <c r="B872" s="7"/>
      <c r="C872" s="7"/>
      <c r="D872" s="7"/>
      <c r="E872" s="7"/>
      <c r="H872" s="7"/>
      <c r="I872" s="7"/>
      <c r="J872" s="48"/>
      <c r="K872" s="48"/>
      <c r="L872" s="48"/>
      <c r="M872" s="48"/>
      <c r="N872" s="48"/>
      <c r="O872" s="48"/>
      <c r="P872" s="48"/>
      <c r="Q872" s="7"/>
      <c r="R872" s="7"/>
      <c r="S872" s="7"/>
    </row>
    <row r="873" spans="2:19" ht="15" x14ac:dyDescent="0.35">
      <c r="B873" s="7"/>
      <c r="C873" s="7"/>
      <c r="D873" s="7"/>
      <c r="E873" s="7"/>
      <c r="H873" s="7"/>
      <c r="I873" s="7"/>
      <c r="J873" s="48"/>
      <c r="K873" s="48"/>
      <c r="L873" s="48"/>
      <c r="M873" s="48"/>
      <c r="N873" s="48"/>
      <c r="O873" s="48"/>
      <c r="P873" s="48"/>
      <c r="Q873" s="7"/>
      <c r="R873" s="7"/>
      <c r="S873" s="7"/>
    </row>
    <row r="874" spans="2:19" ht="15" x14ac:dyDescent="0.35">
      <c r="B874" s="7"/>
      <c r="C874" s="7"/>
      <c r="D874" s="7"/>
      <c r="E874" s="7"/>
      <c r="H874" s="7"/>
      <c r="I874" s="7"/>
      <c r="J874" s="48"/>
      <c r="K874" s="48"/>
      <c r="L874" s="48"/>
      <c r="M874" s="48"/>
      <c r="N874" s="48"/>
      <c r="O874" s="48"/>
      <c r="P874" s="48"/>
      <c r="Q874" s="7"/>
      <c r="R874" s="7"/>
      <c r="S874" s="7"/>
    </row>
    <row r="875" spans="2:19" ht="15" x14ac:dyDescent="0.35">
      <c r="B875" s="7"/>
      <c r="C875" s="7"/>
      <c r="D875" s="7"/>
      <c r="E875" s="7"/>
      <c r="H875" s="7"/>
      <c r="I875" s="7"/>
      <c r="J875" s="48"/>
      <c r="K875" s="48"/>
      <c r="L875" s="48"/>
      <c r="M875" s="48"/>
      <c r="N875" s="48"/>
      <c r="O875" s="48"/>
      <c r="P875" s="48"/>
      <c r="Q875" s="7"/>
      <c r="R875" s="7"/>
      <c r="S875" s="7"/>
    </row>
    <row r="876" spans="2:19" ht="15" x14ac:dyDescent="0.35">
      <c r="B876" s="7"/>
      <c r="C876" s="7"/>
      <c r="D876" s="7"/>
      <c r="E876" s="7"/>
      <c r="H876" s="7"/>
      <c r="I876" s="7"/>
      <c r="J876" s="48"/>
      <c r="K876" s="48"/>
      <c r="L876" s="48"/>
      <c r="M876" s="48"/>
      <c r="N876" s="48"/>
      <c r="O876" s="48"/>
      <c r="P876" s="48"/>
      <c r="Q876" s="7"/>
      <c r="R876" s="7"/>
      <c r="S876" s="7"/>
    </row>
    <row r="877" spans="2:19" ht="15" x14ac:dyDescent="0.35">
      <c r="B877" s="7"/>
      <c r="C877" s="7"/>
      <c r="D877" s="7"/>
      <c r="E877" s="7"/>
      <c r="H877" s="7"/>
      <c r="I877" s="7"/>
      <c r="J877" s="48"/>
      <c r="K877" s="48"/>
      <c r="L877" s="48"/>
      <c r="M877" s="48"/>
      <c r="N877" s="48"/>
      <c r="O877" s="48"/>
      <c r="P877" s="48"/>
      <c r="Q877" s="7"/>
      <c r="R877" s="7"/>
      <c r="S877" s="7"/>
    </row>
    <row r="878" spans="2:19" ht="15" x14ac:dyDescent="0.35">
      <c r="B878" s="7"/>
      <c r="C878" s="7"/>
      <c r="D878" s="7"/>
      <c r="E878" s="7"/>
      <c r="H878" s="7"/>
      <c r="I878" s="7"/>
      <c r="J878" s="48"/>
      <c r="K878" s="48"/>
      <c r="L878" s="48"/>
      <c r="M878" s="48"/>
      <c r="N878" s="48"/>
      <c r="O878" s="48"/>
      <c r="P878" s="48"/>
      <c r="Q878" s="7"/>
      <c r="R878" s="7"/>
      <c r="S878" s="7"/>
    </row>
    <row r="879" spans="2:19" ht="15" x14ac:dyDescent="0.35">
      <c r="B879" s="7"/>
      <c r="C879" s="7"/>
      <c r="D879" s="7"/>
      <c r="E879" s="7"/>
      <c r="H879" s="7"/>
      <c r="I879" s="7"/>
      <c r="J879" s="48"/>
      <c r="K879" s="48"/>
      <c r="L879" s="48"/>
      <c r="M879" s="48"/>
      <c r="N879" s="48"/>
      <c r="O879" s="48"/>
      <c r="P879" s="48"/>
      <c r="Q879" s="7"/>
      <c r="R879" s="7"/>
      <c r="S879" s="7"/>
    </row>
    <row r="880" spans="2:19" ht="15" x14ac:dyDescent="0.35">
      <c r="B880" s="7"/>
      <c r="C880" s="7"/>
      <c r="D880" s="7"/>
      <c r="E880" s="7"/>
      <c r="H880" s="7"/>
      <c r="I880" s="7"/>
      <c r="J880" s="48"/>
      <c r="K880" s="48"/>
      <c r="L880" s="48"/>
      <c r="M880" s="48"/>
      <c r="N880" s="48"/>
      <c r="O880" s="48"/>
      <c r="P880" s="48"/>
      <c r="Q880" s="7"/>
      <c r="R880" s="7"/>
      <c r="S880" s="7"/>
    </row>
    <row r="881" spans="2:19" ht="15" x14ac:dyDescent="0.35">
      <c r="B881" s="7"/>
      <c r="C881" s="7"/>
      <c r="D881" s="7"/>
      <c r="E881" s="7"/>
      <c r="H881" s="7"/>
      <c r="I881" s="7"/>
      <c r="J881" s="48"/>
      <c r="K881" s="48"/>
      <c r="L881" s="48"/>
      <c r="M881" s="48"/>
      <c r="N881" s="48"/>
      <c r="O881" s="48"/>
      <c r="P881" s="48"/>
      <c r="Q881" s="7"/>
      <c r="R881" s="7"/>
      <c r="S881" s="7"/>
    </row>
    <row r="882" spans="2:19" ht="15" x14ac:dyDescent="0.35">
      <c r="B882" s="7"/>
      <c r="C882" s="7"/>
      <c r="D882" s="7"/>
      <c r="E882" s="7"/>
      <c r="H882" s="7"/>
      <c r="I882" s="7"/>
      <c r="J882" s="48"/>
      <c r="K882" s="48"/>
      <c r="L882" s="48"/>
      <c r="M882" s="48"/>
      <c r="N882" s="48"/>
      <c r="O882" s="48"/>
      <c r="P882" s="48"/>
      <c r="Q882" s="7"/>
      <c r="R882" s="7"/>
      <c r="S882" s="7"/>
    </row>
    <row r="883" spans="2:19" ht="15" x14ac:dyDescent="0.35">
      <c r="B883" s="7"/>
      <c r="C883" s="7"/>
      <c r="D883" s="7"/>
      <c r="E883" s="7"/>
      <c r="H883" s="7"/>
      <c r="I883" s="7"/>
      <c r="J883" s="48"/>
      <c r="K883" s="48"/>
      <c r="L883" s="48"/>
      <c r="M883" s="48"/>
      <c r="N883" s="48"/>
      <c r="O883" s="48"/>
      <c r="P883" s="48"/>
      <c r="Q883" s="7"/>
      <c r="R883" s="7"/>
      <c r="S883" s="7"/>
    </row>
    <row r="884" spans="2:19" ht="15" x14ac:dyDescent="0.35">
      <c r="B884" s="7"/>
      <c r="C884" s="7"/>
      <c r="D884" s="7"/>
      <c r="E884" s="7"/>
      <c r="H884" s="7"/>
      <c r="I884" s="7"/>
      <c r="J884" s="48"/>
      <c r="K884" s="48"/>
      <c r="L884" s="48"/>
      <c r="M884" s="48"/>
      <c r="N884" s="48"/>
      <c r="O884" s="48"/>
      <c r="P884" s="48"/>
      <c r="Q884" s="7"/>
      <c r="R884" s="7"/>
      <c r="S884" s="7"/>
    </row>
    <row r="885" spans="2:19" ht="15" x14ac:dyDescent="0.35">
      <c r="B885" s="7"/>
      <c r="C885" s="7"/>
      <c r="D885" s="7"/>
      <c r="E885" s="7"/>
      <c r="H885" s="7"/>
      <c r="I885" s="7"/>
      <c r="J885" s="48"/>
      <c r="K885" s="48"/>
      <c r="L885" s="48"/>
      <c r="M885" s="48"/>
      <c r="N885" s="48"/>
      <c r="O885" s="48"/>
      <c r="P885" s="48"/>
      <c r="Q885" s="7"/>
      <c r="R885" s="7"/>
      <c r="S885" s="7"/>
    </row>
    <row r="886" spans="2:19" ht="15" x14ac:dyDescent="0.35">
      <c r="B886" s="7"/>
      <c r="C886" s="7"/>
      <c r="D886" s="7"/>
      <c r="E886" s="7"/>
      <c r="H886" s="7"/>
      <c r="I886" s="7"/>
      <c r="J886" s="48"/>
      <c r="K886" s="48"/>
      <c r="L886" s="48"/>
      <c r="M886" s="48"/>
      <c r="N886" s="48"/>
      <c r="O886" s="48"/>
      <c r="P886" s="48"/>
      <c r="Q886" s="7"/>
      <c r="R886" s="7"/>
      <c r="S886" s="7"/>
    </row>
    <row r="887" spans="2:19" ht="15" x14ac:dyDescent="0.35">
      <c r="B887" s="7"/>
      <c r="C887" s="7"/>
      <c r="D887" s="7"/>
      <c r="E887" s="7"/>
      <c r="H887" s="7"/>
      <c r="I887" s="7"/>
      <c r="J887" s="48"/>
      <c r="K887" s="48"/>
      <c r="L887" s="48"/>
      <c r="M887" s="48"/>
      <c r="N887" s="48"/>
      <c r="O887" s="48"/>
      <c r="P887" s="48"/>
      <c r="Q887" s="7"/>
      <c r="R887" s="7"/>
      <c r="S887" s="7"/>
    </row>
    <row r="888" spans="2:19" ht="15" x14ac:dyDescent="0.35">
      <c r="B888" s="7"/>
      <c r="C888" s="7"/>
      <c r="D888" s="7"/>
      <c r="E888" s="7"/>
      <c r="H888" s="7"/>
      <c r="I888" s="7"/>
      <c r="J888" s="48"/>
      <c r="K888" s="48"/>
      <c r="L888" s="48"/>
      <c r="M888" s="48"/>
      <c r="N888" s="48"/>
      <c r="O888" s="48"/>
      <c r="P888" s="48"/>
      <c r="Q888" s="7"/>
      <c r="R888" s="7"/>
      <c r="S888" s="7"/>
    </row>
    <row r="889" spans="2:19" ht="15" x14ac:dyDescent="0.35">
      <c r="B889" s="7"/>
      <c r="C889" s="7"/>
      <c r="D889" s="7"/>
      <c r="E889" s="7"/>
      <c r="H889" s="7"/>
      <c r="I889" s="7"/>
      <c r="J889" s="48"/>
      <c r="K889" s="48"/>
      <c r="L889" s="48"/>
      <c r="M889" s="48"/>
      <c r="N889" s="48"/>
      <c r="O889" s="48"/>
      <c r="P889" s="48"/>
      <c r="Q889" s="7"/>
      <c r="R889" s="7"/>
      <c r="S889" s="7"/>
    </row>
    <row r="890" spans="2:19" ht="15" x14ac:dyDescent="0.35">
      <c r="B890" s="7"/>
      <c r="C890" s="7"/>
      <c r="D890" s="7"/>
      <c r="E890" s="7"/>
      <c r="H890" s="7"/>
      <c r="I890" s="7"/>
      <c r="J890" s="48"/>
      <c r="K890" s="48"/>
      <c r="L890" s="48"/>
      <c r="M890" s="48"/>
      <c r="N890" s="48"/>
      <c r="O890" s="48"/>
      <c r="P890" s="48"/>
      <c r="Q890" s="7"/>
      <c r="R890" s="7"/>
      <c r="S890" s="7"/>
    </row>
    <row r="891" spans="2:19" ht="15" x14ac:dyDescent="0.35">
      <c r="B891" s="7"/>
      <c r="C891" s="7"/>
      <c r="D891" s="7"/>
      <c r="E891" s="7"/>
      <c r="H891" s="7"/>
      <c r="I891" s="7"/>
      <c r="J891" s="48"/>
      <c r="K891" s="48"/>
      <c r="L891" s="48"/>
      <c r="M891" s="48"/>
      <c r="N891" s="48"/>
      <c r="O891" s="48"/>
      <c r="P891" s="48"/>
      <c r="Q891" s="7"/>
      <c r="R891" s="7"/>
      <c r="S891" s="7"/>
    </row>
    <row r="892" spans="2:19" ht="15" x14ac:dyDescent="0.35">
      <c r="B892" s="7"/>
      <c r="C892" s="7"/>
      <c r="D892" s="7"/>
      <c r="E892" s="7"/>
      <c r="H892" s="7"/>
      <c r="I892" s="7"/>
      <c r="J892" s="48"/>
      <c r="K892" s="48"/>
      <c r="L892" s="48"/>
      <c r="M892" s="48"/>
      <c r="N892" s="48"/>
      <c r="O892" s="48"/>
      <c r="P892" s="48"/>
      <c r="Q892" s="7"/>
      <c r="R892" s="7"/>
      <c r="S892" s="7"/>
    </row>
    <row r="893" spans="2:19" ht="15" x14ac:dyDescent="0.35">
      <c r="B893" s="7"/>
      <c r="C893" s="7"/>
      <c r="D893" s="7"/>
      <c r="E893" s="7"/>
      <c r="H893" s="7"/>
      <c r="I893" s="7"/>
      <c r="J893" s="48"/>
      <c r="K893" s="48"/>
      <c r="L893" s="48"/>
      <c r="M893" s="48"/>
      <c r="N893" s="48"/>
      <c r="O893" s="48"/>
      <c r="P893" s="48"/>
      <c r="Q893" s="7"/>
      <c r="R893" s="7"/>
      <c r="S893" s="7"/>
    </row>
    <row r="894" spans="2:19" ht="15" x14ac:dyDescent="0.35">
      <c r="B894" s="7"/>
      <c r="C894" s="7"/>
      <c r="D894" s="7"/>
      <c r="E894" s="7"/>
      <c r="H894" s="7"/>
      <c r="I894" s="7"/>
      <c r="J894" s="48"/>
      <c r="K894" s="48"/>
      <c r="L894" s="48"/>
      <c r="M894" s="48"/>
      <c r="N894" s="48"/>
      <c r="O894" s="48"/>
      <c r="P894" s="48"/>
      <c r="Q894" s="7"/>
      <c r="R894" s="7"/>
      <c r="S894" s="7"/>
    </row>
    <row r="895" spans="2:19" ht="15" x14ac:dyDescent="0.35">
      <c r="B895" s="7"/>
      <c r="C895" s="7"/>
      <c r="D895" s="7"/>
      <c r="E895" s="7"/>
      <c r="H895" s="7"/>
      <c r="I895" s="7"/>
      <c r="J895" s="48"/>
      <c r="K895" s="48"/>
      <c r="L895" s="48"/>
      <c r="M895" s="48"/>
      <c r="N895" s="48"/>
      <c r="O895" s="48"/>
      <c r="P895" s="48"/>
      <c r="Q895" s="7"/>
      <c r="R895" s="7"/>
      <c r="S895" s="7"/>
    </row>
    <row r="896" spans="2:19" ht="15" x14ac:dyDescent="0.35">
      <c r="B896" s="7"/>
      <c r="C896" s="7"/>
      <c r="D896" s="7"/>
      <c r="E896" s="7"/>
      <c r="H896" s="7"/>
      <c r="I896" s="7"/>
      <c r="J896" s="48"/>
      <c r="K896" s="48"/>
      <c r="L896" s="48"/>
      <c r="M896" s="48"/>
      <c r="N896" s="48"/>
      <c r="O896" s="48"/>
      <c r="P896" s="48"/>
      <c r="Q896" s="7"/>
      <c r="R896" s="7"/>
      <c r="S896" s="7"/>
    </row>
    <row r="897" spans="2:19" ht="15" x14ac:dyDescent="0.35">
      <c r="B897" s="7"/>
      <c r="C897" s="7"/>
      <c r="D897" s="7"/>
      <c r="E897" s="7"/>
      <c r="H897" s="7"/>
      <c r="I897" s="7"/>
      <c r="J897" s="48"/>
      <c r="K897" s="48"/>
      <c r="L897" s="48"/>
      <c r="M897" s="48"/>
      <c r="N897" s="48"/>
      <c r="O897" s="48"/>
      <c r="P897" s="48"/>
      <c r="Q897" s="7"/>
      <c r="R897" s="7"/>
      <c r="S897" s="7"/>
    </row>
    <row r="898" spans="2:19" ht="15" x14ac:dyDescent="0.35">
      <c r="B898" s="7"/>
      <c r="C898" s="7"/>
      <c r="D898" s="7"/>
      <c r="E898" s="7"/>
      <c r="H898" s="7"/>
      <c r="I898" s="7"/>
      <c r="J898" s="48"/>
      <c r="K898" s="48"/>
      <c r="L898" s="48"/>
      <c r="M898" s="48"/>
      <c r="N898" s="48"/>
      <c r="O898" s="48"/>
      <c r="P898" s="48"/>
      <c r="Q898" s="7"/>
      <c r="R898" s="7"/>
      <c r="S898" s="7"/>
    </row>
    <row r="899" spans="2:19" ht="15" x14ac:dyDescent="0.35">
      <c r="B899" s="7"/>
      <c r="C899" s="7"/>
      <c r="D899" s="7"/>
      <c r="E899" s="7"/>
      <c r="H899" s="7"/>
      <c r="I899" s="7"/>
      <c r="J899" s="48"/>
      <c r="K899" s="48"/>
      <c r="L899" s="48"/>
      <c r="M899" s="48"/>
      <c r="N899" s="48"/>
      <c r="O899" s="48"/>
      <c r="P899" s="48"/>
      <c r="Q899" s="7"/>
      <c r="R899" s="7"/>
      <c r="S899" s="7"/>
    </row>
    <row r="900" spans="2:19" ht="15" x14ac:dyDescent="0.35">
      <c r="B900" s="7"/>
      <c r="C900" s="7"/>
      <c r="D900" s="7"/>
      <c r="E900" s="7"/>
      <c r="H900" s="7"/>
      <c r="I900" s="7"/>
      <c r="J900" s="48"/>
      <c r="K900" s="48"/>
      <c r="L900" s="48"/>
      <c r="M900" s="48"/>
      <c r="N900" s="48"/>
      <c r="O900" s="48"/>
      <c r="P900" s="48"/>
      <c r="Q900" s="7"/>
      <c r="R900" s="7"/>
      <c r="S900" s="7"/>
    </row>
    <row r="901" spans="2:19" ht="15" x14ac:dyDescent="0.35">
      <c r="B901" s="7"/>
      <c r="C901" s="7"/>
      <c r="D901" s="7"/>
      <c r="E901" s="7"/>
      <c r="H901" s="7"/>
      <c r="I901" s="7"/>
      <c r="J901" s="48"/>
      <c r="K901" s="48"/>
      <c r="L901" s="48"/>
      <c r="M901" s="48"/>
      <c r="N901" s="48"/>
      <c r="O901" s="48"/>
      <c r="P901" s="48"/>
      <c r="Q901" s="7"/>
      <c r="R901" s="7"/>
      <c r="S901" s="7"/>
    </row>
    <row r="902" spans="2:19" ht="15" x14ac:dyDescent="0.35">
      <c r="B902" s="7"/>
      <c r="C902" s="7"/>
      <c r="D902" s="7"/>
      <c r="E902" s="7"/>
      <c r="H902" s="7"/>
      <c r="I902" s="7"/>
      <c r="J902" s="48"/>
      <c r="K902" s="48"/>
      <c r="L902" s="48"/>
      <c r="M902" s="48"/>
      <c r="N902" s="48"/>
      <c r="O902" s="48"/>
      <c r="P902" s="48"/>
      <c r="Q902" s="7"/>
      <c r="R902" s="7"/>
      <c r="S902" s="7"/>
    </row>
    <row r="903" spans="2:19" ht="15" x14ac:dyDescent="0.35">
      <c r="B903" s="7"/>
      <c r="C903" s="7"/>
      <c r="D903" s="7"/>
      <c r="E903" s="7"/>
      <c r="H903" s="7"/>
      <c r="I903" s="7"/>
      <c r="J903" s="48"/>
      <c r="K903" s="48"/>
      <c r="L903" s="48"/>
      <c r="M903" s="48"/>
      <c r="N903" s="48"/>
      <c r="O903" s="48"/>
      <c r="P903" s="48"/>
      <c r="Q903" s="7"/>
      <c r="R903" s="7"/>
      <c r="S903" s="7"/>
    </row>
    <row r="904" spans="2:19" ht="15" x14ac:dyDescent="0.35">
      <c r="B904" s="7"/>
      <c r="C904" s="7"/>
      <c r="D904" s="7"/>
      <c r="E904" s="7"/>
      <c r="H904" s="7"/>
      <c r="I904" s="7"/>
      <c r="J904" s="48"/>
      <c r="K904" s="48"/>
      <c r="L904" s="48"/>
      <c r="M904" s="48"/>
      <c r="N904" s="48"/>
      <c r="O904" s="48"/>
      <c r="P904" s="48"/>
      <c r="Q904" s="7"/>
      <c r="R904" s="7"/>
      <c r="S904" s="7"/>
    </row>
    <row r="905" spans="2:19" ht="15" x14ac:dyDescent="0.35">
      <c r="B905" s="7"/>
      <c r="C905" s="7"/>
      <c r="D905" s="7"/>
      <c r="E905" s="7"/>
      <c r="H905" s="7"/>
      <c r="I905" s="7"/>
      <c r="J905" s="48"/>
      <c r="K905" s="48"/>
      <c r="L905" s="48"/>
      <c r="M905" s="48"/>
      <c r="N905" s="48"/>
      <c r="O905" s="48"/>
      <c r="P905" s="48"/>
      <c r="Q905" s="7"/>
      <c r="R905" s="7"/>
      <c r="S905" s="7"/>
    </row>
    <row r="906" spans="2:19" ht="15" x14ac:dyDescent="0.35">
      <c r="B906" s="7"/>
      <c r="C906" s="7"/>
      <c r="D906" s="7"/>
      <c r="E906" s="7"/>
      <c r="H906" s="7"/>
      <c r="I906" s="7"/>
      <c r="J906" s="48"/>
      <c r="K906" s="48"/>
      <c r="L906" s="48"/>
      <c r="M906" s="48"/>
      <c r="N906" s="48"/>
      <c r="O906" s="48"/>
      <c r="P906" s="48"/>
      <c r="Q906" s="7"/>
      <c r="R906" s="7"/>
      <c r="S906" s="7"/>
    </row>
    <row r="907" spans="2:19" ht="15" x14ac:dyDescent="0.35">
      <c r="B907" s="7"/>
      <c r="C907" s="7"/>
      <c r="D907" s="7"/>
      <c r="E907" s="7"/>
      <c r="H907" s="7"/>
      <c r="I907" s="7"/>
      <c r="J907" s="48"/>
      <c r="K907" s="48"/>
      <c r="L907" s="48"/>
      <c r="M907" s="48"/>
      <c r="N907" s="48"/>
      <c r="O907" s="48"/>
      <c r="P907" s="48"/>
      <c r="Q907" s="7"/>
      <c r="R907" s="7"/>
      <c r="S907" s="7"/>
    </row>
    <row r="908" spans="2:19" ht="15" x14ac:dyDescent="0.35">
      <c r="B908" s="7"/>
      <c r="C908" s="7"/>
      <c r="D908" s="7"/>
      <c r="E908" s="7"/>
      <c r="H908" s="7"/>
      <c r="I908" s="7"/>
      <c r="J908" s="48"/>
      <c r="K908" s="48"/>
      <c r="L908" s="48"/>
      <c r="M908" s="48"/>
      <c r="N908" s="48"/>
      <c r="O908" s="48"/>
      <c r="P908" s="48"/>
      <c r="Q908" s="7"/>
      <c r="R908" s="7"/>
      <c r="S908" s="7"/>
    </row>
    <row r="909" spans="2:19" ht="15" x14ac:dyDescent="0.35">
      <c r="B909" s="7"/>
      <c r="C909" s="7"/>
      <c r="D909" s="7"/>
      <c r="E909" s="7"/>
      <c r="H909" s="7"/>
      <c r="I909" s="7"/>
      <c r="J909" s="48"/>
      <c r="K909" s="48"/>
      <c r="L909" s="48"/>
      <c r="M909" s="48"/>
      <c r="N909" s="48"/>
      <c r="O909" s="48"/>
      <c r="P909" s="48"/>
      <c r="Q909" s="7"/>
      <c r="R909" s="7"/>
      <c r="S909" s="7"/>
    </row>
    <row r="910" spans="2:19" ht="15" x14ac:dyDescent="0.35">
      <c r="B910" s="7"/>
      <c r="C910" s="7"/>
      <c r="D910" s="7"/>
      <c r="E910" s="7"/>
      <c r="H910" s="7"/>
      <c r="I910" s="7"/>
      <c r="J910" s="48"/>
      <c r="K910" s="48"/>
      <c r="L910" s="48"/>
      <c r="M910" s="48"/>
      <c r="N910" s="48"/>
      <c r="O910" s="48"/>
      <c r="P910" s="48"/>
      <c r="Q910" s="7"/>
      <c r="R910" s="7"/>
      <c r="S910" s="7"/>
    </row>
    <row r="911" spans="2:19" ht="15" x14ac:dyDescent="0.35">
      <c r="B911" s="7"/>
      <c r="C911" s="7"/>
      <c r="D911" s="7"/>
      <c r="E911" s="7"/>
      <c r="H911" s="7"/>
      <c r="I911" s="7"/>
      <c r="J911" s="48"/>
      <c r="K911" s="48"/>
      <c r="L911" s="48"/>
      <c r="M911" s="48"/>
      <c r="N911" s="48"/>
      <c r="O911" s="48"/>
      <c r="P911" s="48"/>
      <c r="Q911" s="7"/>
      <c r="R911" s="7"/>
      <c r="S911" s="7"/>
    </row>
    <row r="912" spans="2:19" ht="15" x14ac:dyDescent="0.35">
      <c r="B912" s="7"/>
      <c r="C912" s="7"/>
      <c r="D912" s="7"/>
      <c r="E912" s="7"/>
      <c r="H912" s="7"/>
      <c r="I912" s="7"/>
      <c r="J912" s="48"/>
      <c r="K912" s="48"/>
      <c r="L912" s="48"/>
      <c r="M912" s="48"/>
      <c r="N912" s="48"/>
      <c r="O912" s="48"/>
      <c r="P912" s="48"/>
      <c r="Q912" s="7"/>
      <c r="R912" s="7"/>
      <c r="S912" s="7"/>
    </row>
    <row r="913" spans="2:19" ht="15" x14ac:dyDescent="0.35">
      <c r="B913" s="7"/>
      <c r="C913" s="7"/>
      <c r="D913" s="7"/>
      <c r="E913" s="7"/>
      <c r="H913" s="7"/>
      <c r="I913" s="7"/>
      <c r="J913" s="48"/>
      <c r="K913" s="48"/>
      <c r="L913" s="48"/>
      <c r="M913" s="48"/>
      <c r="N913" s="48"/>
      <c r="O913" s="48"/>
      <c r="P913" s="48"/>
      <c r="Q913" s="7"/>
      <c r="R913" s="7"/>
      <c r="S913" s="7"/>
    </row>
    <row r="914" spans="2:19" ht="15" x14ac:dyDescent="0.35">
      <c r="B914" s="7"/>
      <c r="C914" s="7"/>
      <c r="D914" s="7"/>
      <c r="E914" s="7"/>
      <c r="H914" s="7"/>
      <c r="I914" s="7"/>
      <c r="J914" s="48"/>
      <c r="K914" s="48"/>
      <c r="L914" s="48"/>
      <c r="M914" s="48"/>
      <c r="N914" s="48"/>
      <c r="O914" s="48"/>
      <c r="P914" s="48"/>
      <c r="Q914" s="7"/>
      <c r="R914" s="7"/>
      <c r="S914" s="7"/>
    </row>
    <row r="915" spans="2:19" ht="15" x14ac:dyDescent="0.35">
      <c r="B915" s="7"/>
      <c r="C915" s="7"/>
      <c r="D915" s="7"/>
      <c r="E915" s="7"/>
      <c r="H915" s="7"/>
      <c r="I915" s="7"/>
      <c r="J915" s="48"/>
      <c r="K915" s="48"/>
      <c r="L915" s="48"/>
      <c r="M915" s="48"/>
      <c r="N915" s="48"/>
      <c r="O915" s="48"/>
      <c r="P915" s="48"/>
      <c r="Q915" s="7"/>
      <c r="R915" s="7"/>
      <c r="S915" s="7"/>
    </row>
    <row r="916" spans="2:19" ht="15" x14ac:dyDescent="0.35">
      <c r="B916" s="7"/>
      <c r="C916" s="7"/>
      <c r="D916" s="7"/>
      <c r="E916" s="7"/>
      <c r="H916" s="7"/>
      <c r="I916" s="7"/>
      <c r="J916" s="48"/>
      <c r="K916" s="48"/>
      <c r="L916" s="48"/>
      <c r="M916" s="48"/>
      <c r="N916" s="48"/>
      <c r="O916" s="48"/>
      <c r="P916" s="48"/>
      <c r="Q916" s="7"/>
      <c r="R916" s="7"/>
      <c r="S916" s="7"/>
    </row>
    <row r="917" spans="2:19" ht="15" x14ac:dyDescent="0.35">
      <c r="B917" s="7"/>
      <c r="C917" s="7"/>
      <c r="D917" s="7"/>
      <c r="E917" s="7"/>
      <c r="H917" s="7"/>
      <c r="I917" s="7"/>
      <c r="J917" s="48"/>
      <c r="K917" s="48"/>
      <c r="L917" s="48"/>
      <c r="M917" s="48"/>
      <c r="N917" s="48"/>
      <c r="O917" s="48"/>
      <c r="P917" s="48"/>
      <c r="Q917" s="7"/>
      <c r="R917" s="7"/>
      <c r="S917" s="7"/>
    </row>
    <row r="918" spans="2:19" ht="15" x14ac:dyDescent="0.35">
      <c r="B918" s="7"/>
      <c r="C918" s="7"/>
      <c r="D918" s="7"/>
      <c r="E918" s="7"/>
      <c r="H918" s="7"/>
      <c r="I918" s="7"/>
      <c r="J918" s="48"/>
      <c r="K918" s="48"/>
      <c r="L918" s="48"/>
      <c r="M918" s="48"/>
      <c r="N918" s="48"/>
      <c r="O918" s="48"/>
      <c r="P918" s="48"/>
      <c r="Q918" s="7"/>
      <c r="R918" s="7"/>
      <c r="S918" s="7"/>
    </row>
    <row r="919" spans="2:19" ht="15" x14ac:dyDescent="0.35">
      <c r="B919" s="7"/>
      <c r="C919" s="7"/>
      <c r="D919" s="7"/>
      <c r="E919" s="7"/>
      <c r="H919" s="7"/>
      <c r="I919" s="7"/>
      <c r="J919" s="48"/>
      <c r="K919" s="48"/>
      <c r="L919" s="48"/>
      <c r="M919" s="48"/>
      <c r="N919" s="48"/>
      <c r="O919" s="48"/>
      <c r="P919" s="48"/>
      <c r="Q919" s="7"/>
      <c r="R919" s="7"/>
      <c r="S919" s="7"/>
    </row>
    <row r="920" spans="2:19" ht="15" x14ac:dyDescent="0.35">
      <c r="B920" s="7"/>
      <c r="C920" s="7"/>
      <c r="D920" s="7"/>
      <c r="E920" s="7"/>
      <c r="H920" s="7"/>
      <c r="I920" s="7"/>
      <c r="J920" s="48"/>
      <c r="K920" s="48"/>
      <c r="L920" s="48"/>
      <c r="M920" s="48"/>
      <c r="N920" s="48"/>
      <c r="O920" s="48"/>
      <c r="P920" s="48"/>
      <c r="Q920" s="7"/>
      <c r="R920" s="7"/>
      <c r="S920" s="7"/>
    </row>
    <row r="921" spans="2:19" ht="15" x14ac:dyDescent="0.35">
      <c r="B921" s="7"/>
      <c r="C921" s="7"/>
      <c r="D921" s="7"/>
      <c r="E921" s="7"/>
      <c r="H921" s="7"/>
      <c r="I921" s="7"/>
      <c r="J921" s="48"/>
      <c r="K921" s="48"/>
      <c r="L921" s="48"/>
      <c r="M921" s="48"/>
      <c r="N921" s="48"/>
      <c r="O921" s="48"/>
      <c r="P921" s="48"/>
      <c r="Q921" s="7"/>
      <c r="R921" s="7"/>
      <c r="S921" s="7"/>
    </row>
    <row r="922" spans="2:19" ht="15" x14ac:dyDescent="0.35">
      <c r="B922" s="7"/>
      <c r="C922" s="7"/>
      <c r="D922" s="7"/>
      <c r="E922" s="7"/>
      <c r="H922" s="7"/>
      <c r="I922" s="7"/>
      <c r="J922" s="48"/>
      <c r="K922" s="48"/>
      <c r="L922" s="48"/>
      <c r="M922" s="48"/>
      <c r="N922" s="48"/>
      <c r="O922" s="48"/>
      <c r="P922" s="48"/>
      <c r="Q922" s="7"/>
      <c r="R922" s="7"/>
      <c r="S922" s="7"/>
    </row>
    <row r="923" spans="2:19" ht="15" x14ac:dyDescent="0.35">
      <c r="B923" s="7"/>
      <c r="C923" s="7"/>
      <c r="D923" s="7"/>
      <c r="E923" s="7"/>
      <c r="H923" s="7"/>
      <c r="I923" s="7"/>
      <c r="J923" s="48"/>
      <c r="K923" s="48"/>
      <c r="L923" s="48"/>
      <c r="M923" s="48"/>
      <c r="N923" s="48"/>
      <c r="O923" s="48"/>
      <c r="P923" s="48"/>
      <c r="Q923" s="7"/>
      <c r="R923" s="7"/>
      <c r="S923" s="7"/>
    </row>
    <row r="924" spans="2:19" ht="15" x14ac:dyDescent="0.35">
      <c r="B924" s="7"/>
      <c r="C924" s="7"/>
      <c r="D924" s="7"/>
      <c r="E924" s="7"/>
      <c r="H924" s="7"/>
      <c r="I924" s="7"/>
      <c r="J924" s="48"/>
      <c r="K924" s="48"/>
      <c r="L924" s="48"/>
      <c r="M924" s="48"/>
      <c r="N924" s="48"/>
      <c r="O924" s="48"/>
      <c r="P924" s="48"/>
      <c r="Q924" s="7"/>
      <c r="R924" s="7"/>
      <c r="S924" s="7"/>
    </row>
    <row r="925" spans="2:19" ht="15" x14ac:dyDescent="0.35">
      <c r="B925" s="7"/>
      <c r="C925" s="7"/>
      <c r="D925" s="7"/>
      <c r="E925" s="7"/>
      <c r="H925" s="7"/>
      <c r="I925" s="7"/>
      <c r="J925" s="48"/>
      <c r="K925" s="48"/>
      <c r="L925" s="48"/>
      <c r="M925" s="48"/>
      <c r="N925" s="48"/>
      <c r="O925" s="48"/>
      <c r="P925" s="48"/>
      <c r="Q925" s="7"/>
      <c r="R925" s="7"/>
      <c r="S925" s="7"/>
    </row>
    <row r="926" spans="2:19" ht="15" x14ac:dyDescent="0.35">
      <c r="B926" s="7"/>
      <c r="C926" s="7"/>
      <c r="D926" s="7"/>
      <c r="E926" s="7"/>
      <c r="H926" s="7"/>
      <c r="I926" s="7"/>
      <c r="J926" s="48"/>
      <c r="K926" s="48"/>
      <c r="L926" s="48"/>
      <c r="M926" s="48"/>
      <c r="N926" s="48"/>
      <c r="O926" s="48"/>
      <c r="P926" s="48"/>
      <c r="Q926" s="7"/>
      <c r="R926" s="7"/>
      <c r="S926" s="7"/>
    </row>
    <row r="927" spans="2:19" ht="15" x14ac:dyDescent="0.35">
      <c r="B927" s="7"/>
      <c r="C927" s="7"/>
      <c r="D927" s="7"/>
      <c r="E927" s="7"/>
      <c r="H927" s="7"/>
      <c r="I927" s="7"/>
      <c r="J927" s="48"/>
      <c r="K927" s="48"/>
      <c r="L927" s="48"/>
      <c r="M927" s="48"/>
      <c r="N927" s="48"/>
      <c r="O927" s="48"/>
      <c r="P927" s="48"/>
      <c r="Q927" s="7"/>
      <c r="R927" s="7"/>
      <c r="S927" s="7"/>
    </row>
    <row r="928" spans="2:19" ht="15" x14ac:dyDescent="0.35">
      <c r="B928" s="7"/>
      <c r="C928" s="7"/>
      <c r="D928" s="7"/>
      <c r="E928" s="7"/>
      <c r="H928" s="7"/>
      <c r="I928" s="7"/>
      <c r="J928" s="48"/>
      <c r="K928" s="48"/>
      <c r="L928" s="48"/>
      <c r="M928" s="48"/>
      <c r="N928" s="48"/>
      <c r="O928" s="48"/>
      <c r="P928" s="48"/>
      <c r="Q928" s="7"/>
      <c r="R928" s="7"/>
      <c r="S928" s="7"/>
    </row>
    <row r="929" spans="2:19" ht="15" x14ac:dyDescent="0.35">
      <c r="B929" s="7"/>
      <c r="C929" s="7"/>
      <c r="D929" s="7"/>
      <c r="E929" s="7"/>
      <c r="H929" s="7"/>
      <c r="I929" s="7"/>
      <c r="J929" s="48"/>
      <c r="K929" s="48"/>
      <c r="L929" s="48"/>
      <c r="M929" s="48"/>
      <c r="N929" s="48"/>
      <c r="O929" s="48"/>
      <c r="P929" s="48"/>
      <c r="Q929" s="7"/>
      <c r="R929" s="7"/>
      <c r="S929" s="7"/>
    </row>
    <row r="930" spans="2:19" ht="15" x14ac:dyDescent="0.35">
      <c r="B930" s="7"/>
      <c r="C930" s="7"/>
      <c r="D930" s="7"/>
      <c r="E930" s="7"/>
      <c r="H930" s="7"/>
      <c r="I930" s="7"/>
      <c r="J930" s="48"/>
      <c r="K930" s="48"/>
      <c r="L930" s="48"/>
      <c r="M930" s="48"/>
      <c r="N930" s="48"/>
      <c r="O930" s="48"/>
      <c r="P930" s="48"/>
      <c r="Q930" s="7"/>
      <c r="R930" s="7"/>
      <c r="S930" s="7"/>
    </row>
    <row r="931" spans="2:19" ht="15" x14ac:dyDescent="0.35">
      <c r="B931" s="7"/>
      <c r="C931" s="7"/>
      <c r="D931" s="7"/>
      <c r="E931" s="7"/>
      <c r="H931" s="7"/>
      <c r="I931" s="7"/>
      <c r="J931" s="48"/>
      <c r="K931" s="48"/>
      <c r="L931" s="48"/>
      <c r="M931" s="48"/>
      <c r="N931" s="48"/>
      <c r="O931" s="48"/>
      <c r="P931" s="48"/>
      <c r="Q931" s="7"/>
      <c r="R931" s="7"/>
      <c r="S931" s="7"/>
    </row>
    <row r="932" spans="2:19" ht="15" x14ac:dyDescent="0.35">
      <c r="B932" s="7"/>
      <c r="C932" s="7"/>
      <c r="D932" s="7"/>
      <c r="E932" s="7"/>
      <c r="H932" s="7"/>
      <c r="I932" s="7"/>
      <c r="J932" s="48"/>
      <c r="K932" s="48"/>
      <c r="L932" s="48"/>
      <c r="M932" s="48"/>
      <c r="N932" s="48"/>
      <c r="O932" s="48"/>
      <c r="P932" s="48"/>
      <c r="Q932" s="7"/>
      <c r="R932" s="7"/>
      <c r="S932" s="7"/>
    </row>
    <row r="933" spans="2:19" ht="15" x14ac:dyDescent="0.35">
      <c r="B933" s="7"/>
      <c r="C933" s="7"/>
      <c r="D933" s="7"/>
      <c r="E933" s="7"/>
      <c r="H933" s="7"/>
      <c r="I933" s="7"/>
      <c r="J933" s="48"/>
      <c r="K933" s="48"/>
      <c r="L933" s="48"/>
      <c r="M933" s="48"/>
      <c r="N933" s="48"/>
      <c r="O933" s="48"/>
      <c r="P933" s="48"/>
      <c r="Q933" s="7"/>
      <c r="R933" s="7"/>
      <c r="S933" s="7"/>
    </row>
    <row r="934" spans="2:19" ht="15" x14ac:dyDescent="0.35">
      <c r="B934" s="7"/>
      <c r="C934" s="7"/>
      <c r="D934" s="7"/>
      <c r="E934" s="7"/>
      <c r="H934" s="7"/>
      <c r="I934" s="7"/>
      <c r="J934" s="48"/>
      <c r="K934" s="48"/>
      <c r="L934" s="48"/>
      <c r="M934" s="48"/>
      <c r="N934" s="48"/>
      <c r="O934" s="48"/>
      <c r="P934" s="48"/>
      <c r="Q934" s="7"/>
      <c r="R934" s="7"/>
      <c r="S934" s="7"/>
    </row>
    <row r="935" spans="2:19" ht="15" x14ac:dyDescent="0.35">
      <c r="B935" s="7"/>
      <c r="C935" s="7"/>
      <c r="D935" s="7"/>
      <c r="E935" s="7"/>
      <c r="H935" s="7"/>
      <c r="I935" s="7"/>
      <c r="J935" s="48"/>
      <c r="K935" s="48"/>
      <c r="L935" s="48"/>
      <c r="M935" s="48"/>
      <c r="N935" s="48"/>
      <c r="O935" s="48"/>
      <c r="P935" s="48"/>
      <c r="Q935" s="7"/>
      <c r="R935" s="7"/>
      <c r="S935" s="7"/>
    </row>
    <row r="936" spans="2:19" ht="15" x14ac:dyDescent="0.35">
      <c r="B936" s="7"/>
      <c r="C936" s="7"/>
      <c r="D936" s="7"/>
      <c r="E936" s="7"/>
      <c r="H936" s="7"/>
      <c r="I936" s="7"/>
      <c r="J936" s="48"/>
      <c r="K936" s="48"/>
      <c r="L936" s="48"/>
      <c r="M936" s="48"/>
      <c r="N936" s="48"/>
      <c r="O936" s="48"/>
      <c r="P936" s="48"/>
      <c r="Q936" s="7"/>
      <c r="R936" s="7"/>
      <c r="S936" s="7"/>
    </row>
    <row r="937" spans="2:19" ht="15" x14ac:dyDescent="0.35">
      <c r="B937" s="7"/>
      <c r="C937" s="7"/>
      <c r="D937" s="7"/>
      <c r="E937" s="7"/>
      <c r="H937" s="7"/>
      <c r="I937" s="7"/>
      <c r="J937" s="48"/>
      <c r="K937" s="48"/>
      <c r="L937" s="48"/>
      <c r="M937" s="48"/>
      <c r="N937" s="48"/>
      <c r="O937" s="48"/>
      <c r="P937" s="48"/>
      <c r="Q937" s="7"/>
      <c r="R937" s="7"/>
      <c r="S937" s="7"/>
    </row>
    <row r="938" spans="2:19" ht="15" x14ac:dyDescent="0.35">
      <c r="B938" s="7"/>
      <c r="C938" s="7"/>
      <c r="D938" s="7"/>
      <c r="E938" s="7"/>
      <c r="H938" s="7"/>
      <c r="I938" s="7"/>
      <c r="J938" s="48"/>
      <c r="K938" s="48"/>
      <c r="L938" s="48"/>
      <c r="M938" s="48"/>
      <c r="N938" s="48"/>
      <c r="O938" s="48"/>
      <c r="P938" s="48"/>
      <c r="Q938" s="7"/>
      <c r="R938" s="7"/>
      <c r="S938" s="7"/>
    </row>
    <row r="939" spans="2:19" ht="15" x14ac:dyDescent="0.35">
      <c r="B939" s="7"/>
      <c r="C939" s="7"/>
      <c r="D939" s="7"/>
      <c r="E939" s="7"/>
      <c r="H939" s="7"/>
      <c r="I939" s="7"/>
      <c r="J939" s="48"/>
      <c r="K939" s="48"/>
      <c r="L939" s="48"/>
      <c r="M939" s="48"/>
      <c r="N939" s="48"/>
      <c r="O939" s="48"/>
      <c r="P939" s="48"/>
      <c r="Q939" s="7"/>
      <c r="R939" s="7"/>
      <c r="S939" s="7"/>
    </row>
    <row r="940" spans="2:19" ht="15" x14ac:dyDescent="0.35">
      <c r="B940" s="7"/>
      <c r="C940" s="7"/>
      <c r="D940" s="7"/>
      <c r="E940" s="7"/>
      <c r="H940" s="7"/>
      <c r="I940" s="7"/>
      <c r="J940" s="48"/>
      <c r="K940" s="48"/>
      <c r="L940" s="48"/>
      <c r="M940" s="48"/>
      <c r="N940" s="48"/>
      <c r="O940" s="48"/>
      <c r="P940" s="48"/>
      <c r="Q940" s="7"/>
      <c r="R940" s="7"/>
      <c r="S940" s="7"/>
    </row>
    <row r="941" spans="2:19" ht="15" x14ac:dyDescent="0.35">
      <c r="B941" s="7"/>
      <c r="C941" s="7"/>
      <c r="D941" s="7"/>
      <c r="E941" s="7"/>
      <c r="H941" s="7"/>
      <c r="I941" s="7"/>
      <c r="J941" s="48"/>
      <c r="K941" s="48"/>
      <c r="L941" s="48"/>
      <c r="M941" s="48"/>
      <c r="N941" s="48"/>
      <c r="O941" s="48"/>
      <c r="P941" s="48"/>
      <c r="Q941" s="7"/>
      <c r="R941" s="7"/>
      <c r="S941" s="7"/>
    </row>
    <row r="942" spans="2:19" ht="15" x14ac:dyDescent="0.35">
      <c r="B942" s="7"/>
      <c r="C942" s="7"/>
      <c r="D942" s="7"/>
      <c r="E942" s="7"/>
      <c r="H942" s="7"/>
      <c r="I942" s="7"/>
      <c r="J942" s="48"/>
      <c r="K942" s="48"/>
      <c r="L942" s="48"/>
      <c r="M942" s="48"/>
      <c r="N942" s="48"/>
      <c r="O942" s="48"/>
      <c r="P942" s="48"/>
      <c r="Q942" s="7"/>
      <c r="R942" s="7"/>
      <c r="S942" s="7"/>
    </row>
    <row r="943" spans="2:19" ht="15" x14ac:dyDescent="0.35">
      <c r="B943" s="7"/>
      <c r="C943" s="7"/>
      <c r="D943" s="7"/>
      <c r="E943" s="7"/>
      <c r="H943" s="7"/>
      <c r="I943" s="7"/>
      <c r="J943" s="48"/>
      <c r="K943" s="48"/>
      <c r="L943" s="48"/>
      <c r="M943" s="48"/>
      <c r="N943" s="48"/>
      <c r="O943" s="48"/>
      <c r="P943" s="48"/>
      <c r="Q943" s="7"/>
      <c r="R943" s="7"/>
      <c r="S943" s="7"/>
    </row>
    <row r="944" spans="2:19" ht="15" x14ac:dyDescent="0.35">
      <c r="B944" s="7"/>
      <c r="C944" s="7"/>
      <c r="D944" s="7"/>
      <c r="E944" s="7"/>
      <c r="H944" s="7"/>
      <c r="I944" s="7"/>
      <c r="J944" s="48"/>
      <c r="K944" s="48"/>
      <c r="L944" s="48"/>
      <c r="M944" s="48"/>
      <c r="N944" s="48"/>
      <c r="O944" s="48"/>
      <c r="P944" s="48"/>
      <c r="Q944" s="7"/>
      <c r="R944" s="7"/>
      <c r="S944" s="7"/>
    </row>
    <row r="945" spans="2:19" ht="15" x14ac:dyDescent="0.35">
      <c r="B945" s="7"/>
      <c r="C945" s="7"/>
      <c r="D945" s="7"/>
      <c r="E945" s="7"/>
      <c r="H945" s="7"/>
      <c r="I945" s="7"/>
      <c r="J945" s="48"/>
      <c r="K945" s="48"/>
      <c r="L945" s="48"/>
      <c r="M945" s="48"/>
      <c r="N945" s="48"/>
      <c r="O945" s="48"/>
      <c r="P945" s="48"/>
      <c r="Q945" s="7"/>
      <c r="R945" s="7"/>
      <c r="S945" s="7"/>
    </row>
    <row r="946" spans="2:19" ht="15" x14ac:dyDescent="0.35">
      <c r="B946" s="7"/>
      <c r="C946" s="7"/>
      <c r="D946" s="7"/>
      <c r="E946" s="7"/>
      <c r="H946" s="7"/>
      <c r="I946" s="7"/>
      <c r="J946" s="48"/>
      <c r="K946" s="48"/>
      <c r="L946" s="48"/>
      <c r="M946" s="48"/>
      <c r="N946" s="48"/>
      <c r="O946" s="48"/>
      <c r="P946" s="48"/>
      <c r="Q946" s="7"/>
      <c r="R946" s="7"/>
      <c r="S946" s="7"/>
    </row>
    <row r="947" spans="2:19" ht="15" x14ac:dyDescent="0.35">
      <c r="B947" s="7"/>
      <c r="C947" s="7"/>
      <c r="D947" s="7"/>
      <c r="E947" s="7"/>
      <c r="H947" s="7"/>
      <c r="I947" s="7"/>
      <c r="J947" s="48"/>
      <c r="K947" s="48"/>
      <c r="L947" s="48"/>
      <c r="M947" s="48"/>
      <c r="N947" s="48"/>
      <c r="O947" s="48"/>
      <c r="P947" s="48"/>
      <c r="Q947" s="7"/>
      <c r="R947" s="7"/>
      <c r="S947" s="7"/>
    </row>
    <row r="948" spans="2:19" ht="15" x14ac:dyDescent="0.35">
      <c r="B948" s="7"/>
      <c r="C948" s="7"/>
      <c r="D948" s="7"/>
      <c r="E948" s="7"/>
      <c r="H948" s="7"/>
      <c r="I948" s="7"/>
      <c r="J948" s="48"/>
      <c r="K948" s="48"/>
      <c r="L948" s="48"/>
      <c r="M948" s="48"/>
      <c r="N948" s="48"/>
      <c r="O948" s="48"/>
      <c r="P948" s="48"/>
      <c r="Q948" s="7"/>
      <c r="R948" s="7"/>
      <c r="S948" s="7"/>
    </row>
    <row r="949" spans="2:19" ht="15" x14ac:dyDescent="0.35">
      <c r="B949" s="7"/>
      <c r="C949" s="7"/>
      <c r="D949" s="7"/>
      <c r="E949" s="7"/>
      <c r="H949" s="7"/>
      <c r="I949" s="7"/>
      <c r="J949" s="48"/>
      <c r="K949" s="48"/>
      <c r="L949" s="48"/>
      <c r="M949" s="48"/>
      <c r="N949" s="48"/>
      <c r="O949" s="48"/>
      <c r="P949" s="48"/>
      <c r="Q949" s="7"/>
      <c r="R949" s="7"/>
      <c r="S949" s="7"/>
    </row>
    <row r="950" spans="2:19" ht="15" x14ac:dyDescent="0.35">
      <c r="B950" s="7"/>
      <c r="C950" s="7"/>
      <c r="D950" s="7"/>
      <c r="E950" s="7"/>
      <c r="H950" s="7"/>
      <c r="I950" s="7"/>
      <c r="J950" s="48"/>
      <c r="K950" s="48"/>
      <c r="L950" s="48"/>
      <c r="M950" s="48"/>
      <c r="N950" s="48"/>
      <c r="O950" s="48"/>
      <c r="P950" s="48"/>
      <c r="Q950" s="7"/>
      <c r="R950" s="7"/>
      <c r="S950" s="7"/>
    </row>
    <row r="951" spans="2:19" ht="15" x14ac:dyDescent="0.35">
      <c r="B951" s="7"/>
      <c r="C951" s="7"/>
      <c r="D951" s="7"/>
      <c r="E951" s="7"/>
      <c r="H951" s="7"/>
      <c r="I951" s="7"/>
      <c r="J951" s="48"/>
      <c r="K951" s="48"/>
      <c r="L951" s="48"/>
      <c r="M951" s="48"/>
      <c r="N951" s="48"/>
      <c r="O951" s="48"/>
      <c r="P951" s="48"/>
      <c r="Q951" s="7"/>
      <c r="R951" s="7"/>
      <c r="S951" s="7"/>
    </row>
    <row r="952" spans="2:19" ht="15" x14ac:dyDescent="0.35">
      <c r="B952" s="7"/>
      <c r="C952" s="7"/>
      <c r="D952" s="7"/>
      <c r="E952" s="7"/>
      <c r="H952" s="7"/>
      <c r="I952" s="7"/>
      <c r="J952" s="48"/>
      <c r="K952" s="48"/>
      <c r="L952" s="48"/>
      <c r="M952" s="48"/>
      <c r="N952" s="48"/>
      <c r="O952" s="48"/>
      <c r="P952" s="48"/>
      <c r="Q952" s="7"/>
      <c r="R952" s="7"/>
      <c r="S952" s="7"/>
    </row>
    <row r="953" spans="2:19" ht="15" x14ac:dyDescent="0.35">
      <c r="B953" s="7"/>
      <c r="C953" s="7"/>
      <c r="D953" s="7"/>
      <c r="E953" s="7"/>
      <c r="H953" s="7"/>
      <c r="I953" s="7"/>
      <c r="J953" s="48"/>
      <c r="K953" s="48"/>
      <c r="L953" s="48"/>
      <c r="M953" s="48"/>
      <c r="N953" s="48"/>
      <c r="O953" s="48"/>
      <c r="P953" s="48"/>
      <c r="Q953" s="7"/>
      <c r="R953" s="7"/>
      <c r="S953" s="7"/>
    </row>
    <row r="954" spans="2:19" ht="15" x14ac:dyDescent="0.35">
      <c r="B954" s="7"/>
      <c r="C954" s="7"/>
      <c r="D954" s="7"/>
      <c r="E954" s="7"/>
      <c r="H954" s="7"/>
      <c r="I954" s="7"/>
      <c r="J954" s="48"/>
      <c r="K954" s="48"/>
      <c r="L954" s="48"/>
      <c r="M954" s="48"/>
      <c r="N954" s="48"/>
      <c r="O954" s="48"/>
      <c r="P954" s="48"/>
      <c r="Q954" s="7"/>
      <c r="R954" s="7"/>
      <c r="S954" s="7"/>
    </row>
    <row r="955" spans="2:19" ht="15" x14ac:dyDescent="0.35">
      <c r="B955" s="7"/>
      <c r="C955" s="7"/>
      <c r="D955" s="7"/>
      <c r="E955" s="7"/>
      <c r="H955" s="7"/>
      <c r="I955" s="7"/>
      <c r="J955" s="48"/>
      <c r="K955" s="48"/>
      <c r="L955" s="48"/>
      <c r="M955" s="48"/>
      <c r="N955" s="48"/>
      <c r="O955" s="48"/>
      <c r="P955" s="48"/>
      <c r="Q955" s="7"/>
      <c r="R955" s="7"/>
      <c r="S955" s="7"/>
    </row>
    <row r="956" spans="2:19" ht="15" x14ac:dyDescent="0.35">
      <c r="B956" s="7"/>
      <c r="C956" s="7"/>
      <c r="D956" s="7"/>
      <c r="E956" s="7"/>
      <c r="H956" s="7"/>
      <c r="I956" s="7"/>
      <c r="J956" s="48"/>
      <c r="K956" s="48"/>
      <c r="L956" s="48"/>
      <c r="M956" s="48"/>
      <c r="N956" s="48"/>
      <c r="O956" s="48"/>
      <c r="P956" s="48"/>
      <c r="Q956" s="7"/>
      <c r="R956" s="7"/>
      <c r="S956" s="7"/>
    </row>
    <row r="957" spans="2:19" ht="15" x14ac:dyDescent="0.35">
      <c r="B957" s="7"/>
      <c r="C957" s="7"/>
      <c r="D957" s="7"/>
      <c r="E957" s="7"/>
      <c r="H957" s="7"/>
      <c r="I957" s="7"/>
      <c r="J957" s="48"/>
      <c r="K957" s="48"/>
      <c r="L957" s="48"/>
      <c r="M957" s="48"/>
      <c r="N957" s="48"/>
      <c r="O957" s="48"/>
      <c r="P957" s="48"/>
      <c r="Q957" s="7"/>
      <c r="R957" s="7"/>
      <c r="S957" s="7"/>
    </row>
    <row r="958" spans="2:19" ht="15" x14ac:dyDescent="0.35">
      <c r="B958" s="7"/>
      <c r="C958" s="7"/>
      <c r="D958" s="7"/>
      <c r="E958" s="7"/>
      <c r="H958" s="7"/>
      <c r="I958" s="7"/>
      <c r="J958" s="48"/>
      <c r="K958" s="48"/>
      <c r="L958" s="48"/>
      <c r="M958" s="48"/>
      <c r="N958" s="48"/>
      <c r="O958" s="48"/>
      <c r="P958" s="48"/>
      <c r="Q958" s="7"/>
      <c r="R958" s="7"/>
      <c r="S958" s="7"/>
    </row>
    <row r="959" spans="2:19" ht="15" x14ac:dyDescent="0.35">
      <c r="B959" s="7"/>
      <c r="C959" s="7"/>
      <c r="D959" s="7"/>
      <c r="E959" s="7"/>
      <c r="H959" s="7"/>
      <c r="I959" s="7"/>
      <c r="J959" s="48"/>
      <c r="K959" s="48"/>
      <c r="L959" s="48"/>
      <c r="M959" s="48"/>
      <c r="N959" s="48"/>
      <c r="O959" s="48"/>
      <c r="P959" s="48"/>
      <c r="Q959" s="7"/>
      <c r="R959" s="7"/>
      <c r="S959" s="7"/>
    </row>
    <row r="960" spans="2:19" ht="15" x14ac:dyDescent="0.35">
      <c r="B960" s="7"/>
      <c r="C960" s="7"/>
      <c r="D960" s="7"/>
      <c r="E960" s="7"/>
      <c r="H960" s="7"/>
      <c r="I960" s="7"/>
      <c r="J960" s="48"/>
      <c r="K960" s="48"/>
      <c r="L960" s="48"/>
      <c r="M960" s="48"/>
      <c r="N960" s="48"/>
      <c r="O960" s="48"/>
      <c r="P960" s="48"/>
      <c r="Q960" s="7"/>
      <c r="R960" s="7"/>
      <c r="S960" s="7"/>
    </row>
    <row r="961" spans="2:19" ht="15" x14ac:dyDescent="0.35">
      <c r="B961" s="7"/>
      <c r="C961" s="7"/>
      <c r="D961" s="7"/>
      <c r="E961" s="7"/>
      <c r="H961" s="7"/>
      <c r="I961" s="7"/>
      <c r="J961" s="48"/>
      <c r="K961" s="48"/>
      <c r="L961" s="48"/>
      <c r="M961" s="48"/>
      <c r="N961" s="48"/>
      <c r="O961" s="48"/>
      <c r="P961" s="48"/>
      <c r="Q961" s="7"/>
      <c r="R961" s="7"/>
      <c r="S961" s="7"/>
    </row>
    <row r="962" spans="2:19" ht="15" x14ac:dyDescent="0.35">
      <c r="B962" s="7"/>
      <c r="C962" s="7"/>
      <c r="D962" s="7"/>
      <c r="E962" s="7"/>
      <c r="H962" s="7"/>
      <c r="I962" s="7"/>
      <c r="J962" s="48"/>
      <c r="K962" s="48"/>
      <c r="L962" s="48"/>
      <c r="M962" s="48"/>
      <c r="N962" s="48"/>
      <c r="O962" s="48"/>
      <c r="P962" s="48"/>
      <c r="Q962" s="7"/>
      <c r="R962" s="7"/>
      <c r="S962" s="7"/>
    </row>
    <row r="963" spans="2:19" ht="15" x14ac:dyDescent="0.35">
      <c r="B963" s="7"/>
      <c r="C963" s="7"/>
      <c r="D963" s="7"/>
      <c r="E963" s="7"/>
      <c r="H963" s="7"/>
      <c r="I963" s="7"/>
      <c r="J963" s="48"/>
      <c r="K963" s="48"/>
      <c r="L963" s="48"/>
      <c r="M963" s="48"/>
      <c r="N963" s="48"/>
      <c r="O963" s="48"/>
      <c r="P963" s="48"/>
      <c r="Q963" s="7"/>
      <c r="R963" s="7"/>
      <c r="S963" s="7"/>
    </row>
    <row r="964" spans="2:19" ht="15" x14ac:dyDescent="0.35">
      <c r="B964" s="7"/>
      <c r="C964" s="7"/>
      <c r="D964" s="7"/>
      <c r="E964" s="7"/>
      <c r="H964" s="7"/>
      <c r="I964" s="7"/>
      <c r="J964" s="48"/>
      <c r="K964" s="48"/>
      <c r="L964" s="48"/>
      <c r="M964" s="48"/>
      <c r="N964" s="48"/>
      <c r="O964" s="48"/>
      <c r="P964" s="48"/>
      <c r="Q964" s="7"/>
      <c r="R964" s="7"/>
      <c r="S964" s="7"/>
    </row>
    <row r="965" spans="2:19" ht="15" x14ac:dyDescent="0.35">
      <c r="B965" s="7"/>
      <c r="C965" s="7"/>
      <c r="D965" s="7"/>
      <c r="E965" s="7"/>
      <c r="H965" s="7"/>
      <c r="I965" s="7"/>
      <c r="J965" s="48"/>
      <c r="K965" s="48"/>
      <c r="L965" s="48"/>
      <c r="M965" s="48"/>
      <c r="N965" s="48"/>
      <c r="O965" s="48"/>
      <c r="P965" s="48"/>
      <c r="Q965" s="7"/>
      <c r="R965" s="7"/>
      <c r="S965" s="7"/>
    </row>
    <row r="966" spans="2:19" ht="15" x14ac:dyDescent="0.35">
      <c r="B966" s="7"/>
      <c r="C966" s="7"/>
      <c r="D966" s="7"/>
      <c r="E966" s="7"/>
      <c r="H966" s="7"/>
      <c r="I966" s="7"/>
      <c r="J966" s="48"/>
      <c r="K966" s="48"/>
      <c r="L966" s="48"/>
      <c r="M966" s="48"/>
      <c r="N966" s="48"/>
      <c r="O966" s="48"/>
      <c r="P966" s="48"/>
      <c r="Q966" s="7"/>
      <c r="R966" s="7"/>
      <c r="S966" s="7"/>
    </row>
    <row r="967" spans="2:19" ht="15" x14ac:dyDescent="0.35">
      <c r="B967" s="7"/>
      <c r="C967" s="7"/>
      <c r="D967" s="7"/>
      <c r="E967" s="7"/>
      <c r="H967" s="7"/>
      <c r="I967" s="7"/>
      <c r="J967" s="48"/>
      <c r="K967" s="48"/>
      <c r="L967" s="48"/>
      <c r="M967" s="48"/>
      <c r="N967" s="48"/>
      <c r="O967" s="48"/>
      <c r="P967" s="48"/>
      <c r="Q967" s="7"/>
      <c r="R967" s="7"/>
      <c r="S967" s="7"/>
    </row>
    <row r="968" spans="2:19" ht="15" x14ac:dyDescent="0.35">
      <c r="B968" s="7"/>
      <c r="C968" s="7"/>
      <c r="D968" s="7"/>
      <c r="E968" s="7"/>
      <c r="H968" s="7"/>
      <c r="I968" s="7"/>
      <c r="J968" s="48"/>
      <c r="K968" s="48"/>
      <c r="L968" s="48"/>
      <c r="M968" s="48"/>
      <c r="N968" s="48"/>
      <c r="O968" s="48"/>
      <c r="P968" s="48"/>
      <c r="Q968" s="7"/>
      <c r="R968" s="7"/>
      <c r="S968" s="7"/>
    </row>
    <row r="969" spans="2:19" ht="15" x14ac:dyDescent="0.35">
      <c r="B969" s="7"/>
      <c r="C969" s="7"/>
      <c r="D969" s="7"/>
      <c r="E969" s="7"/>
      <c r="H969" s="7"/>
      <c r="I969" s="7"/>
      <c r="J969" s="48"/>
      <c r="K969" s="48"/>
      <c r="L969" s="48"/>
      <c r="M969" s="48"/>
      <c r="N969" s="48"/>
      <c r="O969" s="48"/>
      <c r="P969" s="48"/>
      <c r="Q969" s="7"/>
      <c r="R969" s="7"/>
      <c r="S969" s="7"/>
    </row>
    <row r="970" spans="2:19" ht="15" x14ac:dyDescent="0.35">
      <c r="B970" s="7"/>
      <c r="C970" s="7"/>
      <c r="D970" s="7"/>
      <c r="E970" s="7"/>
      <c r="H970" s="7"/>
      <c r="I970" s="7"/>
      <c r="J970" s="48"/>
      <c r="K970" s="48"/>
      <c r="L970" s="48"/>
      <c r="M970" s="48"/>
      <c r="N970" s="48"/>
      <c r="O970" s="48"/>
      <c r="P970" s="48"/>
      <c r="Q970" s="7"/>
      <c r="R970" s="7"/>
      <c r="S970" s="7"/>
    </row>
    <row r="971" spans="2:19" ht="15" x14ac:dyDescent="0.35">
      <c r="B971" s="7"/>
      <c r="C971" s="7"/>
      <c r="D971" s="7"/>
      <c r="E971" s="7"/>
      <c r="H971" s="7"/>
      <c r="I971" s="7"/>
      <c r="J971" s="48"/>
      <c r="K971" s="48"/>
      <c r="L971" s="48"/>
      <c r="M971" s="48"/>
      <c r="N971" s="48"/>
      <c r="O971" s="48"/>
      <c r="P971" s="48"/>
      <c r="Q971" s="7"/>
      <c r="R971" s="7"/>
      <c r="S971" s="7"/>
    </row>
    <row r="972" spans="2:19" ht="15" x14ac:dyDescent="0.35">
      <c r="B972" s="7"/>
      <c r="C972" s="7"/>
      <c r="D972" s="7"/>
      <c r="E972" s="7"/>
      <c r="H972" s="7"/>
      <c r="I972" s="7"/>
      <c r="J972" s="48"/>
      <c r="K972" s="48"/>
      <c r="L972" s="48"/>
      <c r="M972" s="48"/>
      <c r="N972" s="48"/>
      <c r="O972" s="48"/>
      <c r="P972" s="48"/>
      <c r="Q972" s="7"/>
      <c r="R972" s="7"/>
      <c r="S972" s="7"/>
    </row>
    <row r="973" spans="2:19" ht="15" x14ac:dyDescent="0.35">
      <c r="B973" s="7"/>
      <c r="C973" s="7"/>
      <c r="D973" s="7"/>
      <c r="E973" s="7"/>
      <c r="H973" s="7"/>
      <c r="I973" s="7"/>
      <c r="J973" s="48"/>
      <c r="K973" s="48"/>
      <c r="L973" s="48"/>
      <c r="M973" s="48"/>
      <c r="N973" s="48"/>
      <c r="O973" s="48"/>
      <c r="P973" s="48"/>
      <c r="Q973" s="7"/>
      <c r="R973" s="7"/>
      <c r="S973" s="7"/>
    </row>
    <row r="974" spans="2:19" ht="15" x14ac:dyDescent="0.35">
      <c r="B974" s="7"/>
      <c r="C974" s="7"/>
      <c r="D974" s="7"/>
      <c r="E974" s="7"/>
      <c r="H974" s="7"/>
      <c r="I974" s="7"/>
      <c r="J974" s="48"/>
      <c r="K974" s="48"/>
      <c r="L974" s="48"/>
      <c r="M974" s="48"/>
      <c r="N974" s="48"/>
      <c r="O974" s="48"/>
      <c r="P974" s="48"/>
      <c r="Q974" s="7"/>
      <c r="R974" s="7"/>
      <c r="S974" s="7"/>
    </row>
    <row r="975" spans="2:19" ht="15" x14ac:dyDescent="0.35">
      <c r="B975" s="7"/>
      <c r="C975" s="7"/>
      <c r="D975" s="7"/>
      <c r="E975" s="7"/>
      <c r="H975" s="7"/>
      <c r="I975" s="7"/>
      <c r="J975" s="48"/>
      <c r="K975" s="48"/>
      <c r="L975" s="48"/>
      <c r="M975" s="48"/>
      <c r="N975" s="48"/>
      <c r="O975" s="48"/>
      <c r="P975" s="48"/>
      <c r="Q975" s="7"/>
      <c r="R975" s="7"/>
      <c r="S975" s="7"/>
    </row>
    <row r="976" spans="2:19" ht="15" x14ac:dyDescent="0.35">
      <c r="B976" s="7"/>
      <c r="C976" s="7"/>
      <c r="D976" s="7"/>
      <c r="E976" s="7"/>
      <c r="H976" s="7"/>
      <c r="I976" s="7"/>
      <c r="J976" s="48"/>
      <c r="K976" s="48"/>
      <c r="L976" s="48"/>
      <c r="M976" s="48"/>
      <c r="N976" s="48"/>
      <c r="O976" s="48"/>
      <c r="P976" s="48"/>
      <c r="Q976" s="7"/>
      <c r="R976" s="7"/>
      <c r="S976" s="7"/>
    </row>
    <row r="977" spans="2:19" ht="15" x14ac:dyDescent="0.35">
      <c r="B977" s="7"/>
      <c r="C977" s="7"/>
      <c r="D977" s="7"/>
      <c r="E977" s="7"/>
      <c r="H977" s="7"/>
      <c r="I977" s="7"/>
      <c r="J977" s="48"/>
      <c r="K977" s="48"/>
      <c r="L977" s="48"/>
      <c r="M977" s="48"/>
      <c r="N977" s="48"/>
      <c r="O977" s="48"/>
      <c r="P977" s="48"/>
      <c r="Q977" s="7"/>
      <c r="R977" s="7"/>
      <c r="S977" s="7"/>
    </row>
    <row r="978" spans="2:19" ht="15" x14ac:dyDescent="0.35">
      <c r="B978" s="7"/>
      <c r="C978" s="7"/>
      <c r="D978" s="7"/>
      <c r="E978" s="7"/>
      <c r="H978" s="7"/>
      <c r="I978" s="7"/>
      <c r="J978" s="48"/>
      <c r="K978" s="48"/>
      <c r="L978" s="48"/>
      <c r="M978" s="48"/>
      <c r="N978" s="48"/>
      <c r="O978" s="48"/>
      <c r="P978" s="48"/>
      <c r="Q978" s="7"/>
      <c r="R978" s="7"/>
      <c r="S978" s="7"/>
    </row>
    <row r="979" spans="2:19" ht="15" x14ac:dyDescent="0.35">
      <c r="B979" s="7"/>
      <c r="C979" s="7"/>
      <c r="D979" s="7"/>
      <c r="E979" s="7"/>
      <c r="H979" s="7"/>
      <c r="I979" s="7"/>
      <c r="J979" s="48"/>
      <c r="K979" s="48"/>
      <c r="L979" s="48"/>
      <c r="M979" s="48"/>
      <c r="N979" s="48"/>
      <c r="O979" s="48"/>
      <c r="P979" s="48"/>
      <c r="Q979" s="7"/>
      <c r="R979" s="7"/>
      <c r="S979" s="7"/>
    </row>
    <row r="980" spans="2:19" ht="15" x14ac:dyDescent="0.35">
      <c r="B980" s="7"/>
      <c r="C980" s="7"/>
      <c r="D980" s="7"/>
      <c r="E980" s="7"/>
      <c r="H980" s="7"/>
      <c r="I980" s="7"/>
      <c r="J980" s="48"/>
      <c r="K980" s="48"/>
      <c r="L980" s="48"/>
      <c r="M980" s="48"/>
      <c r="N980" s="48"/>
      <c r="O980" s="48"/>
      <c r="P980" s="48"/>
      <c r="Q980" s="7"/>
      <c r="R980" s="7"/>
      <c r="S980" s="7"/>
    </row>
    <row r="981" spans="2:19" ht="15" x14ac:dyDescent="0.35">
      <c r="B981" s="7"/>
      <c r="C981" s="7"/>
      <c r="D981" s="7"/>
      <c r="E981" s="7"/>
      <c r="H981" s="7"/>
      <c r="I981" s="7"/>
      <c r="J981" s="48"/>
      <c r="K981" s="48"/>
      <c r="L981" s="48"/>
      <c r="M981" s="48"/>
      <c r="N981" s="48"/>
      <c r="O981" s="48"/>
      <c r="P981" s="48"/>
      <c r="Q981" s="7"/>
      <c r="R981" s="7"/>
      <c r="S981" s="7"/>
    </row>
    <row r="982" spans="2:19" ht="15" x14ac:dyDescent="0.35">
      <c r="B982" s="7"/>
      <c r="C982" s="7"/>
      <c r="D982" s="7"/>
      <c r="E982" s="7"/>
      <c r="H982" s="7"/>
      <c r="I982" s="7"/>
      <c r="J982" s="48"/>
      <c r="K982" s="48"/>
      <c r="L982" s="48"/>
      <c r="M982" s="48"/>
      <c r="N982" s="48"/>
      <c r="O982" s="48"/>
      <c r="P982" s="48"/>
      <c r="Q982" s="7"/>
      <c r="R982" s="7"/>
      <c r="S982" s="7"/>
    </row>
    <row r="983" spans="2:19" ht="15" x14ac:dyDescent="0.35">
      <c r="B983" s="7"/>
      <c r="C983" s="7"/>
      <c r="D983" s="7"/>
      <c r="E983" s="7"/>
      <c r="H983" s="7"/>
      <c r="I983" s="7"/>
      <c r="J983" s="48"/>
      <c r="K983" s="48"/>
      <c r="L983" s="48"/>
      <c r="M983" s="48"/>
      <c r="N983" s="48"/>
      <c r="O983" s="48"/>
      <c r="P983" s="48"/>
      <c r="Q983" s="7"/>
      <c r="R983" s="7"/>
      <c r="S983" s="7"/>
    </row>
    <row r="984" spans="2:19" ht="15" x14ac:dyDescent="0.35">
      <c r="B984" s="7"/>
      <c r="C984" s="7"/>
      <c r="D984" s="7"/>
      <c r="E984" s="7"/>
      <c r="H984" s="7"/>
      <c r="I984" s="7"/>
      <c r="J984" s="48"/>
      <c r="K984" s="48"/>
      <c r="L984" s="48"/>
      <c r="M984" s="48"/>
      <c r="N984" s="48"/>
      <c r="O984" s="48"/>
      <c r="P984" s="48"/>
      <c r="Q984" s="7"/>
      <c r="R984" s="7"/>
      <c r="S984" s="7"/>
    </row>
    <row r="985" spans="2:19" ht="15" x14ac:dyDescent="0.35">
      <c r="B985" s="7"/>
      <c r="C985" s="7"/>
      <c r="D985" s="7"/>
      <c r="E985" s="7"/>
      <c r="H985" s="7"/>
      <c r="I985" s="7"/>
      <c r="J985" s="48"/>
      <c r="K985" s="48"/>
      <c r="L985" s="48"/>
      <c r="M985" s="48"/>
      <c r="N985" s="48"/>
      <c r="O985" s="48"/>
      <c r="P985" s="48"/>
      <c r="Q985" s="7"/>
      <c r="R985" s="7"/>
      <c r="S985" s="7"/>
    </row>
    <row r="986" spans="2:19" ht="15" x14ac:dyDescent="0.35">
      <c r="B986" s="7"/>
      <c r="C986" s="7"/>
      <c r="D986" s="7"/>
      <c r="E986" s="7"/>
      <c r="H986" s="7"/>
      <c r="I986" s="7"/>
      <c r="J986" s="48"/>
      <c r="K986" s="48"/>
      <c r="L986" s="48"/>
      <c r="M986" s="48"/>
      <c r="N986" s="48"/>
      <c r="O986" s="48"/>
      <c r="P986" s="48"/>
      <c r="Q986" s="7"/>
      <c r="R986" s="7"/>
      <c r="S986" s="7"/>
    </row>
    <row r="987" spans="2:19" ht="15" x14ac:dyDescent="0.35">
      <c r="B987" s="7"/>
      <c r="C987" s="7"/>
      <c r="D987" s="7"/>
      <c r="E987" s="7"/>
      <c r="H987" s="7"/>
      <c r="I987" s="7"/>
      <c r="J987" s="48"/>
      <c r="K987" s="48"/>
      <c r="L987" s="48"/>
      <c r="M987" s="48"/>
      <c r="N987" s="48"/>
      <c r="O987" s="48"/>
      <c r="P987" s="48"/>
      <c r="Q987" s="7"/>
      <c r="R987" s="7"/>
      <c r="S987" s="7"/>
    </row>
    <row r="988" spans="2:19" ht="15" x14ac:dyDescent="0.35">
      <c r="B988" s="7"/>
      <c r="C988" s="7"/>
      <c r="D988" s="7"/>
      <c r="E988" s="7"/>
      <c r="H988" s="7"/>
      <c r="I988" s="7"/>
      <c r="J988" s="48"/>
      <c r="K988" s="48"/>
      <c r="L988" s="48"/>
      <c r="M988" s="48"/>
      <c r="N988" s="48"/>
      <c r="O988" s="48"/>
      <c r="P988" s="48"/>
      <c r="Q988" s="7"/>
      <c r="R988" s="7"/>
      <c r="S988" s="7"/>
    </row>
    <row r="989" spans="2:19" ht="15" x14ac:dyDescent="0.35">
      <c r="B989" s="7"/>
      <c r="C989" s="7"/>
      <c r="D989" s="7"/>
      <c r="E989" s="7"/>
      <c r="H989" s="7"/>
      <c r="I989" s="7"/>
      <c r="J989" s="48"/>
      <c r="K989" s="48"/>
      <c r="L989" s="48"/>
      <c r="M989" s="48"/>
      <c r="N989" s="48"/>
      <c r="O989" s="48"/>
      <c r="P989" s="48"/>
      <c r="Q989" s="7"/>
      <c r="R989" s="7"/>
      <c r="S989" s="7"/>
    </row>
    <row r="990" spans="2:19" ht="15" x14ac:dyDescent="0.35">
      <c r="B990" s="7"/>
      <c r="C990" s="7"/>
      <c r="D990" s="7"/>
      <c r="E990" s="7"/>
      <c r="H990" s="7"/>
      <c r="I990" s="7"/>
      <c r="J990" s="48"/>
      <c r="K990" s="48"/>
      <c r="L990" s="48"/>
      <c r="M990" s="48"/>
      <c r="N990" s="48"/>
      <c r="O990" s="48"/>
      <c r="P990" s="48"/>
      <c r="Q990" s="7"/>
      <c r="R990" s="7"/>
      <c r="S990" s="7"/>
    </row>
    <row r="991" spans="2:19" ht="15" x14ac:dyDescent="0.35">
      <c r="B991" s="7"/>
      <c r="C991" s="7"/>
      <c r="D991" s="7"/>
      <c r="E991" s="7"/>
      <c r="H991" s="7"/>
      <c r="I991" s="7"/>
      <c r="J991" s="48"/>
      <c r="K991" s="48"/>
      <c r="L991" s="48"/>
      <c r="M991" s="48"/>
      <c r="N991" s="48"/>
      <c r="O991" s="48"/>
      <c r="P991" s="48"/>
      <c r="Q991" s="7"/>
      <c r="R991" s="7"/>
      <c r="S991" s="7"/>
    </row>
    <row r="992" spans="2:19" ht="15" x14ac:dyDescent="0.35">
      <c r="B992" s="7"/>
      <c r="C992" s="7"/>
      <c r="D992" s="7"/>
      <c r="E992" s="7"/>
      <c r="H992" s="7"/>
      <c r="I992" s="7"/>
      <c r="J992" s="48"/>
      <c r="K992" s="48"/>
      <c r="L992" s="48"/>
      <c r="M992" s="48"/>
      <c r="N992" s="48"/>
      <c r="O992" s="48"/>
      <c r="P992" s="48"/>
      <c r="Q992" s="7"/>
      <c r="R992" s="7"/>
      <c r="S992" s="7"/>
    </row>
    <row r="993" spans="2:5" ht="15" x14ac:dyDescent="0.35">
      <c r="B993" s="7"/>
      <c r="C993" s="7"/>
      <c r="D993" s="7"/>
      <c r="E993" s="7"/>
    </row>
    <row r="994" spans="2:5" ht="15" x14ac:dyDescent="0.35">
      <c r="B994" s="7"/>
      <c r="C994" s="7"/>
      <c r="D994" s="7"/>
      <c r="E994" s="7"/>
    </row>
    <row r="995" spans="2:5" ht="15" x14ac:dyDescent="0.35">
      <c r="B995" s="7"/>
      <c r="C995" s="7"/>
      <c r="D995" s="7"/>
      <c r="E995" s="7"/>
    </row>
    <row r="996" spans="2:5" ht="15" x14ac:dyDescent="0.35">
      <c r="B996" s="7"/>
      <c r="C996" s="7"/>
      <c r="D996" s="7"/>
      <c r="E996" s="7"/>
    </row>
    <row r="997" spans="2:5" ht="15" x14ac:dyDescent="0.35">
      <c r="B997" s="7"/>
      <c r="C997" s="7"/>
      <c r="D997" s="7"/>
      <c r="E997" s="7"/>
    </row>
    <row r="998" spans="2:5" ht="15" x14ac:dyDescent="0.35">
      <c r="B998" s="7"/>
      <c r="C998" s="7"/>
      <c r="D998" s="7"/>
      <c r="E998" s="7"/>
    </row>
    <row r="999" spans="2:5" ht="15" x14ac:dyDescent="0.35">
      <c r="B999" s="7"/>
      <c r="C999" s="7"/>
      <c r="D999" s="7"/>
      <c r="E999" s="7"/>
    </row>
    <row r="1000" spans="2:5" ht="15" x14ac:dyDescent="0.35">
      <c r="B1000" s="7"/>
      <c r="C1000" s="7"/>
      <c r="D1000" s="7"/>
      <c r="E1000" s="7"/>
    </row>
    <row r="1001" spans="2:5" ht="15" x14ac:dyDescent="0.35">
      <c r="B1001" s="7"/>
      <c r="C1001" s="7"/>
      <c r="D1001" s="7"/>
      <c r="E1001" s="7"/>
    </row>
    <row r="1002" spans="2:5" ht="15" x14ac:dyDescent="0.35">
      <c r="B1002" s="7"/>
      <c r="C1002" s="7"/>
      <c r="D1002" s="7"/>
      <c r="E1002" s="7"/>
    </row>
    <row r="1003" spans="2:5" ht="15" x14ac:dyDescent="0.35">
      <c r="B1003" s="7"/>
      <c r="C1003" s="7"/>
      <c r="D1003" s="7"/>
      <c r="E1003" s="7"/>
    </row>
    <row r="1004" spans="2:5" ht="15" x14ac:dyDescent="0.35">
      <c r="B1004" s="7"/>
      <c r="C1004" s="7"/>
      <c r="D1004" s="7"/>
      <c r="E1004" s="7"/>
    </row>
    <row r="1005" spans="2:5" ht="15" x14ac:dyDescent="0.35">
      <c r="B1005" s="7"/>
      <c r="C1005" s="7"/>
      <c r="D1005" s="7"/>
      <c r="E1005" s="7"/>
    </row>
  </sheetData>
  <printOptions horizontalCentered="1" gridLines="1"/>
  <pageMargins left="0.7" right="0.7" top="0.75" bottom="0.75" header="0" footer="0"/>
  <pageSetup paperSize="3" fitToHeight="0" pageOrder="overThenDown" orientation="landscape" cellComments="atEnd"/>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Z1000"/>
  <sheetViews>
    <sheetView topLeftCell="D1" workbookViewId="0">
      <selection activeCell="O27" sqref="O27"/>
    </sheetView>
  </sheetViews>
  <sheetFormatPr defaultColWidth="12.61328125" defaultRowHeight="15.75" customHeight="1" x14ac:dyDescent="0.35"/>
  <cols>
    <col min="1" max="1" width="10.3828125" customWidth="1"/>
    <col min="2" max="2" width="10.4609375" customWidth="1"/>
    <col min="3" max="3" width="45.84375" customWidth="1"/>
    <col min="4" max="4" width="44" customWidth="1"/>
    <col min="5" max="5" width="22.23046875" customWidth="1"/>
    <col min="6" max="6" width="15.23046875" customWidth="1"/>
    <col min="7" max="7" width="15.3828125" customWidth="1"/>
    <col min="8" max="8" width="6.61328125" customWidth="1"/>
    <col min="9" max="9" width="20.23046875" customWidth="1"/>
    <col min="10" max="10" width="13.4609375" style="43" customWidth="1"/>
    <col min="11" max="11" width="8.53515625" style="43" customWidth="1"/>
    <col min="12" max="12" width="5.23046875" style="43" customWidth="1"/>
    <col min="13" max="13" width="5.765625" style="43" customWidth="1"/>
    <col min="14" max="14" width="18.23046875" style="43" customWidth="1"/>
    <col min="15" max="15" width="19.23046875" style="43" customWidth="1"/>
    <col min="16" max="16" width="19.61328125" style="43" customWidth="1"/>
  </cols>
  <sheetData>
    <row r="1" spans="1:26" ht="15.75" customHeight="1" x14ac:dyDescent="0.45">
      <c r="A1" s="18" t="s">
        <v>1870</v>
      </c>
      <c r="B1" s="18" t="s">
        <v>1871</v>
      </c>
      <c r="C1" s="18" t="s">
        <v>1872</v>
      </c>
      <c r="D1" s="18" t="s">
        <v>1873</v>
      </c>
      <c r="E1" s="18" t="s">
        <v>1565</v>
      </c>
      <c r="F1" s="18" t="s">
        <v>1996</v>
      </c>
      <c r="G1" s="18" t="s">
        <v>1998</v>
      </c>
      <c r="H1" s="1" t="s">
        <v>1853</v>
      </c>
      <c r="I1" s="1" t="s">
        <v>1854</v>
      </c>
      <c r="J1" s="40" t="s">
        <v>1855</v>
      </c>
      <c r="K1" s="40" t="s">
        <v>1856</v>
      </c>
      <c r="L1" s="40" t="s">
        <v>1857</v>
      </c>
      <c r="M1" s="40" t="s">
        <v>1858</v>
      </c>
      <c r="N1" s="40" t="s">
        <v>1859</v>
      </c>
      <c r="O1" s="40" t="s">
        <v>1860</v>
      </c>
      <c r="P1" s="40" t="s">
        <v>1861</v>
      </c>
      <c r="Q1" s="27"/>
      <c r="R1" s="28"/>
      <c r="S1" s="20"/>
      <c r="T1" s="20"/>
      <c r="U1" s="20"/>
      <c r="V1" s="20"/>
      <c r="W1" s="20"/>
      <c r="X1" s="20"/>
      <c r="Y1" s="20"/>
      <c r="Z1" s="20"/>
    </row>
    <row r="2" spans="1:26" ht="15.75" customHeight="1" x14ac:dyDescent="0.4">
      <c r="A2" s="8" t="s">
        <v>45</v>
      </c>
      <c r="B2" s="8" t="s">
        <v>87</v>
      </c>
      <c r="C2" s="8" t="s">
        <v>46</v>
      </c>
      <c r="D2" s="8" t="s">
        <v>88</v>
      </c>
      <c r="E2" s="8" t="s">
        <v>47</v>
      </c>
      <c r="F2" s="8" t="s">
        <v>1520</v>
      </c>
      <c r="G2" s="8" t="s">
        <v>1520</v>
      </c>
      <c r="H2" s="23" t="str">
        <f t="shared" ref="H2:H372" si="0">IF(F2=G2,"Yes","No")</f>
        <v>Yes</v>
      </c>
      <c r="I2" s="4" t="str">
        <f t="shared" ref="I2:I372" si="1">IF(AND(F2="Yes",G2="Yes"),"TP",IF(AND(F2="No",G2="No"),"TN",IF(AND(F2="No",G2="Yes"),"FP",IF(AND(F2="Yes",G2="No"),"FN",""))))</f>
        <v>TN</v>
      </c>
      <c r="J2" s="41">
        <f>COUNTIF(I:I,"TP")</f>
        <v>25</v>
      </c>
      <c r="K2" s="41">
        <f>COUNTIF(I:I,"TN")</f>
        <v>322</v>
      </c>
      <c r="L2" s="41">
        <f>COUNTIF(I:I,"FP")</f>
        <v>14</v>
      </c>
      <c r="M2" s="44">
        <f>COUNTIF(I:I,"FN")</f>
        <v>10</v>
      </c>
      <c r="N2" s="45">
        <f>J2/(J2+L2)</f>
        <v>0.64102564102564108</v>
      </c>
      <c r="O2" s="44">
        <f>J2/(J2+M2)</f>
        <v>0.7142857142857143</v>
      </c>
      <c r="P2" s="44">
        <f>2*((N2*O2)/(N2+O2))</f>
        <v>0.67567567567567566</v>
      </c>
    </row>
    <row r="3" spans="1:26" ht="15.75" customHeight="1" x14ac:dyDescent="0.4">
      <c r="A3" s="8" t="s">
        <v>45</v>
      </c>
      <c r="B3" s="8" t="s">
        <v>104</v>
      </c>
      <c r="C3" s="8" t="s">
        <v>46</v>
      </c>
      <c r="D3" s="8" t="s">
        <v>105</v>
      </c>
      <c r="E3" s="8" t="s">
        <v>47</v>
      </c>
      <c r="F3" s="8" t="s">
        <v>1520</v>
      </c>
      <c r="G3" s="8" t="s">
        <v>1520</v>
      </c>
      <c r="H3" s="23" t="str">
        <f t="shared" si="0"/>
        <v>Yes</v>
      </c>
      <c r="I3" s="4" t="str">
        <f t="shared" si="1"/>
        <v>TN</v>
      </c>
      <c r="J3" s="42"/>
      <c r="K3" s="42"/>
      <c r="L3" s="42"/>
      <c r="N3" s="46"/>
    </row>
    <row r="4" spans="1:26" ht="15.75" customHeight="1" x14ac:dyDescent="0.4">
      <c r="A4" s="8" t="s">
        <v>45</v>
      </c>
      <c r="B4" s="8" t="s">
        <v>107</v>
      </c>
      <c r="C4" s="8" t="s">
        <v>46</v>
      </c>
      <c r="D4" s="8" t="s">
        <v>108</v>
      </c>
      <c r="E4" s="8" t="s">
        <v>47</v>
      </c>
      <c r="F4" s="8" t="s">
        <v>1520</v>
      </c>
      <c r="G4" s="8" t="s">
        <v>1520</v>
      </c>
      <c r="H4" s="23" t="str">
        <f t="shared" si="0"/>
        <v>Yes</v>
      </c>
      <c r="I4" s="4" t="str">
        <f t="shared" si="1"/>
        <v>TN</v>
      </c>
      <c r="J4" s="42"/>
      <c r="K4" s="42"/>
      <c r="L4" s="42"/>
      <c r="N4" s="46"/>
    </row>
    <row r="5" spans="1:26" ht="15.75" customHeight="1" x14ac:dyDescent="0.4">
      <c r="A5" s="8" t="s">
        <v>87</v>
      </c>
      <c r="B5" s="8" t="s">
        <v>104</v>
      </c>
      <c r="C5" s="8" t="s">
        <v>88</v>
      </c>
      <c r="D5" s="8" t="s">
        <v>105</v>
      </c>
      <c r="E5" s="8" t="s">
        <v>47</v>
      </c>
      <c r="F5" s="8" t="s">
        <v>1520</v>
      </c>
      <c r="G5" s="8" t="s">
        <v>1520</v>
      </c>
      <c r="H5" s="23" t="str">
        <f t="shared" si="0"/>
        <v>Yes</v>
      </c>
      <c r="I5" s="4" t="str">
        <f t="shared" si="1"/>
        <v>TN</v>
      </c>
      <c r="J5" s="42"/>
      <c r="K5" s="42"/>
      <c r="L5" s="42"/>
      <c r="N5" s="46"/>
    </row>
    <row r="6" spans="1:26" ht="15.75" customHeight="1" x14ac:dyDescent="0.4">
      <c r="A6" s="8" t="s">
        <v>87</v>
      </c>
      <c r="B6" s="8" t="s">
        <v>107</v>
      </c>
      <c r="C6" s="8" t="s">
        <v>88</v>
      </c>
      <c r="D6" s="8" t="s">
        <v>108</v>
      </c>
      <c r="E6" s="8" t="s">
        <v>47</v>
      </c>
      <c r="F6" s="8" t="s">
        <v>1520</v>
      </c>
      <c r="G6" s="8" t="s">
        <v>1520</v>
      </c>
      <c r="H6" s="23" t="str">
        <f t="shared" si="0"/>
        <v>Yes</v>
      </c>
      <c r="I6" s="4" t="str">
        <f t="shared" si="1"/>
        <v>TN</v>
      </c>
      <c r="J6" s="42"/>
      <c r="K6" s="42"/>
      <c r="L6" s="42"/>
      <c r="N6" s="46"/>
    </row>
    <row r="7" spans="1:26" ht="15.75" customHeight="1" x14ac:dyDescent="0.4">
      <c r="A7" s="8" t="s">
        <v>104</v>
      </c>
      <c r="B7" s="8" t="s">
        <v>107</v>
      </c>
      <c r="C7" s="8" t="s">
        <v>105</v>
      </c>
      <c r="D7" s="8" t="s">
        <v>108</v>
      </c>
      <c r="E7" s="8" t="s">
        <v>47</v>
      </c>
      <c r="F7" s="8" t="s">
        <v>1520</v>
      </c>
      <c r="G7" s="8" t="s">
        <v>1520</v>
      </c>
      <c r="H7" s="23" t="str">
        <f t="shared" si="0"/>
        <v>Yes</v>
      </c>
      <c r="I7" s="4" t="str">
        <f t="shared" si="1"/>
        <v>TN</v>
      </c>
      <c r="J7" s="42"/>
      <c r="K7" s="42"/>
      <c r="L7" s="42"/>
      <c r="N7" s="46"/>
    </row>
    <row r="8" spans="1:26" ht="15.75" customHeight="1" x14ac:dyDescent="0.4">
      <c r="A8" s="8" t="s">
        <v>1068</v>
      </c>
      <c r="B8" s="8" t="s">
        <v>1089</v>
      </c>
      <c r="C8" s="8" t="s">
        <v>1033</v>
      </c>
      <c r="D8" s="8" t="s">
        <v>1062</v>
      </c>
      <c r="E8" s="8" t="s">
        <v>21</v>
      </c>
      <c r="F8" s="8" t="s">
        <v>1520</v>
      </c>
      <c r="G8" s="8" t="s">
        <v>1522</v>
      </c>
      <c r="H8" s="23" t="str">
        <f t="shared" si="0"/>
        <v>No</v>
      </c>
      <c r="I8" s="4" t="str">
        <f t="shared" si="1"/>
        <v>FP</v>
      </c>
      <c r="J8" s="42"/>
      <c r="K8" s="42"/>
      <c r="L8" s="42"/>
      <c r="N8" s="46"/>
    </row>
    <row r="9" spans="1:26" ht="15.75" customHeight="1" x14ac:dyDescent="0.4">
      <c r="A9" s="8" t="s">
        <v>1068</v>
      </c>
      <c r="B9" s="8" t="s">
        <v>1100</v>
      </c>
      <c r="C9" s="8" t="s">
        <v>1033</v>
      </c>
      <c r="D9" s="8" t="s">
        <v>1070</v>
      </c>
      <c r="E9" s="8" t="s">
        <v>21</v>
      </c>
      <c r="F9" s="8" t="s">
        <v>1520</v>
      </c>
      <c r="G9" s="8" t="s">
        <v>1522</v>
      </c>
      <c r="H9" s="23" t="str">
        <f t="shared" si="0"/>
        <v>No</v>
      </c>
      <c r="I9" s="4" t="str">
        <f t="shared" si="1"/>
        <v>FP</v>
      </c>
      <c r="J9" s="42"/>
      <c r="K9" s="42"/>
      <c r="L9" s="42"/>
      <c r="N9" s="46"/>
    </row>
    <row r="10" spans="1:26" ht="15.75" customHeight="1" x14ac:dyDescent="0.4">
      <c r="A10" s="8" t="s">
        <v>1089</v>
      </c>
      <c r="B10" s="8" t="s">
        <v>1100</v>
      </c>
      <c r="C10" s="8" t="s">
        <v>1062</v>
      </c>
      <c r="D10" s="8" t="s">
        <v>1070</v>
      </c>
      <c r="E10" s="8" t="s">
        <v>21</v>
      </c>
      <c r="F10" s="8" t="s">
        <v>1520</v>
      </c>
      <c r="G10" s="8" t="s">
        <v>1522</v>
      </c>
      <c r="H10" s="23" t="str">
        <f t="shared" si="0"/>
        <v>No</v>
      </c>
      <c r="I10" s="4" t="str">
        <f t="shared" si="1"/>
        <v>FP</v>
      </c>
      <c r="J10" s="42"/>
      <c r="K10" s="42"/>
      <c r="L10" s="42"/>
      <c r="N10" s="46"/>
    </row>
    <row r="11" spans="1:26" ht="15.75" customHeight="1" x14ac:dyDescent="0.4">
      <c r="A11" s="8" t="s">
        <v>19</v>
      </c>
      <c r="B11" s="8" t="s">
        <v>35</v>
      </c>
      <c r="C11" s="8" t="s">
        <v>20</v>
      </c>
      <c r="D11" s="8" t="s">
        <v>36</v>
      </c>
      <c r="E11" s="8" t="s">
        <v>21</v>
      </c>
      <c r="F11" s="8" t="s">
        <v>1520</v>
      </c>
      <c r="G11" s="8" t="s">
        <v>1520</v>
      </c>
      <c r="H11" s="23" t="str">
        <f t="shared" si="0"/>
        <v>Yes</v>
      </c>
      <c r="I11" s="4" t="str">
        <f t="shared" si="1"/>
        <v>TN</v>
      </c>
      <c r="J11" s="42"/>
      <c r="K11" s="42"/>
      <c r="L11" s="42"/>
      <c r="N11" s="46"/>
    </row>
    <row r="12" spans="1:26" ht="15.75" customHeight="1" x14ac:dyDescent="0.4">
      <c r="A12" s="8" t="s">
        <v>19</v>
      </c>
      <c r="B12" s="8" t="s">
        <v>152</v>
      </c>
      <c r="C12" s="8" t="s">
        <v>20</v>
      </c>
      <c r="D12" s="8" t="s">
        <v>11</v>
      </c>
      <c r="E12" s="8" t="s">
        <v>21</v>
      </c>
      <c r="F12" s="8" t="s">
        <v>1520</v>
      </c>
      <c r="G12" s="8" t="s">
        <v>1520</v>
      </c>
      <c r="H12" s="23" t="str">
        <f t="shared" si="0"/>
        <v>Yes</v>
      </c>
      <c r="I12" s="4" t="str">
        <f t="shared" si="1"/>
        <v>TN</v>
      </c>
      <c r="J12" s="42"/>
      <c r="K12" s="42"/>
      <c r="L12" s="42"/>
      <c r="N12" s="46"/>
    </row>
    <row r="13" spans="1:26" ht="15.75" customHeight="1" x14ac:dyDescent="0.4">
      <c r="A13" s="8" t="s">
        <v>19</v>
      </c>
      <c r="B13" s="8" t="s">
        <v>1417</v>
      </c>
      <c r="C13" s="8" t="s">
        <v>20</v>
      </c>
      <c r="D13" s="8" t="s">
        <v>1355</v>
      </c>
      <c r="E13" s="8" t="s">
        <v>21</v>
      </c>
      <c r="F13" s="8" t="s">
        <v>1520</v>
      </c>
      <c r="G13" s="8" t="s">
        <v>1520</v>
      </c>
      <c r="H13" s="23" t="str">
        <f t="shared" si="0"/>
        <v>Yes</v>
      </c>
      <c r="I13" s="4" t="str">
        <f t="shared" si="1"/>
        <v>TN</v>
      </c>
      <c r="J13" s="42"/>
      <c r="K13" s="42"/>
      <c r="L13" s="42"/>
      <c r="N13" s="46"/>
    </row>
    <row r="14" spans="1:26" ht="15.75" customHeight="1" x14ac:dyDescent="0.4">
      <c r="A14" s="8" t="s">
        <v>19</v>
      </c>
      <c r="B14" s="8" t="s">
        <v>1039</v>
      </c>
      <c r="C14" s="8" t="s">
        <v>20</v>
      </c>
      <c r="D14" s="8" t="s">
        <v>1040</v>
      </c>
      <c r="E14" s="8" t="s">
        <v>21</v>
      </c>
      <c r="F14" s="8" t="s">
        <v>1520</v>
      </c>
      <c r="G14" s="8" t="s">
        <v>1520</v>
      </c>
      <c r="H14" s="23" t="str">
        <f t="shared" si="0"/>
        <v>Yes</v>
      </c>
      <c r="I14" s="4" t="str">
        <f t="shared" si="1"/>
        <v>TN</v>
      </c>
      <c r="J14" s="42"/>
      <c r="K14" s="42"/>
      <c r="L14" s="42"/>
      <c r="N14" s="46"/>
    </row>
    <row r="15" spans="1:26" ht="15.75" customHeight="1" x14ac:dyDescent="0.4">
      <c r="A15" s="8" t="s">
        <v>19</v>
      </c>
      <c r="B15" s="8" t="s">
        <v>1068</v>
      </c>
      <c r="C15" s="8" t="s">
        <v>20</v>
      </c>
      <c r="D15" s="8" t="s">
        <v>1033</v>
      </c>
      <c r="E15" s="8" t="s">
        <v>21</v>
      </c>
      <c r="F15" s="8" t="s">
        <v>1520</v>
      </c>
      <c r="G15" s="8" t="s">
        <v>1520</v>
      </c>
      <c r="H15" s="23" t="str">
        <f t="shared" si="0"/>
        <v>Yes</v>
      </c>
      <c r="I15" s="4" t="str">
        <f t="shared" si="1"/>
        <v>TN</v>
      </c>
      <c r="J15" s="42"/>
      <c r="K15" s="42"/>
      <c r="L15" s="42"/>
      <c r="N15" s="46"/>
    </row>
    <row r="16" spans="1:26" ht="15.75" customHeight="1" x14ac:dyDescent="0.4">
      <c r="A16" s="8" t="s">
        <v>19</v>
      </c>
      <c r="B16" s="8" t="s">
        <v>1089</v>
      </c>
      <c r="C16" s="8" t="s">
        <v>20</v>
      </c>
      <c r="D16" s="8" t="s">
        <v>1062</v>
      </c>
      <c r="E16" s="8" t="s">
        <v>21</v>
      </c>
      <c r="F16" s="8" t="s">
        <v>1520</v>
      </c>
      <c r="G16" s="8" t="s">
        <v>1520</v>
      </c>
      <c r="H16" s="23" t="str">
        <f t="shared" si="0"/>
        <v>Yes</v>
      </c>
      <c r="I16" s="4" t="str">
        <f t="shared" si="1"/>
        <v>TN</v>
      </c>
      <c r="J16" s="42"/>
      <c r="K16" s="42"/>
      <c r="L16" s="42"/>
      <c r="N16" s="46"/>
    </row>
    <row r="17" spans="1:26" ht="15.75" customHeight="1" x14ac:dyDescent="0.4">
      <c r="A17" s="8" t="s">
        <v>19</v>
      </c>
      <c r="B17" s="8" t="s">
        <v>1100</v>
      </c>
      <c r="C17" s="8" t="s">
        <v>20</v>
      </c>
      <c r="D17" s="8" t="s">
        <v>1070</v>
      </c>
      <c r="E17" s="8" t="s">
        <v>21</v>
      </c>
      <c r="F17" s="8" t="s">
        <v>1520</v>
      </c>
      <c r="G17" s="8" t="s">
        <v>1520</v>
      </c>
      <c r="H17" s="23" t="str">
        <f t="shared" si="0"/>
        <v>Yes</v>
      </c>
      <c r="I17" s="4" t="str">
        <f t="shared" si="1"/>
        <v>TN</v>
      </c>
      <c r="J17" s="42"/>
      <c r="K17" s="42"/>
      <c r="L17" s="42"/>
      <c r="N17" s="46"/>
      <c r="O17" s="40"/>
      <c r="P17" s="47"/>
      <c r="Q17" s="25"/>
      <c r="R17" s="25"/>
      <c r="S17" s="25"/>
      <c r="T17" s="25"/>
      <c r="U17" s="25"/>
      <c r="V17" s="25"/>
      <c r="W17" s="25"/>
      <c r="X17" s="25"/>
      <c r="Y17" s="25"/>
      <c r="Z17" s="25"/>
    </row>
    <row r="18" spans="1:26" ht="15.75" customHeight="1" x14ac:dyDescent="0.4">
      <c r="A18" s="8" t="s">
        <v>35</v>
      </c>
      <c r="B18" s="8" t="s">
        <v>152</v>
      </c>
      <c r="C18" s="8" t="s">
        <v>36</v>
      </c>
      <c r="D18" s="8" t="s">
        <v>11</v>
      </c>
      <c r="E18" s="8" t="s">
        <v>21</v>
      </c>
      <c r="F18" s="8" t="s">
        <v>1520</v>
      </c>
      <c r="G18" s="8" t="s">
        <v>1520</v>
      </c>
      <c r="H18" s="23" t="str">
        <f t="shared" si="0"/>
        <v>Yes</v>
      </c>
      <c r="I18" s="4" t="str">
        <f t="shared" si="1"/>
        <v>TN</v>
      </c>
      <c r="J18" s="42"/>
      <c r="K18" s="42"/>
      <c r="L18" s="42"/>
      <c r="N18" s="46"/>
    </row>
    <row r="19" spans="1:26" ht="15.75" customHeight="1" x14ac:dyDescent="0.4">
      <c r="A19" s="8" t="s">
        <v>35</v>
      </c>
      <c r="B19" s="8" t="s">
        <v>1417</v>
      </c>
      <c r="C19" s="8" t="s">
        <v>36</v>
      </c>
      <c r="D19" s="8" t="s">
        <v>1355</v>
      </c>
      <c r="E19" s="8" t="s">
        <v>21</v>
      </c>
      <c r="F19" s="8" t="s">
        <v>1520</v>
      </c>
      <c r="G19" s="8" t="s">
        <v>1520</v>
      </c>
      <c r="H19" s="23" t="str">
        <f t="shared" si="0"/>
        <v>Yes</v>
      </c>
      <c r="I19" s="4" t="str">
        <f t="shared" si="1"/>
        <v>TN</v>
      </c>
      <c r="J19" s="42"/>
      <c r="K19" s="42"/>
      <c r="L19" s="42"/>
      <c r="N19" s="46"/>
    </row>
    <row r="20" spans="1:26" ht="15.75" customHeight="1" x14ac:dyDescent="0.4">
      <c r="A20" s="8" t="s">
        <v>35</v>
      </c>
      <c r="B20" s="8" t="s">
        <v>1039</v>
      </c>
      <c r="C20" s="8" t="s">
        <v>36</v>
      </c>
      <c r="D20" s="8" t="s">
        <v>1040</v>
      </c>
      <c r="E20" s="8" t="s">
        <v>21</v>
      </c>
      <c r="F20" s="8" t="s">
        <v>1520</v>
      </c>
      <c r="G20" s="8" t="s">
        <v>1520</v>
      </c>
      <c r="H20" s="23" t="str">
        <f t="shared" si="0"/>
        <v>Yes</v>
      </c>
      <c r="I20" s="4" t="str">
        <f t="shared" si="1"/>
        <v>TN</v>
      </c>
      <c r="J20" s="42"/>
      <c r="K20" s="42"/>
      <c r="L20" s="42"/>
      <c r="N20" s="46"/>
    </row>
    <row r="21" spans="1:26" ht="15.75" customHeight="1" x14ac:dyDescent="0.4">
      <c r="A21" s="8" t="s">
        <v>35</v>
      </c>
      <c r="B21" s="8" t="s">
        <v>1068</v>
      </c>
      <c r="C21" s="8" t="s">
        <v>36</v>
      </c>
      <c r="D21" s="8" t="s">
        <v>1033</v>
      </c>
      <c r="E21" s="8" t="s">
        <v>21</v>
      </c>
      <c r="F21" s="8" t="s">
        <v>1520</v>
      </c>
      <c r="G21" s="8" t="s">
        <v>1520</v>
      </c>
      <c r="H21" s="23" t="str">
        <f t="shared" si="0"/>
        <v>Yes</v>
      </c>
      <c r="I21" s="4" t="str">
        <f t="shared" si="1"/>
        <v>TN</v>
      </c>
      <c r="J21" s="42"/>
      <c r="K21" s="42"/>
      <c r="L21" s="42"/>
      <c r="N21" s="46"/>
    </row>
    <row r="22" spans="1:26" ht="15.75" customHeight="1" x14ac:dyDescent="0.4">
      <c r="A22" s="8" t="s">
        <v>35</v>
      </c>
      <c r="B22" s="8" t="s">
        <v>1089</v>
      </c>
      <c r="C22" s="8" t="s">
        <v>36</v>
      </c>
      <c r="D22" s="8" t="s">
        <v>1062</v>
      </c>
      <c r="E22" s="8" t="s">
        <v>21</v>
      </c>
      <c r="F22" s="8" t="s">
        <v>1520</v>
      </c>
      <c r="G22" s="8" t="s">
        <v>1520</v>
      </c>
      <c r="H22" s="23" t="str">
        <f t="shared" si="0"/>
        <v>Yes</v>
      </c>
      <c r="I22" s="4" t="str">
        <f t="shared" si="1"/>
        <v>TN</v>
      </c>
      <c r="J22" s="42"/>
      <c r="K22" s="42"/>
      <c r="L22" s="42"/>
      <c r="N22" s="46"/>
    </row>
    <row r="23" spans="1:26" ht="15.75" customHeight="1" x14ac:dyDescent="0.4">
      <c r="A23" s="8" t="s">
        <v>35</v>
      </c>
      <c r="B23" s="8" t="s">
        <v>1100</v>
      </c>
      <c r="C23" s="8" t="s">
        <v>36</v>
      </c>
      <c r="D23" s="8" t="s">
        <v>1070</v>
      </c>
      <c r="E23" s="8" t="s">
        <v>21</v>
      </c>
      <c r="F23" s="8" t="s">
        <v>1520</v>
      </c>
      <c r="G23" s="8" t="s">
        <v>1520</v>
      </c>
      <c r="H23" s="23" t="str">
        <f t="shared" si="0"/>
        <v>Yes</v>
      </c>
      <c r="I23" s="4" t="str">
        <f t="shared" si="1"/>
        <v>TN</v>
      </c>
      <c r="J23" s="42"/>
      <c r="K23" s="42"/>
      <c r="L23" s="42"/>
      <c r="N23" s="46"/>
    </row>
    <row r="24" spans="1:26" ht="15.75" customHeight="1" x14ac:dyDescent="0.4">
      <c r="A24" s="8" t="s">
        <v>152</v>
      </c>
      <c r="B24" s="8" t="s">
        <v>1417</v>
      </c>
      <c r="C24" s="8" t="s">
        <v>11</v>
      </c>
      <c r="D24" s="8" t="s">
        <v>1355</v>
      </c>
      <c r="E24" s="8" t="s">
        <v>21</v>
      </c>
      <c r="F24" s="8" t="s">
        <v>1520</v>
      </c>
      <c r="G24" s="8" t="s">
        <v>1520</v>
      </c>
      <c r="H24" s="23" t="str">
        <f t="shared" si="0"/>
        <v>Yes</v>
      </c>
      <c r="I24" s="4" t="str">
        <f t="shared" si="1"/>
        <v>TN</v>
      </c>
      <c r="J24" s="42"/>
      <c r="K24" s="42"/>
      <c r="L24" s="42"/>
      <c r="N24" s="46"/>
    </row>
    <row r="25" spans="1:26" ht="15.75" customHeight="1" x14ac:dyDescent="0.4">
      <c r="A25" s="8" t="s">
        <v>152</v>
      </c>
      <c r="B25" s="8" t="s">
        <v>1039</v>
      </c>
      <c r="C25" s="8" t="s">
        <v>11</v>
      </c>
      <c r="D25" s="8" t="s">
        <v>1040</v>
      </c>
      <c r="E25" s="8" t="s">
        <v>21</v>
      </c>
      <c r="F25" s="8" t="s">
        <v>1520</v>
      </c>
      <c r="G25" s="8" t="s">
        <v>1520</v>
      </c>
      <c r="H25" s="23" t="str">
        <f t="shared" si="0"/>
        <v>Yes</v>
      </c>
      <c r="I25" s="4" t="str">
        <f t="shared" si="1"/>
        <v>TN</v>
      </c>
      <c r="J25" s="42"/>
      <c r="K25" s="42"/>
      <c r="L25" s="42"/>
      <c r="N25" s="46"/>
    </row>
    <row r="26" spans="1:26" ht="15.75" customHeight="1" x14ac:dyDescent="0.4">
      <c r="A26" s="8" t="s">
        <v>152</v>
      </c>
      <c r="B26" s="8" t="s">
        <v>1068</v>
      </c>
      <c r="C26" s="8" t="s">
        <v>11</v>
      </c>
      <c r="D26" s="8" t="s">
        <v>1033</v>
      </c>
      <c r="E26" s="8" t="s">
        <v>21</v>
      </c>
      <c r="F26" s="8" t="s">
        <v>1520</v>
      </c>
      <c r="G26" s="8" t="s">
        <v>1520</v>
      </c>
      <c r="H26" s="23" t="str">
        <f t="shared" si="0"/>
        <v>Yes</v>
      </c>
      <c r="I26" s="4" t="str">
        <f t="shared" si="1"/>
        <v>TN</v>
      </c>
      <c r="J26" s="42"/>
      <c r="K26" s="42"/>
      <c r="L26" s="42"/>
      <c r="N26" s="46"/>
    </row>
    <row r="27" spans="1:26" ht="15.75" customHeight="1" x14ac:dyDescent="0.4">
      <c r="A27" s="8" t="s">
        <v>152</v>
      </c>
      <c r="B27" s="8" t="s">
        <v>1089</v>
      </c>
      <c r="C27" s="8" t="s">
        <v>11</v>
      </c>
      <c r="D27" s="8" t="s">
        <v>1062</v>
      </c>
      <c r="E27" s="8" t="s">
        <v>21</v>
      </c>
      <c r="F27" s="8" t="s">
        <v>1520</v>
      </c>
      <c r="G27" s="8" t="s">
        <v>1520</v>
      </c>
      <c r="H27" s="23" t="str">
        <f t="shared" si="0"/>
        <v>Yes</v>
      </c>
      <c r="I27" s="4" t="str">
        <f t="shared" si="1"/>
        <v>TN</v>
      </c>
      <c r="J27" s="42"/>
      <c r="K27" s="42"/>
      <c r="L27" s="42"/>
      <c r="N27" s="46"/>
    </row>
    <row r="28" spans="1:26" ht="15.75" customHeight="1" x14ac:dyDescent="0.4">
      <c r="A28" s="8" t="s">
        <v>152</v>
      </c>
      <c r="B28" s="8" t="s">
        <v>1100</v>
      </c>
      <c r="C28" s="8" t="s">
        <v>11</v>
      </c>
      <c r="D28" s="8" t="s">
        <v>1070</v>
      </c>
      <c r="E28" s="8" t="s">
        <v>21</v>
      </c>
      <c r="F28" s="8" t="s">
        <v>1520</v>
      </c>
      <c r="G28" s="8" t="s">
        <v>1520</v>
      </c>
      <c r="H28" s="23" t="str">
        <f t="shared" si="0"/>
        <v>Yes</v>
      </c>
      <c r="I28" s="4" t="str">
        <f t="shared" si="1"/>
        <v>TN</v>
      </c>
      <c r="J28" s="42"/>
      <c r="K28" s="42"/>
      <c r="L28" s="42"/>
      <c r="N28" s="46"/>
    </row>
    <row r="29" spans="1:26" ht="15.75" customHeight="1" x14ac:dyDescent="0.4">
      <c r="A29" s="8" t="s">
        <v>1417</v>
      </c>
      <c r="B29" s="8" t="s">
        <v>1039</v>
      </c>
      <c r="C29" s="8" t="s">
        <v>1355</v>
      </c>
      <c r="D29" s="8" t="s">
        <v>1040</v>
      </c>
      <c r="E29" s="8" t="s">
        <v>21</v>
      </c>
      <c r="F29" s="8" t="s">
        <v>1520</v>
      </c>
      <c r="G29" s="8" t="s">
        <v>1520</v>
      </c>
      <c r="H29" s="23" t="str">
        <f t="shared" si="0"/>
        <v>Yes</v>
      </c>
      <c r="I29" s="4" t="str">
        <f t="shared" si="1"/>
        <v>TN</v>
      </c>
      <c r="J29" s="42"/>
      <c r="K29" s="42"/>
      <c r="L29" s="42"/>
      <c r="N29" s="46"/>
    </row>
    <row r="30" spans="1:26" ht="15.75" customHeight="1" x14ac:dyDescent="0.4">
      <c r="A30" s="8" t="s">
        <v>1417</v>
      </c>
      <c r="B30" s="8" t="s">
        <v>1068</v>
      </c>
      <c r="C30" s="8" t="s">
        <v>1355</v>
      </c>
      <c r="D30" s="8" t="s">
        <v>1033</v>
      </c>
      <c r="E30" s="8" t="s">
        <v>21</v>
      </c>
      <c r="F30" s="8" t="s">
        <v>1520</v>
      </c>
      <c r="G30" s="8" t="s">
        <v>1520</v>
      </c>
      <c r="H30" s="23" t="str">
        <f t="shared" si="0"/>
        <v>Yes</v>
      </c>
      <c r="I30" s="4" t="str">
        <f t="shared" si="1"/>
        <v>TN</v>
      </c>
      <c r="J30" s="42"/>
      <c r="K30" s="42"/>
      <c r="L30" s="42"/>
      <c r="N30" s="46"/>
    </row>
    <row r="31" spans="1:26" ht="15.75" customHeight="1" x14ac:dyDescent="0.4">
      <c r="A31" s="8" t="s">
        <v>1417</v>
      </c>
      <c r="B31" s="8" t="s">
        <v>1089</v>
      </c>
      <c r="C31" s="8" t="s">
        <v>1355</v>
      </c>
      <c r="D31" s="8" t="s">
        <v>1062</v>
      </c>
      <c r="E31" s="8" t="s">
        <v>21</v>
      </c>
      <c r="F31" s="8" t="s">
        <v>1520</v>
      </c>
      <c r="G31" s="8" t="s">
        <v>1520</v>
      </c>
      <c r="H31" s="23" t="str">
        <f t="shared" si="0"/>
        <v>Yes</v>
      </c>
      <c r="I31" s="4" t="str">
        <f t="shared" si="1"/>
        <v>TN</v>
      </c>
      <c r="J31" s="42"/>
      <c r="K31" s="42"/>
      <c r="L31" s="42"/>
      <c r="N31" s="46"/>
    </row>
    <row r="32" spans="1:26" ht="15.75" customHeight="1" x14ac:dyDescent="0.4">
      <c r="A32" s="8" t="s">
        <v>1417</v>
      </c>
      <c r="B32" s="8" t="s">
        <v>1100</v>
      </c>
      <c r="C32" s="8" t="s">
        <v>1355</v>
      </c>
      <c r="D32" s="8" t="s">
        <v>1070</v>
      </c>
      <c r="E32" s="8" t="s">
        <v>21</v>
      </c>
      <c r="F32" s="8" t="s">
        <v>1520</v>
      </c>
      <c r="G32" s="8" t="s">
        <v>1520</v>
      </c>
      <c r="H32" s="23" t="str">
        <f t="shared" si="0"/>
        <v>Yes</v>
      </c>
      <c r="I32" s="4" t="str">
        <f t="shared" si="1"/>
        <v>TN</v>
      </c>
      <c r="J32" s="42"/>
      <c r="K32" s="42"/>
      <c r="L32" s="42"/>
      <c r="N32" s="46"/>
    </row>
    <row r="33" spans="1:14" ht="15.75" customHeight="1" x14ac:dyDescent="0.4">
      <c r="A33" s="8" t="s">
        <v>1039</v>
      </c>
      <c r="B33" s="8" t="s">
        <v>1068</v>
      </c>
      <c r="C33" s="8" t="s">
        <v>1040</v>
      </c>
      <c r="D33" s="8" t="s">
        <v>1033</v>
      </c>
      <c r="E33" s="8" t="s">
        <v>21</v>
      </c>
      <c r="F33" s="8" t="s">
        <v>1522</v>
      </c>
      <c r="G33" s="8" t="s">
        <v>1520</v>
      </c>
      <c r="H33" s="23" t="str">
        <f t="shared" si="0"/>
        <v>No</v>
      </c>
      <c r="I33" s="4" t="str">
        <f t="shared" si="1"/>
        <v>FN</v>
      </c>
      <c r="J33" s="42"/>
      <c r="K33" s="42"/>
      <c r="L33" s="42"/>
      <c r="N33" s="46"/>
    </row>
    <row r="34" spans="1:14" ht="15.75" customHeight="1" x14ac:dyDescent="0.4">
      <c r="A34" s="8" t="s">
        <v>1039</v>
      </c>
      <c r="B34" s="8" t="s">
        <v>1089</v>
      </c>
      <c r="C34" s="8" t="s">
        <v>1040</v>
      </c>
      <c r="D34" s="8" t="s">
        <v>1062</v>
      </c>
      <c r="E34" s="8" t="s">
        <v>21</v>
      </c>
      <c r="F34" s="8" t="s">
        <v>1522</v>
      </c>
      <c r="G34" s="8" t="s">
        <v>1520</v>
      </c>
      <c r="H34" s="23" t="str">
        <f t="shared" si="0"/>
        <v>No</v>
      </c>
      <c r="I34" s="4" t="str">
        <f t="shared" si="1"/>
        <v>FN</v>
      </c>
      <c r="J34" s="42"/>
      <c r="K34" s="42"/>
      <c r="L34" s="42"/>
      <c r="N34" s="46"/>
    </row>
    <row r="35" spans="1:14" ht="15.75" customHeight="1" x14ac:dyDescent="0.4">
      <c r="A35" s="8" t="s">
        <v>1039</v>
      </c>
      <c r="B35" s="8" t="s">
        <v>1100</v>
      </c>
      <c r="C35" s="8" t="s">
        <v>1040</v>
      </c>
      <c r="D35" s="8" t="s">
        <v>1070</v>
      </c>
      <c r="E35" s="8" t="s">
        <v>21</v>
      </c>
      <c r="F35" s="8" t="s">
        <v>1522</v>
      </c>
      <c r="G35" s="8" t="s">
        <v>1520</v>
      </c>
      <c r="H35" s="23" t="str">
        <f t="shared" si="0"/>
        <v>No</v>
      </c>
      <c r="I35" s="4" t="str">
        <f t="shared" si="1"/>
        <v>FN</v>
      </c>
      <c r="J35" s="42"/>
      <c r="K35" s="42"/>
      <c r="L35" s="42"/>
      <c r="N35" s="46"/>
    </row>
    <row r="36" spans="1:14" ht="15.75" customHeight="1" x14ac:dyDescent="0.4">
      <c r="A36" s="8" t="s">
        <v>1144</v>
      </c>
      <c r="B36" s="8" t="s">
        <v>1194</v>
      </c>
      <c r="C36" s="8" t="s">
        <v>1145</v>
      </c>
      <c r="D36" s="8" t="s">
        <v>1158</v>
      </c>
      <c r="E36" s="8" t="s">
        <v>29</v>
      </c>
      <c r="F36" s="8" t="s">
        <v>1520</v>
      </c>
      <c r="G36" s="8" t="s">
        <v>1522</v>
      </c>
      <c r="H36" s="23" t="str">
        <f t="shared" si="0"/>
        <v>No</v>
      </c>
      <c r="I36" s="4" t="str">
        <f t="shared" si="1"/>
        <v>FP</v>
      </c>
      <c r="J36" s="42"/>
      <c r="K36" s="42"/>
      <c r="L36" s="42"/>
      <c r="N36" s="46"/>
    </row>
    <row r="37" spans="1:14" ht="14.6" x14ac:dyDescent="0.4">
      <c r="A37" s="8" t="s">
        <v>1144</v>
      </c>
      <c r="B37" s="8" t="s">
        <v>1207</v>
      </c>
      <c r="C37" s="8" t="s">
        <v>1145</v>
      </c>
      <c r="D37" s="8" t="s">
        <v>1156</v>
      </c>
      <c r="E37" s="8" t="s">
        <v>29</v>
      </c>
      <c r="F37" s="8" t="s">
        <v>1520</v>
      </c>
      <c r="G37" s="8" t="s">
        <v>1522</v>
      </c>
      <c r="H37" s="23" t="str">
        <f t="shared" si="0"/>
        <v>No</v>
      </c>
      <c r="I37" s="4" t="str">
        <f t="shared" si="1"/>
        <v>FP</v>
      </c>
      <c r="J37" s="42"/>
      <c r="K37" s="42"/>
      <c r="L37" s="42"/>
      <c r="N37" s="46"/>
    </row>
    <row r="38" spans="1:14" ht="14.6" x14ac:dyDescent="0.4">
      <c r="A38" s="8" t="s">
        <v>1194</v>
      </c>
      <c r="B38" s="8" t="s">
        <v>1207</v>
      </c>
      <c r="C38" s="8" t="s">
        <v>1158</v>
      </c>
      <c r="D38" s="8" t="s">
        <v>1156</v>
      </c>
      <c r="E38" s="8" t="s">
        <v>29</v>
      </c>
      <c r="F38" s="8" t="s">
        <v>1520</v>
      </c>
      <c r="G38" s="8" t="s">
        <v>1522</v>
      </c>
      <c r="H38" s="23" t="str">
        <f t="shared" si="0"/>
        <v>No</v>
      </c>
      <c r="I38" s="4" t="str">
        <f t="shared" si="1"/>
        <v>FP</v>
      </c>
      <c r="J38" s="42"/>
      <c r="K38" s="42"/>
      <c r="L38" s="42"/>
      <c r="N38" s="46"/>
    </row>
    <row r="39" spans="1:14" ht="14.6" x14ac:dyDescent="0.4">
      <c r="A39" s="8" t="s">
        <v>1254</v>
      </c>
      <c r="B39" s="8" t="s">
        <v>1194</v>
      </c>
      <c r="C39" s="8" t="s">
        <v>1145</v>
      </c>
      <c r="D39" s="8" t="s">
        <v>1158</v>
      </c>
      <c r="E39" s="8" t="s">
        <v>29</v>
      </c>
      <c r="F39" s="8" t="s">
        <v>1520</v>
      </c>
      <c r="G39" s="8" t="s">
        <v>1522</v>
      </c>
      <c r="H39" s="23" t="str">
        <f t="shared" si="0"/>
        <v>No</v>
      </c>
      <c r="I39" s="4" t="str">
        <f t="shared" si="1"/>
        <v>FP</v>
      </c>
      <c r="J39" s="42"/>
      <c r="K39" s="42"/>
      <c r="L39" s="42"/>
      <c r="N39" s="46"/>
    </row>
    <row r="40" spans="1:14" ht="14.6" x14ac:dyDescent="0.4">
      <c r="A40" s="8" t="s">
        <v>1254</v>
      </c>
      <c r="B40" s="8" t="s">
        <v>1207</v>
      </c>
      <c r="C40" s="8" t="s">
        <v>1145</v>
      </c>
      <c r="D40" s="8" t="s">
        <v>1156</v>
      </c>
      <c r="E40" s="8" t="s">
        <v>29</v>
      </c>
      <c r="F40" s="8" t="s">
        <v>1520</v>
      </c>
      <c r="G40" s="8" t="s">
        <v>1522</v>
      </c>
      <c r="H40" s="23" t="str">
        <f t="shared" si="0"/>
        <v>No</v>
      </c>
      <c r="I40" s="4" t="str">
        <f t="shared" si="1"/>
        <v>FP</v>
      </c>
      <c r="J40" s="42"/>
      <c r="K40" s="42"/>
      <c r="L40" s="42"/>
      <c r="N40" s="46"/>
    </row>
    <row r="41" spans="1:14" ht="14.6" x14ac:dyDescent="0.4">
      <c r="A41" s="8" t="s">
        <v>27</v>
      </c>
      <c r="B41" s="8" t="s">
        <v>69</v>
      </c>
      <c r="C41" s="8" t="s">
        <v>28</v>
      </c>
      <c r="D41" s="8" t="s">
        <v>70</v>
      </c>
      <c r="E41" s="8" t="s">
        <v>29</v>
      </c>
      <c r="F41" s="8" t="s">
        <v>1520</v>
      </c>
      <c r="G41" s="8" t="s">
        <v>1520</v>
      </c>
      <c r="H41" s="23" t="str">
        <f t="shared" si="0"/>
        <v>Yes</v>
      </c>
      <c r="I41" s="4" t="str">
        <f t="shared" si="1"/>
        <v>TN</v>
      </c>
      <c r="J41" s="42"/>
      <c r="K41" s="42"/>
      <c r="L41" s="42"/>
      <c r="N41" s="46"/>
    </row>
    <row r="42" spans="1:14" ht="14.6" x14ac:dyDescent="0.4">
      <c r="A42" s="8" t="s">
        <v>27</v>
      </c>
      <c r="B42" s="8" t="s">
        <v>96</v>
      </c>
      <c r="C42" s="8" t="s">
        <v>28</v>
      </c>
      <c r="D42" s="8" t="s">
        <v>8</v>
      </c>
      <c r="E42" s="8" t="s">
        <v>29</v>
      </c>
      <c r="F42" s="8" t="s">
        <v>1520</v>
      </c>
      <c r="G42" s="8" t="s">
        <v>1520</v>
      </c>
      <c r="H42" s="23" t="str">
        <f t="shared" si="0"/>
        <v>Yes</v>
      </c>
      <c r="I42" s="4" t="str">
        <f t="shared" si="1"/>
        <v>TN</v>
      </c>
      <c r="J42" s="42"/>
      <c r="K42" s="42"/>
      <c r="L42" s="42"/>
      <c r="N42" s="46"/>
    </row>
    <row r="43" spans="1:14" ht="14.6" x14ac:dyDescent="0.4">
      <c r="A43" s="8" t="s">
        <v>27</v>
      </c>
      <c r="B43" s="8" t="s">
        <v>100</v>
      </c>
      <c r="C43" s="8" t="s">
        <v>28</v>
      </c>
      <c r="D43" s="8" t="s">
        <v>101</v>
      </c>
      <c r="E43" s="8" t="s">
        <v>29</v>
      </c>
      <c r="F43" s="8" t="s">
        <v>1520</v>
      </c>
      <c r="G43" s="8" t="s">
        <v>1520</v>
      </c>
      <c r="H43" s="23" t="str">
        <f t="shared" si="0"/>
        <v>Yes</v>
      </c>
      <c r="I43" s="4" t="str">
        <f t="shared" si="1"/>
        <v>TN</v>
      </c>
      <c r="J43" s="42"/>
      <c r="K43" s="42"/>
      <c r="L43" s="42"/>
      <c r="N43" s="46"/>
    </row>
    <row r="44" spans="1:14" ht="14.6" x14ac:dyDescent="0.4">
      <c r="A44" s="8" t="s">
        <v>27</v>
      </c>
      <c r="B44" s="8" t="s">
        <v>1144</v>
      </c>
      <c r="C44" s="8" t="s">
        <v>28</v>
      </c>
      <c r="D44" s="8" t="s">
        <v>1145</v>
      </c>
      <c r="E44" s="8" t="s">
        <v>29</v>
      </c>
      <c r="F44" s="8" t="s">
        <v>1520</v>
      </c>
      <c r="G44" s="8" t="s">
        <v>1520</v>
      </c>
      <c r="H44" s="23" t="str">
        <f t="shared" si="0"/>
        <v>Yes</v>
      </c>
      <c r="I44" s="4" t="str">
        <f t="shared" si="1"/>
        <v>TN</v>
      </c>
      <c r="J44" s="42"/>
      <c r="K44" s="42"/>
      <c r="L44" s="42"/>
      <c r="N44" s="46"/>
    </row>
    <row r="45" spans="1:14" ht="14.6" x14ac:dyDescent="0.4">
      <c r="A45" s="8" t="s">
        <v>27</v>
      </c>
      <c r="B45" s="8" t="s">
        <v>1194</v>
      </c>
      <c r="C45" s="8" t="s">
        <v>28</v>
      </c>
      <c r="D45" s="8" t="s">
        <v>1158</v>
      </c>
      <c r="E45" s="8" t="s">
        <v>29</v>
      </c>
      <c r="F45" s="8" t="s">
        <v>1520</v>
      </c>
      <c r="G45" s="8" t="s">
        <v>1520</v>
      </c>
      <c r="H45" s="23" t="str">
        <f t="shared" si="0"/>
        <v>Yes</v>
      </c>
      <c r="I45" s="4" t="str">
        <f t="shared" si="1"/>
        <v>TN</v>
      </c>
      <c r="J45" s="42"/>
      <c r="K45" s="42"/>
      <c r="L45" s="42"/>
      <c r="N45" s="46"/>
    </row>
    <row r="46" spans="1:14" ht="14.6" x14ac:dyDescent="0.4">
      <c r="A46" s="8" t="s">
        <v>27</v>
      </c>
      <c r="B46" s="8" t="s">
        <v>1207</v>
      </c>
      <c r="C46" s="8" t="s">
        <v>28</v>
      </c>
      <c r="D46" s="8" t="s">
        <v>1156</v>
      </c>
      <c r="E46" s="8" t="s">
        <v>29</v>
      </c>
      <c r="F46" s="8" t="s">
        <v>1520</v>
      </c>
      <c r="G46" s="8" t="s">
        <v>1520</v>
      </c>
      <c r="H46" s="23" t="str">
        <f t="shared" si="0"/>
        <v>Yes</v>
      </c>
      <c r="I46" s="4" t="str">
        <f t="shared" si="1"/>
        <v>TN</v>
      </c>
      <c r="J46" s="42"/>
      <c r="K46" s="42"/>
      <c r="L46" s="42"/>
      <c r="N46" s="46"/>
    </row>
    <row r="47" spans="1:14" ht="14.6" x14ac:dyDescent="0.4">
      <c r="A47" s="8" t="s">
        <v>27</v>
      </c>
      <c r="B47" s="8" t="s">
        <v>1254</v>
      </c>
      <c r="C47" s="8" t="s">
        <v>28</v>
      </c>
      <c r="D47" s="8" t="s">
        <v>1145</v>
      </c>
      <c r="E47" s="8" t="s">
        <v>29</v>
      </c>
      <c r="F47" s="8" t="s">
        <v>1520</v>
      </c>
      <c r="G47" s="8" t="s">
        <v>1520</v>
      </c>
      <c r="H47" s="23" t="str">
        <f t="shared" si="0"/>
        <v>Yes</v>
      </c>
      <c r="I47" s="4" t="str">
        <f t="shared" si="1"/>
        <v>TN</v>
      </c>
      <c r="J47" s="42"/>
      <c r="K47" s="42"/>
      <c r="L47" s="42"/>
      <c r="N47" s="46"/>
    </row>
    <row r="48" spans="1:14" ht="14.6" x14ac:dyDescent="0.4">
      <c r="A48" s="8" t="s">
        <v>69</v>
      </c>
      <c r="B48" s="8" t="s">
        <v>96</v>
      </c>
      <c r="C48" s="8" t="s">
        <v>70</v>
      </c>
      <c r="D48" s="8" t="s">
        <v>8</v>
      </c>
      <c r="E48" s="8" t="s">
        <v>29</v>
      </c>
      <c r="F48" s="8" t="s">
        <v>1520</v>
      </c>
      <c r="G48" s="8" t="s">
        <v>1520</v>
      </c>
      <c r="H48" s="23" t="str">
        <f t="shared" si="0"/>
        <v>Yes</v>
      </c>
      <c r="I48" s="4" t="str">
        <f t="shared" si="1"/>
        <v>TN</v>
      </c>
      <c r="J48" s="42"/>
      <c r="K48" s="42"/>
      <c r="L48" s="42"/>
      <c r="N48" s="46"/>
    </row>
    <row r="49" spans="1:14" ht="14.6" x14ac:dyDescent="0.4">
      <c r="A49" s="8" t="s">
        <v>69</v>
      </c>
      <c r="B49" s="8" t="s">
        <v>100</v>
      </c>
      <c r="C49" s="8" t="s">
        <v>70</v>
      </c>
      <c r="D49" s="8" t="s">
        <v>101</v>
      </c>
      <c r="E49" s="8" t="s">
        <v>29</v>
      </c>
      <c r="F49" s="8" t="s">
        <v>1520</v>
      </c>
      <c r="G49" s="8" t="s">
        <v>1520</v>
      </c>
      <c r="H49" s="23" t="str">
        <f t="shared" si="0"/>
        <v>Yes</v>
      </c>
      <c r="I49" s="4" t="str">
        <f t="shared" si="1"/>
        <v>TN</v>
      </c>
      <c r="J49" s="42"/>
      <c r="K49" s="42"/>
      <c r="L49" s="42"/>
      <c r="N49" s="46"/>
    </row>
    <row r="50" spans="1:14" ht="14.6" x14ac:dyDescent="0.4">
      <c r="A50" s="8" t="s">
        <v>69</v>
      </c>
      <c r="B50" s="8" t="s">
        <v>1144</v>
      </c>
      <c r="C50" s="8" t="s">
        <v>70</v>
      </c>
      <c r="D50" s="8" t="s">
        <v>1145</v>
      </c>
      <c r="E50" s="8" t="s">
        <v>29</v>
      </c>
      <c r="F50" s="8" t="s">
        <v>1520</v>
      </c>
      <c r="G50" s="8" t="s">
        <v>1520</v>
      </c>
      <c r="H50" s="23" t="str">
        <f t="shared" si="0"/>
        <v>Yes</v>
      </c>
      <c r="I50" s="4" t="str">
        <f t="shared" si="1"/>
        <v>TN</v>
      </c>
      <c r="J50" s="42"/>
      <c r="K50" s="42"/>
      <c r="L50" s="42"/>
      <c r="N50" s="46"/>
    </row>
    <row r="51" spans="1:14" ht="14.6" x14ac:dyDescent="0.4">
      <c r="A51" s="8" t="s">
        <v>69</v>
      </c>
      <c r="B51" s="8" t="s">
        <v>1194</v>
      </c>
      <c r="C51" s="8" t="s">
        <v>70</v>
      </c>
      <c r="D51" s="8" t="s">
        <v>1158</v>
      </c>
      <c r="E51" s="8" t="s">
        <v>29</v>
      </c>
      <c r="F51" s="8" t="s">
        <v>1520</v>
      </c>
      <c r="G51" s="8" t="s">
        <v>1520</v>
      </c>
      <c r="H51" s="23" t="str">
        <f t="shared" si="0"/>
        <v>Yes</v>
      </c>
      <c r="I51" s="4" t="str">
        <f t="shared" si="1"/>
        <v>TN</v>
      </c>
      <c r="J51" s="42"/>
      <c r="K51" s="42"/>
      <c r="L51" s="42"/>
      <c r="N51" s="46"/>
    </row>
    <row r="52" spans="1:14" ht="14.6" x14ac:dyDescent="0.4">
      <c r="A52" s="8" t="s">
        <v>69</v>
      </c>
      <c r="B52" s="8" t="s">
        <v>1207</v>
      </c>
      <c r="C52" s="8" t="s">
        <v>70</v>
      </c>
      <c r="D52" s="8" t="s">
        <v>1156</v>
      </c>
      <c r="E52" s="8" t="s">
        <v>29</v>
      </c>
      <c r="F52" s="8" t="s">
        <v>1520</v>
      </c>
      <c r="G52" s="8" t="s">
        <v>1520</v>
      </c>
      <c r="H52" s="23" t="str">
        <f t="shared" si="0"/>
        <v>Yes</v>
      </c>
      <c r="I52" s="4" t="str">
        <f t="shared" si="1"/>
        <v>TN</v>
      </c>
      <c r="J52" s="42"/>
      <c r="K52" s="42"/>
      <c r="L52" s="42"/>
      <c r="N52" s="46"/>
    </row>
    <row r="53" spans="1:14" ht="14.6" x14ac:dyDescent="0.4">
      <c r="A53" s="8" t="s">
        <v>69</v>
      </c>
      <c r="B53" s="8" t="s">
        <v>1254</v>
      </c>
      <c r="C53" s="8" t="s">
        <v>70</v>
      </c>
      <c r="D53" s="8" t="s">
        <v>1145</v>
      </c>
      <c r="E53" s="8" t="s">
        <v>29</v>
      </c>
      <c r="F53" s="8" t="s">
        <v>1520</v>
      </c>
      <c r="G53" s="8" t="s">
        <v>1520</v>
      </c>
      <c r="H53" s="23" t="str">
        <f t="shared" si="0"/>
        <v>Yes</v>
      </c>
      <c r="I53" s="4" t="str">
        <f t="shared" si="1"/>
        <v>TN</v>
      </c>
      <c r="J53" s="42"/>
      <c r="K53" s="42"/>
      <c r="L53" s="42"/>
      <c r="N53" s="46"/>
    </row>
    <row r="54" spans="1:14" ht="14.6" x14ac:dyDescent="0.4">
      <c r="A54" s="8" t="s">
        <v>96</v>
      </c>
      <c r="B54" s="8" t="s">
        <v>100</v>
      </c>
      <c r="C54" s="8" t="s">
        <v>8</v>
      </c>
      <c r="D54" s="8" t="s">
        <v>101</v>
      </c>
      <c r="E54" s="8" t="s">
        <v>29</v>
      </c>
      <c r="F54" s="8" t="s">
        <v>1520</v>
      </c>
      <c r="G54" s="8" t="s">
        <v>1520</v>
      </c>
      <c r="H54" s="23" t="str">
        <f t="shared" si="0"/>
        <v>Yes</v>
      </c>
      <c r="I54" s="4" t="str">
        <f t="shared" si="1"/>
        <v>TN</v>
      </c>
      <c r="J54" s="42"/>
      <c r="K54" s="42"/>
      <c r="L54" s="42"/>
      <c r="N54" s="46"/>
    </row>
    <row r="55" spans="1:14" ht="14.6" x14ac:dyDescent="0.4">
      <c r="A55" s="8" t="s">
        <v>96</v>
      </c>
      <c r="B55" s="8" t="s">
        <v>1144</v>
      </c>
      <c r="C55" s="8" t="s">
        <v>8</v>
      </c>
      <c r="D55" s="8" t="s">
        <v>1145</v>
      </c>
      <c r="E55" s="8" t="s">
        <v>29</v>
      </c>
      <c r="F55" s="8" t="s">
        <v>1520</v>
      </c>
      <c r="G55" s="8" t="s">
        <v>1520</v>
      </c>
      <c r="H55" s="23" t="str">
        <f t="shared" si="0"/>
        <v>Yes</v>
      </c>
      <c r="I55" s="4" t="str">
        <f t="shared" si="1"/>
        <v>TN</v>
      </c>
      <c r="J55" s="42"/>
      <c r="K55" s="42"/>
      <c r="L55" s="42"/>
      <c r="N55" s="46"/>
    </row>
    <row r="56" spans="1:14" ht="14.6" x14ac:dyDescent="0.4">
      <c r="A56" s="8" t="s">
        <v>96</v>
      </c>
      <c r="B56" s="8" t="s">
        <v>1194</v>
      </c>
      <c r="C56" s="8" t="s">
        <v>8</v>
      </c>
      <c r="D56" s="8" t="s">
        <v>1158</v>
      </c>
      <c r="E56" s="8" t="s">
        <v>29</v>
      </c>
      <c r="F56" s="8" t="s">
        <v>1520</v>
      </c>
      <c r="G56" s="8" t="s">
        <v>1520</v>
      </c>
      <c r="H56" s="23" t="str">
        <f t="shared" si="0"/>
        <v>Yes</v>
      </c>
      <c r="I56" s="4" t="str">
        <f t="shared" si="1"/>
        <v>TN</v>
      </c>
      <c r="J56" s="42"/>
      <c r="K56" s="42"/>
      <c r="L56" s="42"/>
      <c r="N56" s="46"/>
    </row>
    <row r="57" spans="1:14" ht="14.6" x14ac:dyDescent="0.4">
      <c r="A57" s="8" t="s">
        <v>96</v>
      </c>
      <c r="B57" s="8" t="s">
        <v>1207</v>
      </c>
      <c r="C57" s="8" t="s">
        <v>8</v>
      </c>
      <c r="D57" s="8" t="s">
        <v>1156</v>
      </c>
      <c r="E57" s="8" t="s">
        <v>29</v>
      </c>
      <c r="F57" s="8" t="s">
        <v>1520</v>
      </c>
      <c r="G57" s="8" t="s">
        <v>1520</v>
      </c>
      <c r="H57" s="23" t="str">
        <f t="shared" si="0"/>
        <v>Yes</v>
      </c>
      <c r="I57" s="4" t="str">
        <f t="shared" si="1"/>
        <v>TN</v>
      </c>
      <c r="J57" s="42"/>
      <c r="K57" s="42"/>
      <c r="L57" s="42"/>
      <c r="N57" s="46"/>
    </row>
    <row r="58" spans="1:14" ht="14.6" x14ac:dyDescent="0.4">
      <c r="A58" s="8" t="s">
        <v>96</v>
      </c>
      <c r="B58" s="8" t="s">
        <v>1254</v>
      </c>
      <c r="C58" s="8" t="s">
        <v>8</v>
      </c>
      <c r="D58" s="8" t="s">
        <v>1145</v>
      </c>
      <c r="E58" s="8" t="s">
        <v>29</v>
      </c>
      <c r="F58" s="8" t="s">
        <v>1522</v>
      </c>
      <c r="G58" s="8" t="s">
        <v>1520</v>
      </c>
      <c r="H58" s="23" t="str">
        <f t="shared" si="0"/>
        <v>No</v>
      </c>
      <c r="I58" s="4" t="str">
        <f t="shared" si="1"/>
        <v>FN</v>
      </c>
      <c r="J58" s="42"/>
      <c r="K58" s="42"/>
      <c r="L58" s="42"/>
      <c r="N58" s="46"/>
    </row>
    <row r="59" spans="1:14" ht="14.6" x14ac:dyDescent="0.4">
      <c r="A59" s="8" t="s">
        <v>100</v>
      </c>
      <c r="B59" s="8" t="s">
        <v>1144</v>
      </c>
      <c r="C59" s="8" t="s">
        <v>101</v>
      </c>
      <c r="D59" s="8" t="s">
        <v>1145</v>
      </c>
      <c r="E59" s="8" t="s">
        <v>29</v>
      </c>
      <c r="F59" s="8" t="s">
        <v>1522</v>
      </c>
      <c r="G59" s="8" t="s">
        <v>1520</v>
      </c>
      <c r="H59" s="23" t="str">
        <f t="shared" si="0"/>
        <v>No</v>
      </c>
      <c r="I59" s="4" t="str">
        <f t="shared" si="1"/>
        <v>FN</v>
      </c>
      <c r="J59" s="42"/>
      <c r="K59" s="42"/>
      <c r="L59" s="42"/>
      <c r="N59" s="46"/>
    </row>
    <row r="60" spans="1:14" ht="14.6" x14ac:dyDescent="0.4">
      <c r="A60" s="8" t="s">
        <v>100</v>
      </c>
      <c r="B60" s="8" t="s">
        <v>1194</v>
      </c>
      <c r="C60" s="8" t="s">
        <v>101</v>
      </c>
      <c r="D60" s="8" t="s">
        <v>1158</v>
      </c>
      <c r="E60" s="8" t="s">
        <v>29</v>
      </c>
      <c r="F60" s="8" t="s">
        <v>1520</v>
      </c>
      <c r="G60" s="8" t="s">
        <v>1520</v>
      </c>
      <c r="H60" s="23" t="str">
        <f t="shared" si="0"/>
        <v>Yes</v>
      </c>
      <c r="I60" s="4" t="str">
        <f t="shared" si="1"/>
        <v>TN</v>
      </c>
      <c r="J60" s="42"/>
      <c r="K60" s="42"/>
      <c r="L60" s="42"/>
      <c r="N60" s="46"/>
    </row>
    <row r="61" spans="1:14" ht="14.6" x14ac:dyDescent="0.4">
      <c r="A61" s="8" t="s">
        <v>100</v>
      </c>
      <c r="B61" s="8" t="s">
        <v>1207</v>
      </c>
      <c r="C61" s="8" t="s">
        <v>101</v>
      </c>
      <c r="D61" s="8" t="s">
        <v>1156</v>
      </c>
      <c r="E61" s="8" t="s">
        <v>29</v>
      </c>
      <c r="F61" s="8" t="s">
        <v>1522</v>
      </c>
      <c r="G61" s="8" t="s">
        <v>1520</v>
      </c>
      <c r="H61" s="23" t="str">
        <f t="shared" si="0"/>
        <v>No</v>
      </c>
      <c r="I61" s="4" t="str">
        <f t="shared" si="1"/>
        <v>FN</v>
      </c>
      <c r="J61" s="42"/>
      <c r="K61" s="42"/>
      <c r="L61" s="42"/>
      <c r="N61" s="46"/>
    </row>
    <row r="62" spans="1:14" ht="14.6" x14ac:dyDescent="0.4">
      <c r="A62" s="8" t="s">
        <v>100</v>
      </c>
      <c r="B62" s="8" t="s">
        <v>1254</v>
      </c>
      <c r="C62" s="8" t="s">
        <v>101</v>
      </c>
      <c r="D62" s="8" t="s">
        <v>1145</v>
      </c>
      <c r="E62" s="8" t="s">
        <v>29</v>
      </c>
      <c r="F62" s="8" t="s">
        <v>1522</v>
      </c>
      <c r="G62" s="8" t="s">
        <v>1520</v>
      </c>
      <c r="H62" s="23" t="str">
        <f t="shared" si="0"/>
        <v>No</v>
      </c>
      <c r="I62" s="4" t="str">
        <f t="shared" si="1"/>
        <v>FN</v>
      </c>
      <c r="J62" s="42"/>
      <c r="K62" s="42"/>
      <c r="L62" s="42"/>
      <c r="N62" s="46"/>
    </row>
    <row r="63" spans="1:14" ht="14.6" x14ac:dyDescent="0.4">
      <c r="A63" s="8" t="s">
        <v>1144</v>
      </c>
      <c r="B63" s="8" t="s">
        <v>1254</v>
      </c>
      <c r="C63" s="8" t="s">
        <v>1145</v>
      </c>
      <c r="D63" s="8" t="s">
        <v>1145</v>
      </c>
      <c r="E63" s="8" t="s">
        <v>29</v>
      </c>
      <c r="F63" s="8" t="s">
        <v>1522</v>
      </c>
      <c r="G63" s="8" t="s">
        <v>1520</v>
      </c>
      <c r="H63" s="23" t="str">
        <f t="shared" si="0"/>
        <v>No</v>
      </c>
      <c r="I63" s="4" t="str">
        <f t="shared" si="1"/>
        <v>FN</v>
      </c>
      <c r="J63" s="42"/>
      <c r="K63" s="42"/>
      <c r="L63" s="42"/>
      <c r="N63" s="46"/>
    </row>
    <row r="64" spans="1:14" ht="14.6" x14ac:dyDescent="0.4">
      <c r="A64" s="8" t="s">
        <v>1065</v>
      </c>
      <c r="B64" s="8" t="s">
        <v>1134</v>
      </c>
      <c r="C64" s="8" t="s">
        <v>1062</v>
      </c>
      <c r="D64" s="8" t="s">
        <v>1070</v>
      </c>
      <c r="E64" s="8" t="s">
        <v>18</v>
      </c>
      <c r="F64" s="8" t="s">
        <v>1522</v>
      </c>
      <c r="G64" s="8" t="s">
        <v>1522</v>
      </c>
      <c r="H64" s="23" t="str">
        <f t="shared" si="0"/>
        <v>Yes</v>
      </c>
      <c r="I64" s="4" t="str">
        <f t="shared" si="1"/>
        <v>TP</v>
      </c>
      <c r="J64" s="42"/>
      <c r="K64" s="42"/>
      <c r="L64" s="42"/>
      <c r="N64" s="46"/>
    </row>
    <row r="65" spans="1:14" ht="14.6" x14ac:dyDescent="0.4">
      <c r="A65" s="8" t="s">
        <v>16</v>
      </c>
      <c r="B65" s="8" t="s">
        <v>48</v>
      </c>
      <c r="C65" s="8" t="s">
        <v>17</v>
      </c>
      <c r="D65" s="8" t="s">
        <v>49</v>
      </c>
      <c r="E65" s="8" t="s">
        <v>18</v>
      </c>
      <c r="F65" s="8" t="s">
        <v>1520</v>
      </c>
      <c r="G65" s="8" t="s">
        <v>1520</v>
      </c>
      <c r="H65" s="23" t="str">
        <f t="shared" si="0"/>
        <v>Yes</v>
      </c>
      <c r="I65" s="4" t="str">
        <f t="shared" si="1"/>
        <v>TN</v>
      </c>
      <c r="J65" s="42"/>
      <c r="K65" s="42"/>
      <c r="L65" s="42"/>
      <c r="N65" s="46"/>
    </row>
    <row r="66" spans="1:14" ht="14.6" x14ac:dyDescent="0.4">
      <c r="A66" s="8" t="s">
        <v>16</v>
      </c>
      <c r="B66" s="8" t="s">
        <v>71</v>
      </c>
      <c r="C66" s="8" t="s">
        <v>17</v>
      </c>
      <c r="D66" s="8" t="s">
        <v>72</v>
      </c>
      <c r="E66" s="8" t="s">
        <v>18</v>
      </c>
      <c r="F66" s="8" t="s">
        <v>1520</v>
      </c>
      <c r="G66" s="8" t="s">
        <v>1520</v>
      </c>
      <c r="H66" s="23" t="str">
        <f t="shared" si="0"/>
        <v>Yes</v>
      </c>
      <c r="I66" s="4" t="str">
        <f t="shared" si="1"/>
        <v>TN</v>
      </c>
      <c r="J66" s="42"/>
      <c r="K66" s="42"/>
      <c r="L66" s="42"/>
      <c r="N66" s="46"/>
    </row>
    <row r="67" spans="1:14" ht="14.6" x14ac:dyDescent="0.4">
      <c r="A67" s="8" t="s">
        <v>16</v>
      </c>
      <c r="B67" s="8" t="s">
        <v>92</v>
      </c>
      <c r="C67" s="8" t="s">
        <v>17</v>
      </c>
      <c r="D67" s="8" t="s">
        <v>93</v>
      </c>
      <c r="E67" s="8" t="s">
        <v>18</v>
      </c>
      <c r="F67" s="8" t="s">
        <v>1520</v>
      </c>
      <c r="G67" s="8" t="s">
        <v>1520</v>
      </c>
      <c r="H67" s="23" t="str">
        <f t="shared" si="0"/>
        <v>Yes</v>
      </c>
      <c r="I67" s="4" t="str">
        <f t="shared" si="1"/>
        <v>TN</v>
      </c>
      <c r="J67" s="42"/>
      <c r="K67" s="42"/>
      <c r="L67" s="42"/>
      <c r="N67" s="46"/>
    </row>
    <row r="68" spans="1:14" ht="14.6" x14ac:dyDescent="0.4">
      <c r="A68" s="8" t="s">
        <v>16</v>
      </c>
      <c r="B68" s="8" t="s">
        <v>1065</v>
      </c>
      <c r="C68" s="8" t="s">
        <v>17</v>
      </c>
      <c r="D68" s="8" t="s">
        <v>1062</v>
      </c>
      <c r="E68" s="8" t="s">
        <v>18</v>
      </c>
      <c r="F68" s="8" t="s">
        <v>1520</v>
      </c>
      <c r="G68" s="8" t="s">
        <v>1520</v>
      </c>
      <c r="H68" s="23" t="str">
        <f t="shared" si="0"/>
        <v>Yes</v>
      </c>
      <c r="I68" s="4" t="str">
        <f t="shared" si="1"/>
        <v>TN</v>
      </c>
      <c r="J68" s="42"/>
      <c r="K68" s="42"/>
      <c r="L68" s="42"/>
      <c r="N68" s="46"/>
    </row>
    <row r="69" spans="1:14" ht="14.6" x14ac:dyDescent="0.4">
      <c r="A69" s="8" t="s">
        <v>16</v>
      </c>
      <c r="B69" s="8" t="s">
        <v>1134</v>
      </c>
      <c r="C69" s="8" t="s">
        <v>17</v>
      </c>
      <c r="D69" s="8" t="s">
        <v>1070</v>
      </c>
      <c r="E69" s="8" t="s">
        <v>18</v>
      </c>
      <c r="F69" s="8" t="s">
        <v>1520</v>
      </c>
      <c r="G69" s="8" t="s">
        <v>1520</v>
      </c>
      <c r="H69" s="23" t="str">
        <f t="shared" si="0"/>
        <v>Yes</v>
      </c>
      <c r="I69" s="4" t="str">
        <f t="shared" si="1"/>
        <v>TN</v>
      </c>
      <c r="J69" s="42"/>
      <c r="K69" s="42"/>
      <c r="L69" s="42"/>
      <c r="N69" s="46"/>
    </row>
    <row r="70" spans="1:14" ht="14.6" x14ac:dyDescent="0.4">
      <c r="A70" s="8" t="s">
        <v>48</v>
      </c>
      <c r="B70" s="8" t="s">
        <v>71</v>
      </c>
      <c r="C70" s="8" t="s">
        <v>49</v>
      </c>
      <c r="D70" s="8" t="s">
        <v>72</v>
      </c>
      <c r="E70" s="8" t="s">
        <v>18</v>
      </c>
      <c r="F70" s="8" t="s">
        <v>1520</v>
      </c>
      <c r="G70" s="8" t="s">
        <v>1520</v>
      </c>
      <c r="H70" s="23" t="str">
        <f t="shared" si="0"/>
        <v>Yes</v>
      </c>
      <c r="I70" s="4" t="str">
        <f t="shared" si="1"/>
        <v>TN</v>
      </c>
      <c r="J70" s="42"/>
      <c r="K70" s="42"/>
      <c r="L70" s="42"/>
      <c r="N70" s="46"/>
    </row>
    <row r="71" spans="1:14" ht="14.6" x14ac:dyDescent="0.4">
      <c r="A71" s="8" t="s">
        <v>48</v>
      </c>
      <c r="B71" s="8" t="s">
        <v>92</v>
      </c>
      <c r="C71" s="8" t="s">
        <v>49</v>
      </c>
      <c r="D71" s="8" t="s">
        <v>93</v>
      </c>
      <c r="E71" s="8" t="s">
        <v>18</v>
      </c>
      <c r="F71" s="8" t="s">
        <v>1520</v>
      </c>
      <c r="G71" s="8" t="s">
        <v>1520</v>
      </c>
      <c r="H71" s="23" t="str">
        <f t="shared" si="0"/>
        <v>Yes</v>
      </c>
      <c r="I71" s="4" t="str">
        <f t="shared" si="1"/>
        <v>TN</v>
      </c>
      <c r="J71" s="42"/>
      <c r="K71" s="42"/>
      <c r="L71" s="42"/>
      <c r="N71" s="46"/>
    </row>
    <row r="72" spans="1:14" ht="14.6" x14ac:dyDescent="0.4">
      <c r="A72" s="8" t="s">
        <v>48</v>
      </c>
      <c r="B72" s="8" t="s">
        <v>1065</v>
      </c>
      <c r="C72" s="8" t="s">
        <v>49</v>
      </c>
      <c r="D72" s="8" t="s">
        <v>1062</v>
      </c>
      <c r="E72" s="8" t="s">
        <v>18</v>
      </c>
      <c r="F72" s="8" t="s">
        <v>1520</v>
      </c>
      <c r="G72" s="8" t="s">
        <v>1520</v>
      </c>
      <c r="H72" s="23" t="str">
        <f t="shared" si="0"/>
        <v>Yes</v>
      </c>
      <c r="I72" s="4" t="str">
        <f t="shared" si="1"/>
        <v>TN</v>
      </c>
      <c r="J72" s="42"/>
      <c r="K72" s="42"/>
      <c r="L72" s="42"/>
      <c r="N72" s="46"/>
    </row>
    <row r="73" spans="1:14" ht="14.6" x14ac:dyDescent="0.4">
      <c r="A73" s="8" t="s">
        <v>48</v>
      </c>
      <c r="B73" s="8" t="s">
        <v>1134</v>
      </c>
      <c r="C73" s="8" t="s">
        <v>49</v>
      </c>
      <c r="D73" s="8" t="s">
        <v>1070</v>
      </c>
      <c r="E73" s="8" t="s">
        <v>18</v>
      </c>
      <c r="F73" s="8" t="s">
        <v>1520</v>
      </c>
      <c r="G73" s="8" t="s">
        <v>1520</v>
      </c>
      <c r="H73" s="23" t="str">
        <f t="shared" si="0"/>
        <v>Yes</v>
      </c>
      <c r="I73" s="4" t="str">
        <f t="shared" si="1"/>
        <v>TN</v>
      </c>
      <c r="J73" s="42"/>
      <c r="K73" s="42"/>
      <c r="L73" s="42"/>
      <c r="N73" s="46"/>
    </row>
    <row r="74" spans="1:14" ht="14.6" x14ac:dyDescent="0.4">
      <c r="A74" s="8" t="s">
        <v>71</v>
      </c>
      <c r="B74" s="8" t="s">
        <v>92</v>
      </c>
      <c r="C74" s="8" t="s">
        <v>72</v>
      </c>
      <c r="D74" s="8" t="s">
        <v>93</v>
      </c>
      <c r="E74" s="8" t="s">
        <v>18</v>
      </c>
      <c r="F74" s="8" t="s">
        <v>1520</v>
      </c>
      <c r="G74" s="8" t="s">
        <v>1520</v>
      </c>
      <c r="H74" s="23" t="str">
        <f t="shared" si="0"/>
        <v>Yes</v>
      </c>
      <c r="I74" s="4" t="str">
        <f t="shared" si="1"/>
        <v>TN</v>
      </c>
      <c r="J74" s="42"/>
      <c r="K74" s="42"/>
      <c r="L74" s="42"/>
      <c r="N74" s="46"/>
    </row>
    <row r="75" spans="1:14" ht="14.6" x14ac:dyDescent="0.4">
      <c r="A75" s="8" t="s">
        <v>71</v>
      </c>
      <c r="B75" s="8" t="s">
        <v>1065</v>
      </c>
      <c r="C75" s="8" t="s">
        <v>72</v>
      </c>
      <c r="D75" s="8" t="s">
        <v>1062</v>
      </c>
      <c r="E75" s="8" t="s">
        <v>18</v>
      </c>
      <c r="F75" s="8" t="s">
        <v>1520</v>
      </c>
      <c r="G75" s="8" t="s">
        <v>1520</v>
      </c>
      <c r="H75" s="23" t="str">
        <f t="shared" si="0"/>
        <v>Yes</v>
      </c>
      <c r="I75" s="4" t="str">
        <f t="shared" si="1"/>
        <v>TN</v>
      </c>
      <c r="J75" s="42"/>
      <c r="K75" s="42"/>
      <c r="L75" s="42"/>
      <c r="N75" s="46"/>
    </row>
    <row r="76" spans="1:14" ht="14.6" x14ac:dyDescent="0.4">
      <c r="A76" s="8" t="s">
        <v>71</v>
      </c>
      <c r="B76" s="8" t="s">
        <v>1134</v>
      </c>
      <c r="C76" s="8" t="s">
        <v>72</v>
      </c>
      <c r="D76" s="8" t="s">
        <v>1070</v>
      </c>
      <c r="E76" s="8" t="s">
        <v>18</v>
      </c>
      <c r="F76" s="8" t="s">
        <v>1520</v>
      </c>
      <c r="G76" s="8" t="s">
        <v>1520</v>
      </c>
      <c r="H76" s="23" t="str">
        <f t="shared" si="0"/>
        <v>Yes</v>
      </c>
      <c r="I76" s="4" t="str">
        <f t="shared" si="1"/>
        <v>TN</v>
      </c>
      <c r="J76" s="42"/>
      <c r="K76" s="42"/>
      <c r="L76" s="42"/>
      <c r="N76" s="46"/>
    </row>
    <row r="77" spans="1:14" ht="14.6" x14ac:dyDescent="0.4">
      <c r="A77" s="8" t="s">
        <v>92</v>
      </c>
      <c r="B77" s="8" t="s">
        <v>1065</v>
      </c>
      <c r="C77" s="8" t="s">
        <v>93</v>
      </c>
      <c r="D77" s="8" t="s">
        <v>1062</v>
      </c>
      <c r="E77" s="8" t="s">
        <v>18</v>
      </c>
      <c r="F77" s="8" t="s">
        <v>1520</v>
      </c>
      <c r="G77" s="8" t="s">
        <v>1520</v>
      </c>
      <c r="H77" s="23" t="str">
        <f t="shared" si="0"/>
        <v>Yes</v>
      </c>
      <c r="I77" s="4" t="str">
        <f t="shared" si="1"/>
        <v>TN</v>
      </c>
      <c r="J77" s="42"/>
      <c r="K77" s="42"/>
      <c r="L77" s="42"/>
      <c r="N77" s="46"/>
    </row>
    <row r="78" spans="1:14" ht="14.6" x14ac:dyDescent="0.4">
      <c r="A78" s="8" t="s">
        <v>92</v>
      </c>
      <c r="B78" s="8" t="s">
        <v>1134</v>
      </c>
      <c r="C78" s="8" t="s">
        <v>93</v>
      </c>
      <c r="D78" s="8" t="s">
        <v>1070</v>
      </c>
      <c r="E78" s="8" t="s">
        <v>18</v>
      </c>
      <c r="F78" s="8" t="s">
        <v>1520</v>
      </c>
      <c r="G78" s="8" t="s">
        <v>1520</v>
      </c>
      <c r="H78" s="23" t="str">
        <f t="shared" si="0"/>
        <v>Yes</v>
      </c>
      <c r="I78" s="4" t="str">
        <f t="shared" si="1"/>
        <v>TN</v>
      </c>
      <c r="J78" s="42"/>
      <c r="K78" s="42"/>
      <c r="L78" s="42"/>
      <c r="N78" s="46"/>
    </row>
    <row r="79" spans="1:14" ht="14.6" x14ac:dyDescent="0.4">
      <c r="A79" s="8" t="s">
        <v>1069</v>
      </c>
      <c r="B79" s="8" t="s">
        <v>1097</v>
      </c>
      <c r="C79" s="8" t="s">
        <v>1070</v>
      </c>
      <c r="D79" s="8" t="s">
        <v>1038</v>
      </c>
      <c r="E79" s="8" t="s">
        <v>65</v>
      </c>
      <c r="F79" s="8" t="s">
        <v>1522</v>
      </c>
      <c r="G79" s="8" t="s">
        <v>1522</v>
      </c>
      <c r="H79" s="23" t="str">
        <f t="shared" si="0"/>
        <v>Yes</v>
      </c>
      <c r="I79" s="4" t="str">
        <f t="shared" si="1"/>
        <v>TP</v>
      </c>
      <c r="J79" s="42"/>
      <c r="K79" s="42"/>
      <c r="L79" s="42"/>
      <c r="N79" s="46"/>
    </row>
    <row r="80" spans="1:14" ht="14.6" x14ac:dyDescent="0.4">
      <c r="A80" s="8" t="s">
        <v>1115</v>
      </c>
      <c r="B80" s="8" t="s">
        <v>1121</v>
      </c>
      <c r="C80" s="8" t="s">
        <v>1047</v>
      </c>
      <c r="D80" s="8" t="s">
        <v>1031</v>
      </c>
      <c r="E80" s="8" t="s">
        <v>65</v>
      </c>
      <c r="F80" s="8" t="s">
        <v>1522</v>
      </c>
      <c r="G80" s="8" t="s">
        <v>1522</v>
      </c>
      <c r="H80" s="23" t="str">
        <f t="shared" si="0"/>
        <v>Yes</v>
      </c>
      <c r="I80" s="4" t="str">
        <f t="shared" si="1"/>
        <v>TP</v>
      </c>
      <c r="J80" s="42"/>
      <c r="K80" s="42"/>
      <c r="L80" s="42"/>
      <c r="N80" s="46"/>
    </row>
    <row r="81" spans="1:14" ht="14.6" x14ac:dyDescent="0.4">
      <c r="A81" s="8" t="s">
        <v>63</v>
      </c>
      <c r="B81" s="8" t="s">
        <v>73</v>
      </c>
      <c r="C81" s="8" t="s">
        <v>64</v>
      </c>
      <c r="D81" s="8" t="s">
        <v>74</v>
      </c>
      <c r="E81" s="8" t="s">
        <v>65</v>
      </c>
      <c r="F81" s="8" t="s">
        <v>1520</v>
      </c>
      <c r="G81" s="8" t="s">
        <v>1520</v>
      </c>
      <c r="H81" s="23" t="str">
        <f t="shared" si="0"/>
        <v>Yes</v>
      </c>
      <c r="I81" s="4" t="str">
        <f t="shared" si="1"/>
        <v>TN</v>
      </c>
      <c r="J81" s="42"/>
      <c r="K81" s="42"/>
      <c r="L81" s="42"/>
      <c r="N81" s="46"/>
    </row>
    <row r="82" spans="1:14" ht="14.6" x14ac:dyDescent="0.4">
      <c r="A82" s="8" t="s">
        <v>63</v>
      </c>
      <c r="B82" s="8" t="s">
        <v>75</v>
      </c>
      <c r="C82" s="8" t="s">
        <v>64</v>
      </c>
      <c r="D82" s="8" t="s">
        <v>76</v>
      </c>
      <c r="E82" s="8" t="s">
        <v>65</v>
      </c>
      <c r="F82" s="8" t="s">
        <v>1520</v>
      </c>
      <c r="G82" s="8" t="s">
        <v>1520</v>
      </c>
      <c r="H82" s="23" t="str">
        <f t="shared" si="0"/>
        <v>Yes</v>
      </c>
      <c r="I82" s="4" t="str">
        <f t="shared" si="1"/>
        <v>TN</v>
      </c>
      <c r="J82" s="42"/>
      <c r="K82" s="42"/>
      <c r="L82" s="42"/>
      <c r="N82" s="46"/>
    </row>
    <row r="83" spans="1:14" ht="14.6" x14ac:dyDescent="0.4">
      <c r="A83" s="8" t="s">
        <v>63</v>
      </c>
      <c r="B83" s="8" t="s">
        <v>89</v>
      </c>
      <c r="C83" s="8" t="s">
        <v>64</v>
      </c>
      <c r="D83" s="8" t="s">
        <v>90</v>
      </c>
      <c r="E83" s="8" t="s">
        <v>65</v>
      </c>
      <c r="F83" s="8" t="s">
        <v>1520</v>
      </c>
      <c r="G83" s="8" t="s">
        <v>1520</v>
      </c>
      <c r="H83" s="23" t="str">
        <f t="shared" si="0"/>
        <v>Yes</v>
      </c>
      <c r="I83" s="4" t="str">
        <f t="shared" si="1"/>
        <v>TN</v>
      </c>
      <c r="J83" s="42"/>
      <c r="K83" s="42"/>
      <c r="L83" s="42"/>
      <c r="N83" s="46"/>
    </row>
    <row r="84" spans="1:14" ht="14.6" x14ac:dyDescent="0.4">
      <c r="A84" s="8" t="s">
        <v>63</v>
      </c>
      <c r="B84" s="8" t="s">
        <v>1069</v>
      </c>
      <c r="C84" s="8" t="s">
        <v>64</v>
      </c>
      <c r="D84" s="8" t="s">
        <v>1070</v>
      </c>
      <c r="E84" s="8" t="s">
        <v>65</v>
      </c>
      <c r="F84" s="8" t="s">
        <v>1520</v>
      </c>
      <c r="G84" s="8" t="s">
        <v>1520</v>
      </c>
      <c r="H84" s="23" t="str">
        <f t="shared" si="0"/>
        <v>Yes</v>
      </c>
      <c r="I84" s="4" t="str">
        <f t="shared" si="1"/>
        <v>TN</v>
      </c>
      <c r="J84" s="42"/>
      <c r="K84" s="42"/>
      <c r="L84" s="42"/>
      <c r="N84" s="46"/>
    </row>
    <row r="85" spans="1:14" ht="14.6" x14ac:dyDescent="0.4">
      <c r="A85" s="8" t="s">
        <v>63</v>
      </c>
      <c r="B85" s="8" t="s">
        <v>1097</v>
      </c>
      <c r="C85" s="8" t="s">
        <v>64</v>
      </c>
      <c r="D85" s="8" t="s">
        <v>1038</v>
      </c>
      <c r="E85" s="8" t="s">
        <v>65</v>
      </c>
      <c r="F85" s="8" t="s">
        <v>1520</v>
      </c>
      <c r="G85" s="8" t="s">
        <v>1520</v>
      </c>
      <c r="H85" s="23" t="str">
        <f t="shared" si="0"/>
        <v>Yes</v>
      </c>
      <c r="I85" s="4" t="str">
        <f t="shared" si="1"/>
        <v>TN</v>
      </c>
      <c r="J85" s="42"/>
      <c r="K85" s="42"/>
      <c r="L85" s="42"/>
      <c r="N85" s="46"/>
    </row>
    <row r="86" spans="1:14" ht="14.6" x14ac:dyDescent="0.4">
      <c r="A86" s="8" t="s">
        <v>63</v>
      </c>
      <c r="B86" s="8" t="s">
        <v>1115</v>
      </c>
      <c r="C86" s="8" t="s">
        <v>64</v>
      </c>
      <c r="D86" s="8" t="s">
        <v>1047</v>
      </c>
      <c r="E86" s="8" t="s">
        <v>65</v>
      </c>
      <c r="F86" s="8" t="s">
        <v>1520</v>
      </c>
      <c r="G86" s="8" t="s">
        <v>1520</v>
      </c>
      <c r="H86" s="23" t="str">
        <f t="shared" si="0"/>
        <v>Yes</v>
      </c>
      <c r="I86" s="4" t="str">
        <f t="shared" si="1"/>
        <v>TN</v>
      </c>
      <c r="J86" s="42"/>
      <c r="K86" s="42"/>
      <c r="L86" s="42"/>
      <c r="N86" s="46"/>
    </row>
    <row r="87" spans="1:14" ht="14.6" x14ac:dyDescent="0.4">
      <c r="A87" s="8" t="s">
        <v>63</v>
      </c>
      <c r="B87" s="8" t="s">
        <v>1121</v>
      </c>
      <c r="C87" s="8" t="s">
        <v>64</v>
      </c>
      <c r="D87" s="8" t="s">
        <v>1031</v>
      </c>
      <c r="E87" s="8" t="s">
        <v>65</v>
      </c>
      <c r="F87" s="8" t="s">
        <v>1520</v>
      </c>
      <c r="G87" s="8" t="s">
        <v>1520</v>
      </c>
      <c r="H87" s="23" t="str">
        <f t="shared" si="0"/>
        <v>Yes</v>
      </c>
      <c r="I87" s="4" t="str">
        <f t="shared" si="1"/>
        <v>TN</v>
      </c>
      <c r="J87" s="42"/>
      <c r="K87" s="42"/>
      <c r="L87" s="42"/>
      <c r="N87" s="46"/>
    </row>
    <row r="88" spans="1:14" ht="14.6" x14ac:dyDescent="0.4">
      <c r="A88" s="8" t="s">
        <v>73</v>
      </c>
      <c r="B88" s="8" t="s">
        <v>75</v>
      </c>
      <c r="C88" s="8" t="s">
        <v>74</v>
      </c>
      <c r="D88" s="8" t="s">
        <v>76</v>
      </c>
      <c r="E88" s="8" t="s">
        <v>65</v>
      </c>
      <c r="F88" s="8" t="s">
        <v>1520</v>
      </c>
      <c r="G88" s="8" t="s">
        <v>1520</v>
      </c>
      <c r="H88" s="23" t="str">
        <f t="shared" si="0"/>
        <v>Yes</v>
      </c>
      <c r="I88" s="4" t="str">
        <f t="shared" si="1"/>
        <v>TN</v>
      </c>
      <c r="J88" s="42"/>
      <c r="K88" s="42"/>
      <c r="L88" s="42"/>
      <c r="N88" s="46"/>
    </row>
    <row r="89" spans="1:14" ht="14.6" x14ac:dyDescent="0.4">
      <c r="A89" s="8" t="s">
        <v>73</v>
      </c>
      <c r="B89" s="8" t="s">
        <v>89</v>
      </c>
      <c r="C89" s="8" t="s">
        <v>74</v>
      </c>
      <c r="D89" s="8" t="s">
        <v>90</v>
      </c>
      <c r="E89" s="8" t="s">
        <v>65</v>
      </c>
      <c r="F89" s="8" t="s">
        <v>1520</v>
      </c>
      <c r="G89" s="8" t="s">
        <v>1520</v>
      </c>
      <c r="H89" s="23" t="str">
        <f t="shared" si="0"/>
        <v>Yes</v>
      </c>
      <c r="I89" s="4" t="str">
        <f t="shared" si="1"/>
        <v>TN</v>
      </c>
      <c r="J89" s="42"/>
      <c r="K89" s="42"/>
      <c r="L89" s="42"/>
      <c r="N89" s="46"/>
    </row>
    <row r="90" spans="1:14" ht="14.6" x14ac:dyDescent="0.4">
      <c r="A90" s="8" t="s">
        <v>73</v>
      </c>
      <c r="B90" s="8" t="s">
        <v>1069</v>
      </c>
      <c r="C90" s="8" t="s">
        <v>74</v>
      </c>
      <c r="D90" s="8" t="s">
        <v>1070</v>
      </c>
      <c r="E90" s="8" t="s">
        <v>65</v>
      </c>
      <c r="F90" s="8" t="s">
        <v>1520</v>
      </c>
      <c r="G90" s="8" t="s">
        <v>1520</v>
      </c>
      <c r="H90" s="23" t="str">
        <f t="shared" si="0"/>
        <v>Yes</v>
      </c>
      <c r="I90" s="4" t="str">
        <f t="shared" si="1"/>
        <v>TN</v>
      </c>
      <c r="J90" s="42"/>
      <c r="K90" s="42"/>
      <c r="L90" s="42"/>
      <c r="N90" s="46"/>
    </row>
    <row r="91" spans="1:14" ht="14.6" x14ac:dyDescent="0.4">
      <c r="A91" s="8" t="s">
        <v>73</v>
      </c>
      <c r="B91" s="8" t="s">
        <v>1097</v>
      </c>
      <c r="C91" s="8" t="s">
        <v>74</v>
      </c>
      <c r="D91" s="8" t="s">
        <v>1038</v>
      </c>
      <c r="E91" s="8" t="s">
        <v>65</v>
      </c>
      <c r="F91" s="8" t="s">
        <v>1520</v>
      </c>
      <c r="G91" s="8" t="s">
        <v>1520</v>
      </c>
      <c r="H91" s="23" t="str">
        <f t="shared" si="0"/>
        <v>Yes</v>
      </c>
      <c r="I91" s="4" t="str">
        <f t="shared" si="1"/>
        <v>TN</v>
      </c>
      <c r="J91" s="42"/>
      <c r="K91" s="42"/>
      <c r="L91" s="42"/>
      <c r="N91" s="46"/>
    </row>
    <row r="92" spans="1:14" ht="14.6" x14ac:dyDescent="0.4">
      <c r="A92" s="8" t="s">
        <v>73</v>
      </c>
      <c r="B92" s="8" t="s">
        <v>1115</v>
      </c>
      <c r="C92" s="8" t="s">
        <v>74</v>
      </c>
      <c r="D92" s="8" t="s">
        <v>1047</v>
      </c>
      <c r="E92" s="8" t="s">
        <v>65</v>
      </c>
      <c r="F92" s="8" t="s">
        <v>1520</v>
      </c>
      <c r="G92" s="8" t="s">
        <v>1520</v>
      </c>
      <c r="H92" s="23" t="str">
        <f t="shared" si="0"/>
        <v>Yes</v>
      </c>
      <c r="I92" s="4" t="str">
        <f t="shared" si="1"/>
        <v>TN</v>
      </c>
      <c r="J92" s="42"/>
      <c r="K92" s="42"/>
      <c r="L92" s="42"/>
      <c r="N92" s="46"/>
    </row>
    <row r="93" spans="1:14" ht="14.6" x14ac:dyDescent="0.4">
      <c r="A93" s="8" t="s">
        <v>73</v>
      </c>
      <c r="B93" s="8" t="s">
        <v>1121</v>
      </c>
      <c r="C93" s="8" t="s">
        <v>74</v>
      </c>
      <c r="D93" s="8" t="s">
        <v>1031</v>
      </c>
      <c r="E93" s="8" t="s">
        <v>65</v>
      </c>
      <c r="F93" s="8" t="s">
        <v>1520</v>
      </c>
      <c r="G93" s="8" t="s">
        <v>1520</v>
      </c>
      <c r="H93" s="23" t="str">
        <f t="shared" si="0"/>
        <v>Yes</v>
      </c>
      <c r="I93" s="4" t="str">
        <f t="shared" si="1"/>
        <v>TN</v>
      </c>
      <c r="J93" s="42"/>
      <c r="K93" s="42"/>
      <c r="L93" s="42"/>
      <c r="N93" s="46"/>
    </row>
    <row r="94" spans="1:14" ht="14.6" x14ac:dyDescent="0.4">
      <c r="A94" s="8" t="s">
        <v>75</v>
      </c>
      <c r="B94" s="8" t="s">
        <v>89</v>
      </c>
      <c r="C94" s="8" t="s">
        <v>76</v>
      </c>
      <c r="D94" s="8" t="s">
        <v>90</v>
      </c>
      <c r="E94" s="8" t="s">
        <v>65</v>
      </c>
      <c r="F94" s="8" t="s">
        <v>1520</v>
      </c>
      <c r="G94" s="8" t="s">
        <v>1520</v>
      </c>
      <c r="H94" s="23" t="str">
        <f t="shared" si="0"/>
        <v>Yes</v>
      </c>
      <c r="I94" s="4" t="str">
        <f t="shared" si="1"/>
        <v>TN</v>
      </c>
      <c r="J94" s="42"/>
      <c r="K94" s="42"/>
      <c r="L94" s="42"/>
      <c r="N94" s="46"/>
    </row>
    <row r="95" spans="1:14" ht="14.6" x14ac:dyDescent="0.4">
      <c r="A95" s="8" t="s">
        <v>75</v>
      </c>
      <c r="B95" s="8" t="s">
        <v>1069</v>
      </c>
      <c r="C95" s="8" t="s">
        <v>76</v>
      </c>
      <c r="D95" s="8" t="s">
        <v>1070</v>
      </c>
      <c r="E95" s="8" t="s">
        <v>65</v>
      </c>
      <c r="F95" s="8" t="s">
        <v>1520</v>
      </c>
      <c r="G95" s="8" t="s">
        <v>1520</v>
      </c>
      <c r="H95" s="23" t="str">
        <f t="shared" si="0"/>
        <v>Yes</v>
      </c>
      <c r="I95" s="4" t="str">
        <f t="shared" si="1"/>
        <v>TN</v>
      </c>
      <c r="J95" s="42"/>
      <c r="K95" s="42"/>
      <c r="L95" s="42"/>
      <c r="N95" s="46"/>
    </row>
    <row r="96" spans="1:14" ht="14.6" x14ac:dyDescent="0.4">
      <c r="A96" s="8" t="s">
        <v>75</v>
      </c>
      <c r="B96" s="8" t="s">
        <v>1097</v>
      </c>
      <c r="C96" s="8" t="s">
        <v>76</v>
      </c>
      <c r="D96" s="8" t="s">
        <v>1038</v>
      </c>
      <c r="E96" s="8" t="s">
        <v>65</v>
      </c>
      <c r="F96" s="8" t="s">
        <v>1520</v>
      </c>
      <c r="G96" s="8" t="s">
        <v>1520</v>
      </c>
      <c r="H96" s="23" t="str">
        <f t="shared" si="0"/>
        <v>Yes</v>
      </c>
      <c r="I96" s="4" t="str">
        <f t="shared" si="1"/>
        <v>TN</v>
      </c>
      <c r="J96" s="42"/>
      <c r="K96" s="42"/>
      <c r="L96" s="42"/>
      <c r="N96" s="46"/>
    </row>
    <row r="97" spans="1:14" ht="14.6" x14ac:dyDescent="0.4">
      <c r="A97" s="8" t="s">
        <v>75</v>
      </c>
      <c r="B97" s="8" t="s">
        <v>1115</v>
      </c>
      <c r="C97" s="8" t="s">
        <v>76</v>
      </c>
      <c r="D97" s="8" t="s">
        <v>1047</v>
      </c>
      <c r="E97" s="8" t="s">
        <v>65</v>
      </c>
      <c r="F97" s="8" t="s">
        <v>1520</v>
      </c>
      <c r="G97" s="8" t="s">
        <v>1520</v>
      </c>
      <c r="H97" s="23" t="str">
        <f t="shared" si="0"/>
        <v>Yes</v>
      </c>
      <c r="I97" s="4" t="str">
        <f t="shared" si="1"/>
        <v>TN</v>
      </c>
      <c r="J97" s="42"/>
      <c r="K97" s="42"/>
      <c r="L97" s="42"/>
      <c r="N97" s="46"/>
    </row>
    <row r="98" spans="1:14" ht="14.6" x14ac:dyDescent="0.4">
      <c r="A98" s="8" t="s">
        <v>75</v>
      </c>
      <c r="B98" s="8" t="s">
        <v>1121</v>
      </c>
      <c r="C98" s="8" t="s">
        <v>76</v>
      </c>
      <c r="D98" s="8" t="s">
        <v>1031</v>
      </c>
      <c r="E98" s="8" t="s">
        <v>65</v>
      </c>
      <c r="F98" s="8" t="s">
        <v>1520</v>
      </c>
      <c r="G98" s="8" t="s">
        <v>1520</v>
      </c>
      <c r="H98" s="23" t="str">
        <f t="shared" si="0"/>
        <v>Yes</v>
      </c>
      <c r="I98" s="4" t="str">
        <f t="shared" si="1"/>
        <v>TN</v>
      </c>
      <c r="J98" s="42"/>
      <c r="K98" s="42"/>
      <c r="L98" s="42"/>
      <c r="N98" s="46"/>
    </row>
    <row r="99" spans="1:14" ht="14.6" x14ac:dyDescent="0.4">
      <c r="A99" s="8" t="s">
        <v>89</v>
      </c>
      <c r="B99" s="8" t="s">
        <v>1069</v>
      </c>
      <c r="C99" s="8" t="s">
        <v>90</v>
      </c>
      <c r="D99" s="8" t="s">
        <v>1070</v>
      </c>
      <c r="E99" s="8" t="s">
        <v>65</v>
      </c>
      <c r="F99" s="8" t="s">
        <v>1520</v>
      </c>
      <c r="G99" s="8" t="s">
        <v>1520</v>
      </c>
      <c r="H99" s="23" t="str">
        <f t="shared" si="0"/>
        <v>Yes</v>
      </c>
      <c r="I99" s="4" t="str">
        <f t="shared" si="1"/>
        <v>TN</v>
      </c>
      <c r="J99" s="42"/>
      <c r="K99" s="42"/>
      <c r="L99" s="42"/>
      <c r="N99" s="46"/>
    </row>
    <row r="100" spans="1:14" ht="14.6" x14ac:dyDescent="0.4">
      <c r="A100" s="8" t="s">
        <v>89</v>
      </c>
      <c r="B100" s="8" t="s">
        <v>1097</v>
      </c>
      <c r="C100" s="8" t="s">
        <v>90</v>
      </c>
      <c r="D100" s="8" t="s">
        <v>1038</v>
      </c>
      <c r="E100" s="8" t="s">
        <v>65</v>
      </c>
      <c r="F100" s="8" t="s">
        <v>1520</v>
      </c>
      <c r="G100" s="8" t="s">
        <v>1520</v>
      </c>
      <c r="H100" s="23" t="str">
        <f t="shared" si="0"/>
        <v>Yes</v>
      </c>
      <c r="I100" s="4" t="str">
        <f t="shared" si="1"/>
        <v>TN</v>
      </c>
      <c r="J100" s="42"/>
      <c r="K100" s="42"/>
      <c r="L100" s="42"/>
      <c r="N100" s="46"/>
    </row>
    <row r="101" spans="1:14" ht="14.6" x14ac:dyDescent="0.4">
      <c r="A101" s="8" t="s">
        <v>89</v>
      </c>
      <c r="B101" s="8" t="s">
        <v>1115</v>
      </c>
      <c r="C101" s="8" t="s">
        <v>90</v>
      </c>
      <c r="D101" s="8" t="s">
        <v>1047</v>
      </c>
      <c r="E101" s="8" t="s">
        <v>65</v>
      </c>
      <c r="F101" s="8" t="s">
        <v>1520</v>
      </c>
      <c r="G101" s="8" t="s">
        <v>1520</v>
      </c>
      <c r="H101" s="23" t="str">
        <f t="shared" si="0"/>
        <v>Yes</v>
      </c>
      <c r="I101" s="4" t="str">
        <f t="shared" si="1"/>
        <v>TN</v>
      </c>
      <c r="J101" s="42"/>
      <c r="K101" s="42"/>
      <c r="L101" s="42"/>
      <c r="N101" s="46"/>
    </row>
    <row r="102" spans="1:14" ht="14.6" x14ac:dyDescent="0.4">
      <c r="A102" s="8" t="s">
        <v>89</v>
      </c>
      <c r="B102" s="8" t="s">
        <v>1121</v>
      </c>
      <c r="C102" s="8" t="s">
        <v>90</v>
      </c>
      <c r="D102" s="8" t="s">
        <v>1031</v>
      </c>
      <c r="E102" s="8" t="s">
        <v>65</v>
      </c>
      <c r="F102" s="8" t="s">
        <v>1520</v>
      </c>
      <c r="G102" s="8" t="s">
        <v>1520</v>
      </c>
      <c r="H102" s="23" t="str">
        <f t="shared" si="0"/>
        <v>Yes</v>
      </c>
      <c r="I102" s="4" t="str">
        <f t="shared" si="1"/>
        <v>TN</v>
      </c>
      <c r="J102" s="42"/>
      <c r="K102" s="42"/>
      <c r="L102" s="42"/>
      <c r="N102" s="46"/>
    </row>
    <row r="103" spans="1:14" ht="14.6" x14ac:dyDescent="0.4">
      <c r="A103" s="8" t="s">
        <v>1069</v>
      </c>
      <c r="B103" s="8" t="s">
        <v>1115</v>
      </c>
      <c r="C103" s="8" t="s">
        <v>1070</v>
      </c>
      <c r="D103" s="8" t="s">
        <v>1047</v>
      </c>
      <c r="E103" s="8" t="s">
        <v>65</v>
      </c>
      <c r="F103" s="8" t="s">
        <v>1520</v>
      </c>
      <c r="G103" s="8" t="s">
        <v>1520</v>
      </c>
      <c r="H103" s="23" t="str">
        <f t="shared" si="0"/>
        <v>Yes</v>
      </c>
      <c r="I103" s="4" t="str">
        <f t="shared" si="1"/>
        <v>TN</v>
      </c>
      <c r="J103" s="42"/>
      <c r="K103" s="42"/>
      <c r="L103" s="42"/>
      <c r="N103" s="46"/>
    </row>
    <row r="104" spans="1:14" ht="14.6" x14ac:dyDescent="0.4">
      <c r="A104" s="8" t="s">
        <v>1069</v>
      </c>
      <c r="B104" s="8" t="s">
        <v>1121</v>
      </c>
      <c r="C104" s="8" t="s">
        <v>1070</v>
      </c>
      <c r="D104" s="8" t="s">
        <v>1031</v>
      </c>
      <c r="E104" s="8" t="s">
        <v>65</v>
      </c>
      <c r="F104" s="8" t="s">
        <v>1520</v>
      </c>
      <c r="G104" s="8" t="s">
        <v>1520</v>
      </c>
      <c r="H104" s="23" t="str">
        <f t="shared" si="0"/>
        <v>Yes</v>
      </c>
      <c r="I104" s="4" t="str">
        <f t="shared" si="1"/>
        <v>TN</v>
      </c>
      <c r="J104" s="42"/>
      <c r="K104" s="42"/>
      <c r="L104" s="42"/>
      <c r="N104" s="46"/>
    </row>
    <row r="105" spans="1:14" ht="14.6" x14ac:dyDescent="0.4">
      <c r="A105" s="8" t="s">
        <v>1097</v>
      </c>
      <c r="B105" s="8" t="s">
        <v>1115</v>
      </c>
      <c r="C105" s="8" t="s">
        <v>1038</v>
      </c>
      <c r="D105" s="8" t="s">
        <v>1047</v>
      </c>
      <c r="E105" s="8" t="s">
        <v>65</v>
      </c>
      <c r="F105" s="8" t="s">
        <v>1520</v>
      </c>
      <c r="G105" s="8" t="s">
        <v>1520</v>
      </c>
      <c r="H105" s="23" t="str">
        <f t="shared" si="0"/>
        <v>Yes</v>
      </c>
      <c r="I105" s="4" t="str">
        <f t="shared" si="1"/>
        <v>TN</v>
      </c>
      <c r="J105" s="42"/>
      <c r="K105" s="42"/>
      <c r="L105" s="42"/>
      <c r="N105" s="46"/>
    </row>
    <row r="106" spans="1:14" ht="14.6" x14ac:dyDescent="0.4">
      <c r="A106" s="8" t="s">
        <v>1097</v>
      </c>
      <c r="B106" s="8" t="s">
        <v>1121</v>
      </c>
      <c r="C106" s="8" t="s">
        <v>1038</v>
      </c>
      <c r="D106" s="8" t="s">
        <v>1031</v>
      </c>
      <c r="E106" s="8" t="s">
        <v>65</v>
      </c>
      <c r="F106" s="8" t="s">
        <v>1520</v>
      </c>
      <c r="G106" s="8" t="s">
        <v>1520</v>
      </c>
      <c r="H106" s="23" t="str">
        <f t="shared" si="0"/>
        <v>Yes</v>
      </c>
      <c r="I106" s="4" t="str">
        <f t="shared" si="1"/>
        <v>TN</v>
      </c>
      <c r="J106" s="42"/>
      <c r="K106" s="42"/>
      <c r="L106" s="42"/>
      <c r="N106" s="46"/>
    </row>
    <row r="107" spans="1:14" ht="14.6" x14ac:dyDescent="0.4">
      <c r="A107" s="8" t="s">
        <v>1052</v>
      </c>
      <c r="B107" s="8" t="s">
        <v>1073</v>
      </c>
      <c r="C107" s="8" t="s">
        <v>1038</v>
      </c>
      <c r="D107" s="8" t="s">
        <v>1074</v>
      </c>
      <c r="E107" s="8" t="s">
        <v>68</v>
      </c>
      <c r="F107" s="8" t="s">
        <v>1520</v>
      </c>
      <c r="G107" s="8" t="s">
        <v>1522</v>
      </c>
      <c r="H107" s="23" t="str">
        <f t="shared" si="0"/>
        <v>No</v>
      </c>
      <c r="I107" s="4" t="str">
        <f t="shared" si="1"/>
        <v>FP</v>
      </c>
      <c r="J107" s="42"/>
      <c r="K107" s="42"/>
      <c r="L107" s="42"/>
      <c r="N107" s="46"/>
    </row>
    <row r="108" spans="1:14" ht="14.6" x14ac:dyDescent="0.4">
      <c r="A108" s="8" t="s">
        <v>1055</v>
      </c>
      <c r="B108" s="8" t="s">
        <v>1132</v>
      </c>
      <c r="C108" s="8" t="s">
        <v>1029</v>
      </c>
      <c r="D108" s="8" t="s">
        <v>1051</v>
      </c>
      <c r="E108" s="8" t="s">
        <v>68</v>
      </c>
      <c r="F108" s="8" t="s">
        <v>1520</v>
      </c>
      <c r="G108" s="8" t="s">
        <v>1522</v>
      </c>
      <c r="H108" s="23" t="str">
        <f t="shared" si="0"/>
        <v>No</v>
      </c>
      <c r="I108" s="4" t="str">
        <f t="shared" si="1"/>
        <v>FP</v>
      </c>
      <c r="J108" s="42"/>
      <c r="K108" s="42"/>
      <c r="L108" s="42"/>
      <c r="N108" s="46"/>
    </row>
    <row r="109" spans="1:14" ht="14.6" x14ac:dyDescent="0.4">
      <c r="A109" s="8" t="s">
        <v>66</v>
      </c>
      <c r="B109" s="8" t="s">
        <v>81</v>
      </c>
      <c r="C109" s="8" t="s">
        <v>67</v>
      </c>
      <c r="D109" s="8" t="s">
        <v>82</v>
      </c>
      <c r="E109" s="8" t="s">
        <v>68</v>
      </c>
      <c r="F109" s="8" t="s">
        <v>1520</v>
      </c>
      <c r="G109" s="8" t="s">
        <v>1520</v>
      </c>
      <c r="H109" s="23" t="str">
        <f t="shared" si="0"/>
        <v>Yes</v>
      </c>
      <c r="I109" s="4" t="str">
        <f t="shared" si="1"/>
        <v>TN</v>
      </c>
      <c r="J109" s="42"/>
      <c r="K109" s="42"/>
      <c r="L109" s="42"/>
      <c r="N109" s="46"/>
    </row>
    <row r="110" spans="1:14" ht="14.6" x14ac:dyDescent="0.4">
      <c r="A110" s="8" t="s">
        <v>66</v>
      </c>
      <c r="B110" s="8" t="s">
        <v>119</v>
      </c>
      <c r="C110" s="8" t="s">
        <v>67</v>
      </c>
      <c r="D110" s="8" t="s">
        <v>120</v>
      </c>
      <c r="E110" s="8" t="s">
        <v>68</v>
      </c>
      <c r="F110" s="8" t="s">
        <v>1520</v>
      </c>
      <c r="G110" s="8" t="s">
        <v>1520</v>
      </c>
      <c r="H110" s="23" t="str">
        <f t="shared" si="0"/>
        <v>Yes</v>
      </c>
      <c r="I110" s="4" t="str">
        <f t="shared" si="1"/>
        <v>TN</v>
      </c>
      <c r="J110" s="42"/>
      <c r="K110" s="42"/>
      <c r="L110" s="42"/>
      <c r="N110" s="46"/>
    </row>
    <row r="111" spans="1:14" ht="14.6" x14ac:dyDescent="0.4">
      <c r="A111" s="8" t="s">
        <v>66</v>
      </c>
      <c r="B111" s="8" t="s">
        <v>134</v>
      </c>
      <c r="C111" s="8" t="s">
        <v>67</v>
      </c>
      <c r="D111" s="8" t="s">
        <v>135</v>
      </c>
      <c r="E111" s="8" t="s">
        <v>68</v>
      </c>
      <c r="F111" s="8" t="s">
        <v>1520</v>
      </c>
      <c r="G111" s="8" t="s">
        <v>1520</v>
      </c>
      <c r="H111" s="23" t="str">
        <f t="shared" si="0"/>
        <v>Yes</v>
      </c>
      <c r="I111" s="4" t="str">
        <f t="shared" si="1"/>
        <v>TN</v>
      </c>
      <c r="J111" s="42"/>
      <c r="K111" s="42"/>
      <c r="L111" s="42"/>
      <c r="N111" s="46"/>
    </row>
    <row r="112" spans="1:14" ht="14.6" x14ac:dyDescent="0.4">
      <c r="A112" s="8" t="s">
        <v>66</v>
      </c>
      <c r="B112" s="8" t="s">
        <v>1052</v>
      </c>
      <c r="C112" s="8" t="s">
        <v>67</v>
      </c>
      <c r="D112" s="8" t="s">
        <v>1038</v>
      </c>
      <c r="E112" s="8" t="s">
        <v>68</v>
      </c>
      <c r="F112" s="8" t="s">
        <v>1520</v>
      </c>
      <c r="G112" s="8" t="s">
        <v>1520</v>
      </c>
      <c r="H112" s="23" t="str">
        <f t="shared" si="0"/>
        <v>Yes</v>
      </c>
      <c r="I112" s="4" t="str">
        <f t="shared" si="1"/>
        <v>TN</v>
      </c>
      <c r="J112" s="42"/>
      <c r="K112" s="42"/>
      <c r="L112" s="42"/>
      <c r="N112" s="46"/>
    </row>
    <row r="113" spans="1:14" ht="14.6" x14ac:dyDescent="0.4">
      <c r="A113" s="8" t="s">
        <v>66</v>
      </c>
      <c r="B113" s="8" t="s">
        <v>1055</v>
      </c>
      <c r="C113" s="8" t="s">
        <v>67</v>
      </c>
      <c r="D113" s="8" t="s">
        <v>1029</v>
      </c>
      <c r="E113" s="8" t="s">
        <v>68</v>
      </c>
      <c r="F113" s="8" t="s">
        <v>1520</v>
      </c>
      <c r="G113" s="8" t="s">
        <v>1520</v>
      </c>
      <c r="H113" s="23" t="str">
        <f t="shared" si="0"/>
        <v>Yes</v>
      </c>
      <c r="I113" s="4" t="str">
        <f t="shared" si="1"/>
        <v>TN</v>
      </c>
      <c r="J113" s="42"/>
      <c r="K113" s="42"/>
      <c r="L113" s="42"/>
      <c r="N113" s="46"/>
    </row>
    <row r="114" spans="1:14" ht="14.6" x14ac:dyDescent="0.4">
      <c r="A114" s="8" t="s">
        <v>66</v>
      </c>
      <c r="B114" s="8" t="s">
        <v>1073</v>
      </c>
      <c r="C114" s="8" t="s">
        <v>67</v>
      </c>
      <c r="D114" s="8" t="s">
        <v>1074</v>
      </c>
      <c r="E114" s="8" t="s">
        <v>68</v>
      </c>
      <c r="F114" s="8" t="s">
        <v>1520</v>
      </c>
      <c r="G114" s="8" t="s">
        <v>1520</v>
      </c>
      <c r="H114" s="23" t="str">
        <f t="shared" si="0"/>
        <v>Yes</v>
      </c>
      <c r="I114" s="4" t="str">
        <f t="shared" si="1"/>
        <v>TN</v>
      </c>
      <c r="J114" s="42"/>
      <c r="K114" s="42"/>
      <c r="L114" s="42"/>
      <c r="N114" s="46"/>
    </row>
    <row r="115" spans="1:14" ht="14.6" x14ac:dyDescent="0.4">
      <c r="A115" s="8" t="s">
        <v>66</v>
      </c>
      <c r="B115" s="8" t="s">
        <v>1132</v>
      </c>
      <c r="C115" s="8" t="s">
        <v>67</v>
      </c>
      <c r="D115" s="8" t="s">
        <v>1051</v>
      </c>
      <c r="E115" s="8" t="s">
        <v>68</v>
      </c>
      <c r="F115" s="8" t="s">
        <v>1520</v>
      </c>
      <c r="G115" s="8" t="s">
        <v>1520</v>
      </c>
      <c r="H115" s="23" t="str">
        <f t="shared" si="0"/>
        <v>Yes</v>
      </c>
      <c r="I115" s="4" t="str">
        <f t="shared" si="1"/>
        <v>TN</v>
      </c>
      <c r="J115" s="42"/>
      <c r="K115" s="42"/>
      <c r="L115" s="42"/>
      <c r="N115" s="46"/>
    </row>
    <row r="116" spans="1:14" ht="14.6" x14ac:dyDescent="0.4">
      <c r="A116" s="8" t="s">
        <v>81</v>
      </c>
      <c r="B116" s="8" t="s">
        <v>119</v>
      </c>
      <c r="C116" s="8" t="s">
        <v>82</v>
      </c>
      <c r="D116" s="8" t="s">
        <v>120</v>
      </c>
      <c r="E116" s="8" t="s">
        <v>68</v>
      </c>
      <c r="F116" s="8" t="s">
        <v>1520</v>
      </c>
      <c r="G116" s="8" t="s">
        <v>1520</v>
      </c>
      <c r="H116" s="23" t="str">
        <f t="shared" si="0"/>
        <v>Yes</v>
      </c>
      <c r="I116" s="4" t="str">
        <f t="shared" si="1"/>
        <v>TN</v>
      </c>
      <c r="J116" s="42"/>
      <c r="K116" s="42"/>
      <c r="L116" s="42"/>
      <c r="N116" s="46"/>
    </row>
    <row r="117" spans="1:14" ht="14.6" x14ac:dyDescent="0.4">
      <c r="A117" s="8" t="s">
        <v>81</v>
      </c>
      <c r="B117" s="8" t="s">
        <v>134</v>
      </c>
      <c r="C117" s="8" t="s">
        <v>82</v>
      </c>
      <c r="D117" s="8" t="s">
        <v>135</v>
      </c>
      <c r="E117" s="8" t="s">
        <v>68</v>
      </c>
      <c r="F117" s="8" t="s">
        <v>1520</v>
      </c>
      <c r="G117" s="8" t="s">
        <v>1520</v>
      </c>
      <c r="H117" s="23" t="str">
        <f t="shared" si="0"/>
        <v>Yes</v>
      </c>
      <c r="I117" s="4" t="str">
        <f t="shared" si="1"/>
        <v>TN</v>
      </c>
      <c r="J117" s="42"/>
      <c r="K117" s="42"/>
      <c r="L117" s="42"/>
      <c r="N117" s="46"/>
    </row>
    <row r="118" spans="1:14" ht="14.6" x14ac:dyDescent="0.4">
      <c r="A118" s="8" t="s">
        <v>81</v>
      </c>
      <c r="B118" s="8" t="s">
        <v>1052</v>
      </c>
      <c r="C118" s="8" t="s">
        <v>82</v>
      </c>
      <c r="D118" s="8" t="s">
        <v>1038</v>
      </c>
      <c r="E118" s="8" t="s">
        <v>68</v>
      </c>
      <c r="F118" s="8" t="s">
        <v>1520</v>
      </c>
      <c r="G118" s="8" t="s">
        <v>1520</v>
      </c>
      <c r="H118" s="23" t="str">
        <f t="shared" si="0"/>
        <v>Yes</v>
      </c>
      <c r="I118" s="4" t="str">
        <f t="shared" si="1"/>
        <v>TN</v>
      </c>
      <c r="J118" s="42"/>
      <c r="K118" s="42"/>
      <c r="L118" s="42"/>
      <c r="N118" s="46"/>
    </row>
    <row r="119" spans="1:14" ht="14.6" x14ac:dyDescent="0.4">
      <c r="A119" s="8" t="s">
        <v>81</v>
      </c>
      <c r="B119" s="8" t="s">
        <v>1055</v>
      </c>
      <c r="C119" s="8" t="s">
        <v>82</v>
      </c>
      <c r="D119" s="8" t="s">
        <v>1029</v>
      </c>
      <c r="E119" s="8" t="s">
        <v>68</v>
      </c>
      <c r="F119" s="8" t="s">
        <v>1520</v>
      </c>
      <c r="G119" s="8" t="s">
        <v>1520</v>
      </c>
      <c r="H119" s="23" t="str">
        <f t="shared" si="0"/>
        <v>Yes</v>
      </c>
      <c r="I119" s="4" t="str">
        <f t="shared" si="1"/>
        <v>TN</v>
      </c>
      <c r="J119" s="42"/>
      <c r="K119" s="42"/>
      <c r="L119" s="42"/>
      <c r="N119" s="46"/>
    </row>
    <row r="120" spans="1:14" ht="14.6" x14ac:dyDescent="0.4">
      <c r="A120" s="8" t="s">
        <v>81</v>
      </c>
      <c r="B120" s="8" t="s">
        <v>1073</v>
      </c>
      <c r="C120" s="8" t="s">
        <v>82</v>
      </c>
      <c r="D120" s="8" t="s">
        <v>1074</v>
      </c>
      <c r="E120" s="8" t="s">
        <v>68</v>
      </c>
      <c r="F120" s="8" t="s">
        <v>1520</v>
      </c>
      <c r="G120" s="8" t="s">
        <v>1520</v>
      </c>
      <c r="H120" s="23" t="str">
        <f t="shared" si="0"/>
        <v>Yes</v>
      </c>
      <c r="I120" s="4" t="str">
        <f t="shared" si="1"/>
        <v>TN</v>
      </c>
      <c r="J120" s="42"/>
      <c r="K120" s="42"/>
      <c r="L120" s="42"/>
      <c r="N120" s="46"/>
    </row>
    <row r="121" spans="1:14" ht="14.6" x14ac:dyDescent="0.4">
      <c r="A121" s="8" t="s">
        <v>81</v>
      </c>
      <c r="B121" s="8" t="s">
        <v>1132</v>
      </c>
      <c r="C121" s="8" t="s">
        <v>82</v>
      </c>
      <c r="D121" s="8" t="s">
        <v>1051</v>
      </c>
      <c r="E121" s="8" t="s">
        <v>68</v>
      </c>
      <c r="F121" s="8" t="s">
        <v>1520</v>
      </c>
      <c r="G121" s="8" t="s">
        <v>1520</v>
      </c>
      <c r="H121" s="23" t="str">
        <f t="shared" si="0"/>
        <v>Yes</v>
      </c>
      <c r="I121" s="4" t="str">
        <f t="shared" si="1"/>
        <v>TN</v>
      </c>
      <c r="J121" s="42"/>
      <c r="K121" s="42"/>
      <c r="L121" s="42"/>
      <c r="N121" s="46"/>
    </row>
    <row r="122" spans="1:14" ht="14.6" x14ac:dyDescent="0.4">
      <c r="A122" s="8" t="s">
        <v>119</v>
      </c>
      <c r="B122" s="8" t="s">
        <v>134</v>
      </c>
      <c r="C122" s="8" t="s">
        <v>120</v>
      </c>
      <c r="D122" s="8" t="s">
        <v>135</v>
      </c>
      <c r="E122" s="8" t="s">
        <v>68</v>
      </c>
      <c r="F122" s="8" t="s">
        <v>1520</v>
      </c>
      <c r="G122" s="8" t="s">
        <v>1520</v>
      </c>
      <c r="H122" s="23" t="str">
        <f t="shared" si="0"/>
        <v>Yes</v>
      </c>
      <c r="I122" s="4" t="str">
        <f t="shared" si="1"/>
        <v>TN</v>
      </c>
      <c r="J122" s="42"/>
      <c r="K122" s="42"/>
      <c r="L122" s="42"/>
      <c r="N122" s="46"/>
    </row>
    <row r="123" spans="1:14" ht="14.6" x14ac:dyDescent="0.4">
      <c r="A123" s="8" t="s">
        <v>119</v>
      </c>
      <c r="B123" s="8" t="s">
        <v>1052</v>
      </c>
      <c r="C123" s="8" t="s">
        <v>120</v>
      </c>
      <c r="D123" s="8" t="s">
        <v>1038</v>
      </c>
      <c r="E123" s="8" t="s">
        <v>68</v>
      </c>
      <c r="F123" s="8" t="s">
        <v>1520</v>
      </c>
      <c r="G123" s="8" t="s">
        <v>1520</v>
      </c>
      <c r="H123" s="23" t="str">
        <f t="shared" si="0"/>
        <v>Yes</v>
      </c>
      <c r="I123" s="4" t="str">
        <f t="shared" si="1"/>
        <v>TN</v>
      </c>
      <c r="J123" s="42"/>
      <c r="K123" s="42"/>
      <c r="L123" s="42"/>
      <c r="N123" s="46"/>
    </row>
    <row r="124" spans="1:14" ht="14.6" x14ac:dyDescent="0.4">
      <c r="A124" s="8" t="s">
        <v>119</v>
      </c>
      <c r="B124" s="8" t="s">
        <v>1055</v>
      </c>
      <c r="C124" s="8" t="s">
        <v>120</v>
      </c>
      <c r="D124" s="8" t="s">
        <v>1029</v>
      </c>
      <c r="E124" s="8" t="s">
        <v>68</v>
      </c>
      <c r="F124" s="8" t="s">
        <v>1520</v>
      </c>
      <c r="G124" s="8" t="s">
        <v>1520</v>
      </c>
      <c r="H124" s="23" t="str">
        <f t="shared" si="0"/>
        <v>Yes</v>
      </c>
      <c r="I124" s="4" t="str">
        <f t="shared" si="1"/>
        <v>TN</v>
      </c>
      <c r="J124" s="42"/>
      <c r="K124" s="42"/>
      <c r="L124" s="42"/>
      <c r="N124" s="46"/>
    </row>
    <row r="125" spans="1:14" ht="14.6" x14ac:dyDescent="0.4">
      <c r="A125" s="8" t="s">
        <v>119</v>
      </c>
      <c r="B125" s="8" t="s">
        <v>1073</v>
      </c>
      <c r="C125" s="8" t="s">
        <v>120</v>
      </c>
      <c r="D125" s="8" t="s">
        <v>1074</v>
      </c>
      <c r="E125" s="8" t="s">
        <v>68</v>
      </c>
      <c r="F125" s="8" t="s">
        <v>1520</v>
      </c>
      <c r="G125" s="8" t="s">
        <v>1520</v>
      </c>
      <c r="H125" s="23" t="str">
        <f t="shared" si="0"/>
        <v>Yes</v>
      </c>
      <c r="I125" s="4" t="str">
        <f t="shared" si="1"/>
        <v>TN</v>
      </c>
      <c r="J125" s="42"/>
      <c r="K125" s="42"/>
      <c r="L125" s="42"/>
      <c r="N125" s="46"/>
    </row>
    <row r="126" spans="1:14" ht="14.6" x14ac:dyDescent="0.4">
      <c r="A126" s="8" t="s">
        <v>119</v>
      </c>
      <c r="B126" s="8" t="s">
        <v>1132</v>
      </c>
      <c r="C126" s="8" t="s">
        <v>120</v>
      </c>
      <c r="D126" s="8" t="s">
        <v>1051</v>
      </c>
      <c r="E126" s="8" t="s">
        <v>68</v>
      </c>
      <c r="F126" s="8" t="s">
        <v>1520</v>
      </c>
      <c r="G126" s="8" t="s">
        <v>1520</v>
      </c>
      <c r="H126" s="23" t="str">
        <f t="shared" si="0"/>
        <v>Yes</v>
      </c>
      <c r="I126" s="4" t="str">
        <f t="shared" si="1"/>
        <v>TN</v>
      </c>
      <c r="J126" s="42"/>
      <c r="K126" s="42"/>
      <c r="L126" s="42"/>
      <c r="N126" s="46"/>
    </row>
    <row r="127" spans="1:14" ht="14.6" x14ac:dyDescent="0.4">
      <c r="A127" s="8" t="s">
        <v>134</v>
      </c>
      <c r="B127" s="8" t="s">
        <v>1052</v>
      </c>
      <c r="C127" s="8" t="s">
        <v>135</v>
      </c>
      <c r="D127" s="8" t="s">
        <v>1038</v>
      </c>
      <c r="E127" s="8" t="s">
        <v>68</v>
      </c>
      <c r="F127" s="8" t="s">
        <v>1520</v>
      </c>
      <c r="G127" s="8" t="s">
        <v>1520</v>
      </c>
      <c r="H127" s="23" t="str">
        <f t="shared" si="0"/>
        <v>Yes</v>
      </c>
      <c r="I127" s="4" t="str">
        <f t="shared" si="1"/>
        <v>TN</v>
      </c>
      <c r="J127" s="42"/>
      <c r="K127" s="42"/>
      <c r="L127" s="42"/>
      <c r="N127" s="46"/>
    </row>
    <row r="128" spans="1:14" ht="14.6" x14ac:dyDescent="0.4">
      <c r="A128" s="8" t="s">
        <v>134</v>
      </c>
      <c r="B128" s="8" t="s">
        <v>1055</v>
      </c>
      <c r="C128" s="8" t="s">
        <v>135</v>
      </c>
      <c r="D128" s="8" t="s">
        <v>1029</v>
      </c>
      <c r="E128" s="8" t="s">
        <v>68</v>
      </c>
      <c r="F128" s="8" t="s">
        <v>1520</v>
      </c>
      <c r="G128" s="8" t="s">
        <v>1520</v>
      </c>
      <c r="H128" s="23" t="str">
        <f t="shared" si="0"/>
        <v>Yes</v>
      </c>
      <c r="I128" s="4" t="str">
        <f t="shared" si="1"/>
        <v>TN</v>
      </c>
      <c r="J128" s="42"/>
      <c r="K128" s="42"/>
      <c r="L128" s="42"/>
      <c r="N128" s="46"/>
    </row>
    <row r="129" spans="1:14" ht="14.6" x14ac:dyDescent="0.4">
      <c r="A129" s="8" t="s">
        <v>134</v>
      </c>
      <c r="B129" s="8" t="s">
        <v>1073</v>
      </c>
      <c r="C129" s="8" t="s">
        <v>135</v>
      </c>
      <c r="D129" s="8" t="s">
        <v>1074</v>
      </c>
      <c r="E129" s="8" t="s">
        <v>68</v>
      </c>
      <c r="F129" s="8" t="s">
        <v>1520</v>
      </c>
      <c r="G129" s="8" t="s">
        <v>1520</v>
      </c>
      <c r="H129" s="23" t="str">
        <f t="shared" si="0"/>
        <v>Yes</v>
      </c>
      <c r="I129" s="4" t="str">
        <f t="shared" si="1"/>
        <v>TN</v>
      </c>
      <c r="J129" s="42"/>
      <c r="K129" s="42"/>
      <c r="L129" s="42"/>
      <c r="N129" s="46"/>
    </row>
    <row r="130" spans="1:14" ht="14.6" x14ac:dyDescent="0.4">
      <c r="A130" s="8" t="s">
        <v>134</v>
      </c>
      <c r="B130" s="8" t="s">
        <v>1132</v>
      </c>
      <c r="C130" s="8" t="s">
        <v>135</v>
      </c>
      <c r="D130" s="8" t="s">
        <v>1051</v>
      </c>
      <c r="E130" s="8" t="s">
        <v>68</v>
      </c>
      <c r="F130" s="8" t="s">
        <v>1522</v>
      </c>
      <c r="G130" s="8" t="s">
        <v>1520</v>
      </c>
      <c r="H130" s="23" t="str">
        <f t="shared" si="0"/>
        <v>No</v>
      </c>
      <c r="I130" s="4" t="str">
        <f t="shared" si="1"/>
        <v>FN</v>
      </c>
      <c r="J130" s="42"/>
      <c r="K130" s="42"/>
      <c r="L130" s="42"/>
      <c r="N130" s="46"/>
    </row>
    <row r="131" spans="1:14" ht="14.6" x14ac:dyDescent="0.4">
      <c r="A131" s="8" t="s">
        <v>1052</v>
      </c>
      <c r="B131" s="8" t="s">
        <v>1055</v>
      </c>
      <c r="C131" s="8" t="s">
        <v>1038</v>
      </c>
      <c r="D131" s="8" t="s">
        <v>1029</v>
      </c>
      <c r="E131" s="8" t="s">
        <v>68</v>
      </c>
      <c r="F131" s="8" t="s">
        <v>1520</v>
      </c>
      <c r="G131" s="8" t="s">
        <v>1520</v>
      </c>
      <c r="H131" s="23" t="str">
        <f t="shared" si="0"/>
        <v>Yes</v>
      </c>
      <c r="I131" s="4" t="str">
        <f t="shared" si="1"/>
        <v>TN</v>
      </c>
      <c r="J131" s="42"/>
      <c r="K131" s="42"/>
      <c r="L131" s="42"/>
      <c r="N131" s="46"/>
    </row>
    <row r="132" spans="1:14" ht="14.6" x14ac:dyDescent="0.4">
      <c r="A132" s="8" t="s">
        <v>1052</v>
      </c>
      <c r="B132" s="8" t="s">
        <v>1132</v>
      </c>
      <c r="C132" s="8" t="s">
        <v>1038</v>
      </c>
      <c r="D132" s="8" t="s">
        <v>1051</v>
      </c>
      <c r="E132" s="8" t="s">
        <v>68</v>
      </c>
      <c r="F132" s="8" t="s">
        <v>1520</v>
      </c>
      <c r="G132" s="8" t="s">
        <v>1520</v>
      </c>
      <c r="H132" s="23" t="str">
        <f t="shared" si="0"/>
        <v>Yes</v>
      </c>
      <c r="I132" s="4" t="str">
        <f t="shared" si="1"/>
        <v>TN</v>
      </c>
      <c r="J132" s="42"/>
      <c r="K132" s="42"/>
      <c r="L132" s="42"/>
      <c r="N132" s="46"/>
    </row>
    <row r="133" spans="1:14" ht="14.6" x14ac:dyDescent="0.4">
      <c r="A133" s="8" t="s">
        <v>1055</v>
      </c>
      <c r="B133" s="8" t="s">
        <v>1073</v>
      </c>
      <c r="C133" s="8" t="s">
        <v>1029</v>
      </c>
      <c r="D133" s="8" t="s">
        <v>1074</v>
      </c>
      <c r="E133" s="8" t="s">
        <v>68</v>
      </c>
      <c r="F133" s="8" t="s">
        <v>1522</v>
      </c>
      <c r="G133" s="8" t="s">
        <v>1520</v>
      </c>
      <c r="H133" s="23" t="str">
        <f t="shared" si="0"/>
        <v>No</v>
      </c>
      <c r="I133" s="4" t="str">
        <f t="shared" si="1"/>
        <v>FN</v>
      </c>
      <c r="J133" s="42"/>
      <c r="K133" s="42"/>
      <c r="L133" s="42"/>
      <c r="N133" s="46"/>
    </row>
    <row r="134" spans="1:14" ht="14.6" x14ac:dyDescent="0.4">
      <c r="A134" s="8" t="s">
        <v>1073</v>
      </c>
      <c r="B134" s="8" t="s">
        <v>1132</v>
      </c>
      <c r="C134" s="8" t="s">
        <v>1074</v>
      </c>
      <c r="D134" s="8" t="s">
        <v>1051</v>
      </c>
      <c r="E134" s="8" t="s">
        <v>68</v>
      </c>
      <c r="F134" s="8" t="s">
        <v>1520</v>
      </c>
      <c r="G134" s="8" t="s">
        <v>1520</v>
      </c>
      <c r="H134" s="23" t="str">
        <f t="shared" si="0"/>
        <v>Yes</v>
      </c>
      <c r="I134" s="4" t="str">
        <f t="shared" si="1"/>
        <v>TN</v>
      </c>
      <c r="J134" s="42"/>
      <c r="K134" s="42"/>
      <c r="L134" s="42"/>
      <c r="N134" s="46"/>
    </row>
    <row r="135" spans="1:14" ht="14.6" x14ac:dyDescent="0.4">
      <c r="A135" s="8" t="s">
        <v>1136</v>
      </c>
      <c r="B135" s="8" t="s">
        <v>1137</v>
      </c>
      <c r="C135" s="8" t="s">
        <v>1074</v>
      </c>
      <c r="D135" s="8" t="s">
        <v>1033</v>
      </c>
      <c r="E135" s="8" t="s">
        <v>15</v>
      </c>
      <c r="F135" s="8" t="s">
        <v>1522</v>
      </c>
      <c r="G135" s="8" t="s">
        <v>1522</v>
      </c>
      <c r="H135" s="23" t="str">
        <f t="shared" si="0"/>
        <v>Yes</v>
      </c>
      <c r="I135" s="4" t="str">
        <f t="shared" si="1"/>
        <v>TP</v>
      </c>
      <c r="J135" s="42"/>
      <c r="K135" s="42"/>
      <c r="L135" s="42"/>
      <c r="N135" s="46"/>
    </row>
    <row r="136" spans="1:14" ht="14.6" x14ac:dyDescent="0.4">
      <c r="A136" s="8" t="s">
        <v>13</v>
      </c>
      <c r="B136" s="8" t="s">
        <v>25</v>
      </c>
      <c r="C136" s="8" t="s">
        <v>14</v>
      </c>
      <c r="D136" s="8" t="s">
        <v>26</v>
      </c>
      <c r="E136" s="8" t="s">
        <v>15</v>
      </c>
      <c r="F136" s="8" t="s">
        <v>1520</v>
      </c>
      <c r="G136" s="8" t="s">
        <v>1520</v>
      </c>
      <c r="H136" s="23" t="str">
        <f t="shared" si="0"/>
        <v>Yes</v>
      </c>
      <c r="I136" s="4" t="str">
        <f t="shared" si="1"/>
        <v>TN</v>
      </c>
      <c r="J136" s="42"/>
      <c r="K136" s="42"/>
      <c r="L136" s="42"/>
      <c r="N136" s="46"/>
    </row>
    <row r="137" spans="1:14" ht="14.6" x14ac:dyDescent="0.4">
      <c r="A137" s="8" t="s">
        <v>13</v>
      </c>
      <c r="B137" s="8" t="s">
        <v>39</v>
      </c>
      <c r="C137" s="8" t="s">
        <v>14</v>
      </c>
      <c r="D137" s="8" t="s">
        <v>40</v>
      </c>
      <c r="E137" s="8" t="s">
        <v>15</v>
      </c>
      <c r="F137" s="8" t="s">
        <v>1520</v>
      </c>
      <c r="G137" s="8" t="s">
        <v>1520</v>
      </c>
      <c r="H137" s="23" t="str">
        <f t="shared" si="0"/>
        <v>Yes</v>
      </c>
      <c r="I137" s="4" t="str">
        <f t="shared" si="1"/>
        <v>TN</v>
      </c>
      <c r="J137" s="42"/>
      <c r="K137" s="42"/>
      <c r="L137" s="42"/>
      <c r="N137" s="46"/>
    </row>
    <row r="138" spans="1:14" ht="14.6" x14ac:dyDescent="0.4">
      <c r="A138" s="8" t="s">
        <v>13</v>
      </c>
      <c r="B138" s="8" t="s">
        <v>43</v>
      </c>
      <c r="C138" s="8" t="s">
        <v>14</v>
      </c>
      <c r="D138" s="8" t="s">
        <v>44</v>
      </c>
      <c r="E138" s="8" t="s">
        <v>15</v>
      </c>
      <c r="F138" s="8" t="s">
        <v>1520</v>
      </c>
      <c r="G138" s="8" t="s">
        <v>1520</v>
      </c>
      <c r="H138" s="23" t="str">
        <f t="shared" si="0"/>
        <v>Yes</v>
      </c>
      <c r="I138" s="4" t="str">
        <f t="shared" si="1"/>
        <v>TN</v>
      </c>
      <c r="J138" s="42"/>
      <c r="K138" s="42"/>
      <c r="L138" s="42"/>
      <c r="N138" s="46"/>
    </row>
    <row r="139" spans="1:14" ht="14.6" x14ac:dyDescent="0.4">
      <c r="A139" s="8" t="s">
        <v>13</v>
      </c>
      <c r="B139" s="8" t="s">
        <v>1136</v>
      </c>
      <c r="C139" s="8" t="s">
        <v>14</v>
      </c>
      <c r="D139" s="8" t="s">
        <v>1074</v>
      </c>
      <c r="E139" s="8" t="s">
        <v>15</v>
      </c>
      <c r="F139" s="8" t="s">
        <v>1520</v>
      </c>
      <c r="G139" s="8" t="s">
        <v>1520</v>
      </c>
      <c r="H139" s="23" t="str">
        <f t="shared" si="0"/>
        <v>Yes</v>
      </c>
      <c r="I139" s="4" t="str">
        <f t="shared" si="1"/>
        <v>TN</v>
      </c>
      <c r="J139" s="42"/>
      <c r="K139" s="42"/>
      <c r="L139" s="42"/>
      <c r="N139" s="46"/>
    </row>
    <row r="140" spans="1:14" ht="14.6" x14ac:dyDescent="0.4">
      <c r="A140" s="8" t="s">
        <v>13</v>
      </c>
      <c r="B140" s="8" t="s">
        <v>1137</v>
      </c>
      <c r="C140" s="8" t="s">
        <v>14</v>
      </c>
      <c r="D140" s="8" t="s">
        <v>1033</v>
      </c>
      <c r="E140" s="8" t="s">
        <v>15</v>
      </c>
      <c r="F140" s="8" t="s">
        <v>1520</v>
      </c>
      <c r="G140" s="8" t="s">
        <v>1520</v>
      </c>
      <c r="H140" s="23" t="str">
        <f t="shared" si="0"/>
        <v>Yes</v>
      </c>
      <c r="I140" s="4" t="str">
        <f t="shared" si="1"/>
        <v>TN</v>
      </c>
      <c r="J140" s="42"/>
      <c r="K140" s="42"/>
      <c r="L140" s="42"/>
      <c r="N140" s="46"/>
    </row>
    <row r="141" spans="1:14" ht="14.6" x14ac:dyDescent="0.4">
      <c r="A141" s="8" t="s">
        <v>13</v>
      </c>
      <c r="B141" s="8" t="s">
        <v>1155</v>
      </c>
      <c r="C141" s="8" t="s">
        <v>14</v>
      </c>
      <c r="D141" s="8" t="s">
        <v>1156</v>
      </c>
      <c r="E141" s="8" t="s">
        <v>15</v>
      </c>
      <c r="F141" s="8" t="s">
        <v>1520</v>
      </c>
      <c r="G141" s="8" t="s">
        <v>1520</v>
      </c>
      <c r="H141" s="23" t="str">
        <f t="shared" si="0"/>
        <v>Yes</v>
      </c>
      <c r="I141" s="4" t="str">
        <f t="shared" si="1"/>
        <v>TN</v>
      </c>
      <c r="J141" s="42"/>
      <c r="K141" s="42"/>
      <c r="L141" s="42"/>
      <c r="N141" s="46"/>
    </row>
    <row r="142" spans="1:14" ht="14.6" x14ac:dyDescent="0.4">
      <c r="A142" s="8" t="s">
        <v>13</v>
      </c>
      <c r="B142" s="8" t="s">
        <v>1163</v>
      </c>
      <c r="C142" s="8" t="s">
        <v>14</v>
      </c>
      <c r="D142" s="8" t="s">
        <v>1156</v>
      </c>
      <c r="E142" s="8" t="s">
        <v>15</v>
      </c>
      <c r="F142" s="8" t="s">
        <v>1520</v>
      </c>
      <c r="G142" s="8" t="s">
        <v>1520</v>
      </c>
      <c r="H142" s="23" t="str">
        <f t="shared" si="0"/>
        <v>Yes</v>
      </c>
      <c r="I142" s="4" t="str">
        <f t="shared" si="1"/>
        <v>TN</v>
      </c>
      <c r="J142" s="42"/>
      <c r="K142" s="42"/>
      <c r="L142" s="42"/>
      <c r="N142" s="46"/>
    </row>
    <row r="143" spans="1:14" ht="14.6" x14ac:dyDescent="0.4">
      <c r="A143" s="8" t="s">
        <v>25</v>
      </c>
      <c r="B143" s="8" t="s">
        <v>39</v>
      </c>
      <c r="C143" s="8" t="s">
        <v>26</v>
      </c>
      <c r="D143" s="8" t="s">
        <v>40</v>
      </c>
      <c r="E143" s="8" t="s">
        <v>15</v>
      </c>
      <c r="F143" s="8" t="s">
        <v>1520</v>
      </c>
      <c r="G143" s="8" t="s">
        <v>1520</v>
      </c>
      <c r="H143" s="23" t="str">
        <f t="shared" si="0"/>
        <v>Yes</v>
      </c>
      <c r="I143" s="4" t="str">
        <f t="shared" si="1"/>
        <v>TN</v>
      </c>
      <c r="J143" s="42"/>
      <c r="K143" s="42"/>
      <c r="L143" s="42"/>
      <c r="N143" s="46"/>
    </row>
    <row r="144" spans="1:14" ht="14.6" x14ac:dyDescent="0.4">
      <c r="A144" s="8" t="s">
        <v>25</v>
      </c>
      <c r="B144" s="8" t="s">
        <v>43</v>
      </c>
      <c r="C144" s="8" t="s">
        <v>26</v>
      </c>
      <c r="D144" s="8" t="s">
        <v>44</v>
      </c>
      <c r="E144" s="8" t="s">
        <v>15</v>
      </c>
      <c r="F144" s="8" t="s">
        <v>1520</v>
      </c>
      <c r="G144" s="8" t="s">
        <v>1520</v>
      </c>
      <c r="H144" s="23" t="str">
        <f t="shared" si="0"/>
        <v>Yes</v>
      </c>
      <c r="I144" s="4" t="str">
        <f t="shared" si="1"/>
        <v>TN</v>
      </c>
      <c r="J144" s="42"/>
      <c r="K144" s="42"/>
      <c r="L144" s="42"/>
      <c r="N144" s="46"/>
    </row>
    <row r="145" spans="1:14" ht="14.6" x14ac:dyDescent="0.4">
      <c r="A145" s="8" t="s">
        <v>25</v>
      </c>
      <c r="B145" s="8" t="s">
        <v>1136</v>
      </c>
      <c r="C145" s="8" t="s">
        <v>26</v>
      </c>
      <c r="D145" s="8" t="s">
        <v>1074</v>
      </c>
      <c r="E145" s="8" t="s">
        <v>15</v>
      </c>
      <c r="F145" s="8" t="s">
        <v>1520</v>
      </c>
      <c r="G145" s="8" t="s">
        <v>1520</v>
      </c>
      <c r="H145" s="23" t="str">
        <f t="shared" si="0"/>
        <v>Yes</v>
      </c>
      <c r="I145" s="4" t="str">
        <f t="shared" si="1"/>
        <v>TN</v>
      </c>
      <c r="J145" s="42"/>
      <c r="K145" s="42"/>
      <c r="L145" s="42"/>
      <c r="N145" s="46"/>
    </row>
    <row r="146" spans="1:14" ht="14.6" x14ac:dyDescent="0.4">
      <c r="A146" s="8" t="s">
        <v>25</v>
      </c>
      <c r="B146" s="8" t="s">
        <v>1137</v>
      </c>
      <c r="C146" s="8" t="s">
        <v>26</v>
      </c>
      <c r="D146" s="8" t="s">
        <v>1033</v>
      </c>
      <c r="E146" s="8" t="s">
        <v>15</v>
      </c>
      <c r="F146" s="8" t="s">
        <v>1520</v>
      </c>
      <c r="G146" s="8" t="s">
        <v>1520</v>
      </c>
      <c r="H146" s="23" t="str">
        <f t="shared" si="0"/>
        <v>Yes</v>
      </c>
      <c r="I146" s="4" t="str">
        <f t="shared" si="1"/>
        <v>TN</v>
      </c>
      <c r="J146" s="42"/>
      <c r="K146" s="42"/>
      <c r="L146" s="42"/>
      <c r="N146" s="46"/>
    </row>
    <row r="147" spans="1:14" ht="14.6" x14ac:dyDescent="0.4">
      <c r="A147" s="8" t="s">
        <v>25</v>
      </c>
      <c r="B147" s="8" t="s">
        <v>1155</v>
      </c>
      <c r="C147" s="8" t="s">
        <v>26</v>
      </c>
      <c r="D147" s="8" t="s">
        <v>1156</v>
      </c>
      <c r="E147" s="8" t="s">
        <v>15</v>
      </c>
      <c r="F147" s="8" t="s">
        <v>1520</v>
      </c>
      <c r="G147" s="8" t="s">
        <v>1520</v>
      </c>
      <c r="H147" s="23" t="str">
        <f t="shared" si="0"/>
        <v>Yes</v>
      </c>
      <c r="I147" s="4" t="str">
        <f t="shared" si="1"/>
        <v>TN</v>
      </c>
      <c r="J147" s="42"/>
      <c r="K147" s="42"/>
      <c r="L147" s="42"/>
      <c r="N147" s="46"/>
    </row>
    <row r="148" spans="1:14" ht="14.6" x14ac:dyDescent="0.4">
      <c r="A148" s="8" t="s">
        <v>25</v>
      </c>
      <c r="B148" s="8" t="s">
        <v>1163</v>
      </c>
      <c r="C148" s="8" t="s">
        <v>26</v>
      </c>
      <c r="D148" s="8" t="s">
        <v>1156</v>
      </c>
      <c r="E148" s="8" t="s">
        <v>15</v>
      </c>
      <c r="F148" s="8" t="s">
        <v>1520</v>
      </c>
      <c r="G148" s="8" t="s">
        <v>1520</v>
      </c>
      <c r="H148" s="23" t="str">
        <f t="shared" si="0"/>
        <v>Yes</v>
      </c>
      <c r="I148" s="4" t="str">
        <f t="shared" si="1"/>
        <v>TN</v>
      </c>
      <c r="J148" s="42"/>
      <c r="K148" s="42"/>
      <c r="L148" s="42"/>
      <c r="N148" s="46"/>
    </row>
    <row r="149" spans="1:14" ht="14.6" x14ac:dyDescent="0.4">
      <c r="A149" s="8" t="s">
        <v>39</v>
      </c>
      <c r="B149" s="8" t="s">
        <v>43</v>
      </c>
      <c r="C149" s="8" t="s">
        <v>40</v>
      </c>
      <c r="D149" s="8" t="s">
        <v>44</v>
      </c>
      <c r="E149" s="8" t="s">
        <v>15</v>
      </c>
      <c r="F149" s="8" t="s">
        <v>1520</v>
      </c>
      <c r="G149" s="8" t="s">
        <v>1520</v>
      </c>
      <c r="H149" s="23" t="str">
        <f t="shared" si="0"/>
        <v>Yes</v>
      </c>
      <c r="I149" s="4" t="str">
        <f t="shared" si="1"/>
        <v>TN</v>
      </c>
      <c r="J149" s="42"/>
      <c r="K149" s="42"/>
      <c r="L149" s="42"/>
      <c r="N149" s="46"/>
    </row>
    <row r="150" spans="1:14" ht="14.6" x14ac:dyDescent="0.4">
      <c r="A150" s="8" t="s">
        <v>39</v>
      </c>
      <c r="B150" s="8" t="s">
        <v>1136</v>
      </c>
      <c r="C150" s="8" t="s">
        <v>40</v>
      </c>
      <c r="D150" s="8" t="s">
        <v>1074</v>
      </c>
      <c r="E150" s="8" t="s">
        <v>15</v>
      </c>
      <c r="F150" s="8" t="s">
        <v>1520</v>
      </c>
      <c r="G150" s="8" t="s">
        <v>1520</v>
      </c>
      <c r="H150" s="23" t="str">
        <f t="shared" si="0"/>
        <v>Yes</v>
      </c>
      <c r="I150" s="4" t="str">
        <f t="shared" si="1"/>
        <v>TN</v>
      </c>
      <c r="J150" s="42"/>
      <c r="K150" s="42"/>
      <c r="L150" s="42"/>
      <c r="N150" s="46"/>
    </row>
    <row r="151" spans="1:14" ht="14.6" x14ac:dyDescent="0.4">
      <c r="A151" s="8" t="s">
        <v>39</v>
      </c>
      <c r="B151" s="8" t="s">
        <v>1137</v>
      </c>
      <c r="C151" s="8" t="s">
        <v>40</v>
      </c>
      <c r="D151" s="8" t="s">
        <v>1033</v>
      </c>
      <c r="E151" s="8" t="s">
        <v>15</v>
      </c>
      <c r="F151" s="8" t="s">
        <v>1520</v>
      </c>
      <c r="G151" s="8" t="s">
        <v>1520</v>
      </c>
      <c r="H151" s="23" t="str">
        <f t="shared" si="0"/>
        <v>Yes</v>
      </c>
      <c r="I151" s="4" t="str">
        <f t="shared" si="1"/>
        <v>TN</v>
      </c>
      <c r="J151" s="42"/>
      <c r="K151" s="42"/>
      <c r="L151" s="42"/>
      <c r="N151" s="46"/>
    </row>
    <row r="152" spans="1:14" ht="14.6" x14ac:dyDescent="0.4">
      <c r="A152" s="8" t="s">
        <v>39</v>
      </c>
      <c r="B152" s="8" t="s">
        <v>1155</v>
      </c>
      <c r="C152" s="8" t="s">
        <v>40</v>
      </c>
      <c r="D152" s="8" t="s">
        <v>1156</v>
      </c>
      <c r="E152" s="8" t="s">
        <v>15</v>
      </c>
      <c r="F152" s="8" t="s">
        <v>1520</v>
      </c>
      <c r="G152" s="8" t="s">
        <v>1520</v>
      </c>
      <c r="H152" s="23" t="str">
        <f t="shared" si="0"/>
        <v>Yes</v>
      </c>
      <c r="I152" s="4" t="str">
        <f t="shared" si="1"/>
        <v>TN</v>
      </c>
      <c r="J152" s="42"/>
      <c r="K152" s="42"/>
      <c r="L152" s="42"/>
      <c r="N152" s="46"/>
    </row>
    <row r="153" spans="1:14" ht="14.6" x14ac:dyDescent="0.4">
      <c r="A153" s="8" t="s">
        <v>39</v>
      </c>
      <c r="B153" s="8" t="s">
        <v>1163</v>
      </c>
      <c r="C153" s="8" t="s">
        <v>40</v>
      </c>
      <c r="D153" s="8" t="s">
        <v>1156</v>
      </c>
      <c r="E153" s="8" t="s">
        <v>15</v>
      </c>
      <c r="F153" s="8" t="s">
        <v>1520</v>
      </c>
      <c r="G153" s="8" t="s">
        <v>1520</v>
      </c>
      <c r="H153" s="23" t="str">
        <f t="shared" si="0"/>
        <v>Yes</v>
      </c>
      <c r="I153" s="4" t="str">
        <f t="shared" si="1"/>
        <v>TN</v>
      </c>
      <c r="J153" s="42"/>
      <c r="K153" s="42"/>
      <c r="L153" s="42"/>
      <c r="N153" s="46"/>
    </row>
    <row r="154" spans="1:14" ht="14.6" x14ac:dyDescent="0.4">
      <c r="A154" s="8" t="s">
        <v>43</v>
      </c>
      <c r="B154" s="8" t="s">
        <v>1136</v>
      </c>
      <c r="C154" s="8" t="s">
        <v>44</v>
      </c>
      <c r="D154" s="8" t="s">
        <v>1074</v>
      </c>
      <c r="E154" s="8" t="s">
        <v>15</v>
      </c>
      <c r="F154" s="8" t="s">
        <v>1520</v>
      </c>
      <c r="G154" s="8" t="s">
        <v>1520</v>
      </c>
      <c r="H154" s="23" t="str">
        <f t="shared" si="0"/>
        <v>Yes</v>
      </c>
      <c r="I154" s="4" t="str">
        <f t="shared" si="1"/>
        <v>TN</v>
      </c>
      <c r="J154" s="42"/>
      <c r="K154" s="42"/>
      <c r="L154" s="42"/>
      <c r="N154" s="46"/>
    </row>
    <row r="155" spans="1:14" ht="14.6" x14ac:dyDescent="0.4">
      <c r="A155" s="8" t="s">
        <v>43</v>
      </c>
      <c r="B155" s="8" t="s">
        <v>1137</v>
      </c>
      <c r="C155" s="8" t="s">
        <v>44</v>
      </c>
      <c r="D155" s="8" t="s">
        <v>1033</v>
      </c>
      <c r="E155" s="8" t="s">
        <v>15</v>
      </c>
      <c r="F155" s="8" t="s">
        <v>1520</v>
      </c>
      <c r="G155" s="8" t="s">
        <v>1520</v>
      </c>
      <c r="H155" s="23" t="str">
        <f t="shared" si="0"/>
        <v>Yes</v>
      </c>
      <c r="I155" s="4" t="str">
        <f t="shared" si="1"/>
        <v>TN</v>
      </c>
      <c r="J155" s="42"/>
      <c r="K155" s="42"/>
      <c r="L155" s="42"/>
      <c r="N155" s="46"/>
    </row>
    <row r="156" spans="1:14" ht="14.6" x14ac:dyDescent="0.4">
      <c r="A156" s="8" t="s">
        <v>43</v>
      </c>
      <c r="B156" s="8" t="s">
        <v>1155</v>
      </c>
      <c r="C156" s="8" t="s">
        <v>44</v>
      </c>
      <c r="D156" s="8" t="s">
        <v>1156</v>
      </c>
      <c r="E156" s="8" t="s">
        <v>15</v>
      </c>
      <c r="F156" s="8" t="s">
        <v>1520</v>
      </c>
      <c r="G156" s="8" t="s">
        <v>1520</v>
      </c>
      <c r="H156" s="23" t="str">
        <f t="shared" si="0"/>
        <v>Yes</v>
      </c>
      <c r="I156" s="4" t="str">
        <f t="shared" si="1"/>
        <v>TN</v>
      </c>
      <c r="J156" s="42"/>
      <c r="K156" s="42"/>
      <c r="L156" s="42"/>
      <c r="N156" s="46"/>
    </row>
    <row r="157" spans="1:14" ht="14.6" x14ac:dyDescent="0.4">
      <c r="A157" s="8" t="s">
        <v>43</v>
      </c>
      <c r="B157" s="8" t="s">
        <v>1163</v>
      </c>
      <c r="C157" s="8" t="s">
        <v>44</v>
      </c>
      <c r="D157" s="8" t="s">
        <v>1156</v>
      </c>
      <c r="E157" s="8" t="s">
        <v>15</v>
      </c>
      <c r="F157" s="8" t="s">
        <v>1520</v>
      </c>
      <c r="G157" s="8" t="s">
        <v>1520</v>
      </c>
      <c r="H157" s="23" t="str">
        <f t="shared" si="0"/>
        <v>Yes</v>
      </c>
      <c r="I157" s="4" t="str">
        <f t="shared" si="1"/>
        <v>TN</v>
      </c>
      <c r="J157" s="42"/>
      <c r="K157" s="42"/>
      <c r="L157" s="42"/>
      <c r="N157" s="46"/>
    </row>
    <row r="158" spans="1:14" ht="14.6" x14ac:dyDescent="0.4">
      <c r="A158" s="8" t="s">
        <v>1136</v>
      </c>
      <c r="B158" s="8" t="s">
        <v>1155</v>
      </c>
      <c r="C158" s="8" t="s">
        <v>1074</v>
      </c>
      <c r="D158" s="8" t="s">
        <v>1156</v>
      </c>
      <c r="E158" s="8" t="s">
        <v>15</v>
      </c>
      <c r="F158" s="8" t="s">
        <v>1520</v>
      </c>
      <c r="G158" s="8" t="s">
        <v>1520</v>
      </c>
      <c r="H158" s="23" t="str">
        <f t="shared" si="0"/>
        <v>Yes</v>
      </c>
      <c r="I158" s="4" t="str">
        <f t="shared" si="1"/>
        <v>TN</v>
      </c>
      <c r="J158" s="42"/>
      <c r="K158" s="42"/>
      <c r="L158" s="42"/>
      <c r="N158" s="46"/>
    </row>
    <row r="159" spans="1:14" ht="14.6" x14ac:dyDescent="0.4">
      <c r="A159" s="8" t="s">
        <v>1136</v>
      </c>
      <c r="B159" s="8" t="s">
        <v>1163</v>
      </c>
      <c r="C159" s="8" t="s">
        <v>1074</v>
      </c>
      <c r="D159" s="8" t="s">
        <v>1156</v>
      </c>
      <c r="E159" s="8" t="s">
        <v>15</v>
      </c>
      <c r="F159" s="8" t="s">
        <v>1520</v>
      </c>
      <c r="G159" s="8" t="s">
        <v>1520</v>
      </c>
      <c r="H159" s="23" t="str">
        <f t="shared" si="0"/>
        <v>Yes</v>
      </c>
      <c r="I159" s="4" t="str">
        <f t="shared" si="1"/>
        <v>TN</v>
      </c>
      <c r="J159" s="42"/>
      <c r="K159" s="42"/>
      <c r="L159" s="42"/>
      <c r="N159" s="46"/>
    </row>
    <row r="160" spans="1:14" ht="14.6" x14ac:dyDescent="0.4">
      <c r="A160" s="8" t="s">
        <v>1137</v>
      </c>
      <c r="B160" s="8" t="s">
        <v>1155</v>
      </c>
      <c r="C160" s="8" t="s">
        <v>1033</v>
      </c>
      <c r="D160" s="8" t="s">
        <v>1156</v>
      </c>
      <c r="E160" s="8" t="s">
        <v>15</v>
      </c>
      <c r="F160" s="8" t="s">
        <v>1520</v>
      </c>
      <c r="G160" s="8" t="s">
        <v>1520</v>
      </c>
      <c r="H160" s="23" t="str">
        <f t="shared" si="0"/>
        <v>Yes</v>
      </c>
      <c r="I160" s="4" t="str">
        <f t="shared" si="1"/>
        <v>TN</v>
      </c>
      <c r="J160" s="42"/>
      <c r="K160" s="42"/>
      <c r="L160" s="42"/>
      <c r="N160" s="46"/>
    </row>
    <row r="161" spans="1:14" ht="14.6" x14ac:dyDescent="0.4">
      <c r="A161" s="8" t="s">
        <v>1137</v>
      </c>
      <c r="B161" s="8" t="s">
        <v>1163</v>
      </c>
      <c r="C161" s="8" t="s">
        <v>1033</v>
      </c>
      <c r="D161" s="8" t="s">
        <v>1156</v>
      </c>
      <c r="E161" s="8" t="s">
        <v>15</v>
      </c>
      <c r="F161" s="8" t="s">
        <v>1520</v>
      </c>
      <c r="G161" s="8" t="s">
        <v>1520</v>
      </c>
      <c r="H161" s="23" t="str">
        <f t="shared" si="0"/>
        <v>Yes</v>
      </c>
      <c r="I161" s="4" t="str">
        <f t="shared" si="1"/>
        <v>TN</v>
      </c>
      <c r="J161" s="42"/>
      <c r="K161" s="42"/>
      <c r="L161" s="42"/>
      <c r="N161" s="46"/>
    </row>
    <row r="162" spans="1:14" ht="14.6" x14ac:dyDescent="0.4">
      <c r="A162" s="8" t="s">
        <v>1155</v>
      </c>
      <c r="B162" s="8" t="s">
        <v>1163</v>
      </c>
      <c r="C162" s="8" t="s">
        <v>1156</v>
      </c>
      <c r="D162" s="8" t="s">
        <v>1156</v>
      </c>
      <c r="E162" s="8" t="s">
        <v>15</v>
      </c>
      <c r="F162" s="8" t="s">
        <v>1520</v>
      </c>
      <c r="G162" s="8" t="s">
        <v>1520</v>
      </c>
      <c r="H162" s="23" t="str">
        <f t="shared" si="0"/>
        <v>Yes</v>
      </c>
      <c r="I162" s="4" t="str">
        <f t="shared" si="1"/>
        <v>TN</v>
      </c>
      <c r="J162" s="42"/>
      <c r="K162" s="42"/>
      <c r="L162" s="42"/>
      <c r="N162" s="46"/>
    </row>
    <row r="163" spans="1:14" ht="14.6" x14ac:dyDescent="0.4">
      <c r="A163" s="8" t="s">
        <v>1358</v>
      </c>
      <c r="B163" s="8" t="s">
        <v>1403</v>
      </c>
      <c r="C163" s="8" t="s">
        <v>1359</v>
      </c>
      <c r="D163" s="8" t="s">
        <v>1345</v>
      </c>
      <c r="E163" s="8" t="s">
        <v>24</v>
      </c>
      <c r="F163" s="8" t="s">
        <v>1522</v>
      </c>
      <c r="G163" s="8" t="s">
        <v>1522</v>
      </c>
      <c r="H163" s="23" t="str">
        <f t="shared" si="0"/>
        <v>Yes</v>
      </c>
      <c r="I163" s="4" t="str">
        <f t="shared" si="1"/>
        <v>TP</v>
      </c>
      <c r="J163" s="42"/>
      <c r="K163" s="42"/>
      <c r="L163" s="42"/>
      <c r="N163" s="46"/>
    </row>
    <row r="164" spans="1:14" ht="14.6" x14ac:dyDescent="0.4">
      <c r="A164" s="8" t="s">
        <v>1398</v>
      </c>
      <c r="B164" s="8" t="s">
        <v>1403</v>
      </c>
      <c r="C164" s="8" t="s">
        <v>1359</v>
      </c>
      <c r="D164" s="8" t="s">
        <v>1345</v>
      </c>
      <c r="E164" s="8" t="s">
        <v>24</v>
      </c>
      <c r="F164" s="8" t="s">
        <v>1522</v>
      </c>
      <c r="G164" s="8" t="s">
        <v>1522</v>
      </c>
      <c r="H164" s="23" t="str">
        <f t="shared" si="0"/>
        <v>Yes</v>
      </c>
      <c r="I164" s="4" t="str">
        <f t="shared" si="1"/>
        <v>TP</v>
      </c>
      <c r="J164" s="42"/>
      <c r="K164" s="42"/>
      <c r="L164" s="42"/>
      <c r="N164" s="46"/>
    </row>
    <row r="165" spans="1:14" ht="14.6" x14ac:dyDescent="0.4">
      <c r="A165" s="8" t="s">
        <v>22</v>
      </c>
      <c r="B165" s="8" t="s">
        <v>85</v>
      </c>
      <c r="C165" s="8" t="s">
        <v>23</v>
      </c>
      <c r="D165" s="8" t="s">
        <v>86</v>
      </c>
      <c r="E165" s="8" t="s">
        <v>24</v>
      </c>
      <c r="F165" s="8" t="s">
        <v>1520</v>
      </c>
      <c r="G165" s="8" t="s">
        <v>1520</v>
      </c>
      <c r="H165" s="23" t="str">
        <f t="shared" si="0"/>
        <v>Yes</v>
      </c>
      <c r="I165" s="4" t="str">
        <f t="shared" si="1"/>
        <v>TN</v>
      </c>
      <c r="J165" s="42"/>
      <c r="K165" s="42"/>
      <c r="L165" s="42"/>
      <c r="N165" s="46"/>
    </row>
    <row r="166" spans="1:14" ht="14.6" x14ac:dyDescent="0.4">
      <c r="A166" s="8" t="s">
        <v>22</v>
      </c>
      <c r="B166" s="8" t="s">
        <v>196</v>
      </c>
      <c r="C166" s="8" t="s">
        <v>23</v>
      </c>
      <c r="D166" s="8" t="s">
        <v>197</v>
      </c>
      <c r="E166" s="8" t="s">
        <v>24</v>
      </c>
      <c r="F166" s="8" t="s">
        <v>1520</v>
      </c>
      <c r="G166" s="8" t="s">
        <v>1520</v>
      </c>
      <c r="H166" s="23" t="str">
        <f t="shared" si="0"/>
        <v>Yes</v>
      </c>
      <c r="I166" s="4" t="str">
        <f t="shared" si="1"/>
        <v>TN</v>
      </c>
      <c r="J166" s="42"/>
      <c r="K166" s="42"/>
      <c r="L166" s="42"/>
      <c r="N166" s="46"/>
    </row>
    <row r="167" spans="1:14" ht="14.6" x14ac:dyDescent="0.4">
      <c r="A167" s="8" t="s">
        <v>22</v>
      </c>
      <c r="B167" s="8" t="s">
        <v>1368</v>
      </c>
      <c r="C167" s="8" t="s">
        <v>23</v>
      </c>
      <c r="D167" s="8" t="s">
        <v>1355</v>
      </c>
      <c r="E167" s="8" t="s">
        <v>24</v>
      </c>
      <c r="F167" s="8" t="s">
        <v>1520</v>
      </c>
      <c r="G167" s="8" t="s">
        <v>1520</v>
      </c>
      <c r="H167" s="23" t="str">
        <f t="shared" si="0"/>
        <v>Yes</v>
      </c>
      <c r="I167" s="4" t="str">
        <f t="shared" si="1"/>
        <v>TN</v>
      </c>
      <c r="J167" s="42"/>
      <c r="K167" s="42"/>
      <c r="L167" s="42"/>
      <c r="N167" s="46"/>
    </row>
    <row r="168" spans="1:14" ht="14.6" x14ac:dyDescent="0.4">
      <c r="A168" s="8" t="s">
        <v>22</v>
      </c>
      <c r="B168" s="8" t="s">
        <v>1358</v>
      </c>
      <c r="C168" s="8" t="s">
        <v>23</v>
      </c>
      <c r="D168" s="8" t="s">
        <v>1359</v>
      </c>
      <c r="E168" s="8" t="s">
        <v>24</v>
      </c>
      <c r="F168" s="8" t="s">
        <v>1520</v>
      </c>
      <c r="G168" s="8" t="s">
        <v>1520</v>
      </c>
      <c r="H168" s="23" t="str">
        <f t="shared" si="0"/>
        <v>Yes</v>
      </c>
      <c r="I168" s="4" t="str">
        <f t="shared" si="1"/>
        <v>TN</v>
      </c>
      <c r="J168" s="42"/>
      <c r="K168" s="42"/>
      <c r="L168" s="42"/>
      <c r="N168" s="46"/>
    </row>
    <row r="169" spans="1:14" ht="14.6" x14ac:dyDescent="0.4">
      <c r="A169" s="8" t="s">
        <v>22</v>
      </c>
      <c r="B169" s="8" t="s">
        <v>1398</v>
      </c>
      <c r="C169" s="8" t="s">
        <v>23</v>
      </c>
      <c r="D169" s="8" t="s">
        <v>1359</v>
      </c>
      <c r="E169" s="8" t="s">
        <v>24</v>
      </c>
      <c r="F169" s="8" t="s">
        <v>1520</v>
      </c>
      <c r="G169" s="8" t="s">
        <v>1520</v>
      </c>
      <c r="H169" s="23" t="str">
        <f t="shared" si="0"/>
        <v>Yes</v>
      </c>
      <c r="I169" s="4" t="str">
        <f t="shared" si="1"/>
        <v>TN</v>
      </c>
      <c r="J169" s="42"/>
      <c r="K169" s="42"/>
      <c r="L169" s="42"/>
      <c r="N169" s="46"/>
    </row>
    <row r="170" spans="1:14" ht="14.6" x14ac:dyDescent="0.4">
      <c r="A170" s="8" t="s">
        <v>22</v>
      </c>
      <c r="B170" s="8" t="s">
        <v>1403</v>
      </c>
      <c r="C170" s="8" t="s">
        <v>23</v>
      </c>
      <c r="D170" s="8" t="s">
        <v>1345</v>
      </c>
      <c r="E170" s="8" t="s">
        <v>24</v>
      </c>
      <c r="F170" s="8" t="s">
        <v>1520</v>
      </c>
      <c r="G170" s="8" t="s">
        <v>1520</v>
      </c>
      <c r="H170" s="23" t="str">
        <f t="shared" si="0"/>
        <v>Yes</v>
      </c>
      <c r="I170" s="4" t="str">
        <f t="shared" si="1"/>
        <v>TN</v>
      </c>
      <c r="J170" s="42"/>
      <c r="K170" s="42"/>
      <c r="L170" s="42"/>
      <c r="N170" s="46"/>
    </row>
    <row r="171" spans="1:14" ht="14.6" x14ac:dyDescent="0.4">
      <c r="A171" s="8" t="s">
        <v>85</v>
      </c>
      <c r="B171" s="8" t="s">
        <v>196</v>
      </c>
      <c r="C171" s="8" t="s">
        <v>86</v>
      </c>
      <c r="D171" s="8" t="s">
        <v>197</v>
      </c>
      <c r="E171" s="8" t="s">
        <v>24</v>
      </c>
      <c r="F171" s="8" t="s">
        <v>1520</v>
      </c>
      <c r="G171" s="8" t="s">
        <v>1520</v>
      </c>
      <c r="H171" s="23" t="str">
        <f t="shared" si="0"/>
        <v>Yes</v>
      </c>
      <c r="I171" s="4" t="str">
        <f t="shared" si="1"/>
        <v>TN</v>
      </c>
      <c r="J171" s="42"/>
      <c r="K171" s="42"/>
      <c r="L171" s="42"/>
      <c r="N171" s="46"/>
    </row>
    <row r="172" spans="1:14" ht="14.6" x14ac:dyDescent="0.4">
      <c r="A172" s="8" t="s">
        <v>85</v>
      </c>
      <c r="B172" s="8" t="s">
        <v>1368</v>
      </c>
      <c r="C172" s="8" t="s">
        <v>86</v>
      </c>
      <c r="D172" s="8" t="s">
        <v>1355</v>
      </c>
      <c r="E172" s="8" t="s">
        <v>24</v>
      </c>
      <c r="F172" s="8" t="s">
        <v>1520</v>
      </c>
      <c r="G172" s="8" t="s">
        <v>1520</v>
      </c>
      <c r="H172" s="23" t="str">
        <f t="shared" si="0"/>
        <v>Yes</v>
      </c>
      <c r="I172" s="4" t="str">
        <f t="shared" si="1"/>
        <v>TN</v>
      </c>
      <c r="J172" s="42"/>
      <c r="K172" s="42"/>
      <c r="L172" s="42"/>
      <c r="N172" s="46"/>
    </row>
    <row r="173" spans="1:14" ht="14.6" x14ac:dyDescent="0.4">
      <c r="A173" s="8" t="s">
        <v>85</v>
      </c>
      <c r="B173" s="8" t="s">
        <v>1358</v>
      </c>
      <c r="C173" s="8" t="s">
        <v>86</v>
      </c>
      <c r="D173" s="8" t="s">
        <v>1359</v>
      </c>
      <c r="E173" s="8" t="s">
        <v>24</v>
      </c>
      <c r="F173" s="8" t="s">
        <v>1520</v>
      </c>
      <c r="G173" s="8" t="s">
        <v>1520</v>
      </c>
      <c r="H173" s="23" t="str">
        <f t="shared" si="0"/>
        <v>Yes</v>
      </c>
      <c r="I173" s="4" t="str">
        <f t="shared" si="1"/>
        <v>TN</v>
      </c>
      <c r="J173" s="42"/>
      <c r="K173" s="42"/>
      <c r="L173" s="42"/>
      <c r="N173" s="46"/>
    </row>
    <row r="174" spans="1:14" ht="14.6" x14ac:dyDescent="0.4">
      <c r="A174" s="8" t="s">
        <v>85</v>
      </c>
      <c r="B174" s="8" t="s">
        <v>1398</v>
      </c>
      <c r="C174" s="8" t="s">
        <v>86</v>
      </c>
      <c r="D174" s="8" t="s">
        <v>1359</v>
      </c>
      <c r="E174" s="8" t="s">
        <v>24</v>
      </c>
      <c r="F174" s="8" t="s">
        <v>1520</v>
      </c>
      <c r="G174" s="8" t="s">
        <v>1520</v>
      </c>
      <c r="H174" s="23" t="str">
        <f t="shared" si="0"/>
        <v>Yes</v>
      </c>
      <c r="I174" s="4" t="str">
        <f t="shared" si="1"/>
        <v>TN</v>
      </c>
      <c r="J174" s="42"/>
      <c r="K174" s="42"/>
      <c r="L174" s="42"/>
      <c r="N174" s="46"/>
    </row>
    <row r="175" spans="1:14" ht="14.6" x14ac:dyDescent="0.4">
      <c r="A175" s="8" t="s">
        <v>85</v>
      </c>
      <c r="B175" s="8" t="s">
        <v>1403</v>
      </c>
      <c r="C175" s="8" t="s">
        <v>86</v>
      </c>
      <c r="D175" s="8" t="s">
        <v>1345</v>
      </c>
      <c r="E175" s="8" t="s">
        <v>24</v>
      </c>
      <c r="F175" s="8" t="s">
        <v>1520</v>
      </c>
      <c r="G175" s="8" t="s">
        <v>1520</v>
      </c>
      <c r="H175" s="23" t="str">
        <f t="shared" si="0"/>
        <v>Yes</v>
      </c>
      <c r="I175" s="4" t="str">
        <f t="shared" si="1"/>
        <v>TN</v>
      </c>
      <c r="J175" s="42"/>
      <c r="K175" s="42"/>
      <c r="L175" s="42"/>
      <c r="N175" s="46"/>
    </row>
    <row r="176" spans="1:14" ht="14.6" x14ac:dyDescent="0.4">
      <c r="A176" s="8" t="s">
        <v>196</v>
      </c>
      <c r="B176" s="8" t="s">
        <v>1368</v>
      </c>
      <c r="C176" s="8" t="s">
        <v>197</v>
      </c>
      <c r="D176" s="8" t="s">
        <v>1355</v>
      </c>
      <c r="E176" s="8" t="s">
        <v>24</v>
      </c>
      <c r="F176" s="8" t="s">
        <v>1520</v>
      </c>
      <c r="G176" s="8" t="s">
        <v>1520</v>
      </c>
      <c r="H176" s="23" t="str">
        <f t="shared" si="0"/>
        <v>Yes</v>
      </c>
      <c r="I176" s="4" t="str">
        <f t="shared" si="1"/>
        <v>TN</v>
      </c>
      <c r="J176" s="42"/>
      <c r="K176" s="42"/>
      <c r="L176" s="42"/>
      <c r="N176" s="46"/>
    </row>
    <row r="177" spans="1:14" ht="14.6" x14ac:dyDescent="0.4">
      <c r="A177" s="8" t="s">
        <v>196</v>
      </c>
      <c r="B177" s="8" t="s">
        <v>1358</v>
      </c>
      <c r="C177" s="8" t="s">
        <v>197</v>
      </c>
      <c r="D177" s="8" t="s">
        <v>1359</v>
      </c>
      <c r="E177" s="8" t="s">
        <v>24</v>
      </c>
      <c r="F177" s="8" t="s">
        <v>1520</v>
      </c>
      <c r="G177" s="8" t="s">
        <v>1520</v>
      </c>
      <c r="H177" s="23" t="str">
        <f t="shared" si="0"/>
        <v>Yes</v>
      </c>
      <c r="I177" s="4" t="str">
        <f t="shared" si="1"/>
        <v>TN</v>
      </c>
      <c r="J177" s="42"/>
      <c r="K177" s="42"/>
      <c r="L177" s="42"/>
      <c r="N177" s="46"/>
    </row>
    <row r="178" spans="1:14" ht="14.6" x14ac:dyDescent="0.4">
      <c r="A178" s="8" t="s">
        <v>196</v>
      </c>
      <c r="B178" s="8" t="s">
        <v>1398</v>
      </c>
      <c r="C178" s="8" t="s">
        <v>197</v>
      </c>
      <c r="D178" s="8" t="s">
        <v>1359</v>
      </c>
      <c r="E178" s="8" t="s">
        <v>24</v>
      </c>
      <c r="F178" s="8" t="s">
        <v>1520</v>
      </c>
      <c r="G178" s="8" t="s">
        <v>1520</v>
      </c>
      <c r="H178" s="23" t="str">
        <f t="shared" si="0"/>
        <v>Yes</v>
      </c>
      <c r="I178" s="4" t="str">
        <f t="shared" si="1"/>
        <v>TN</v>
      </c>
      <c r="J178" s="42"/>
      <c r="K178" s="42"/>
      <c r="L178" s="42"/>
      <c r="N178" s="46"/>
    </row>
    <row r="179" spans="1:14" ht="14.6" x14ac:dyDescent="0.4">
      <c r="A179" s="8" t="s">
        <v>196</v>
      </c>
      <c r="B179" s="8" t="s">
        <v>1403</v>
      </c>
      <c r="C179" s="8" t="s">
        <v>197</v>
      </c>
      <c r="D179" s="8" t="s">
        <v>1345</v>
      </c>
      <c r="E179" s="8" t="s">
        <v>24</v>
      </c>
      <c r="F179" s="8" t="s">
        <v>1520</v>
      </c>
      <c r="G179" s="8" t="s">
        <v>1520</v>
      </c>
      <c r="H179" s="23" t="str">
        <f t="shared" si="0"/>
        <v>Yes</v>
      </c>
      <c r="I179" s="4" t="str">
        <f t="shared" si="1"/>
        <v>TN</v>
      </c>
      <c r="J179" s="42"/>
      <c r="K179" s="42"/>
      <c r="L179" s="42"/>
      <c r="N179" s="46"/>
    </row>
    <row r="180" spans="1:14" ht="14.6" x14ac:dyDescent="0.4">
      <c r="A180" s="8" t="s">
        <v>1368</v>
      </c>
      <c r="B180" s="8" t="s">
        <v>1358</v>
      </c>
      <c r="C180" s="8" t="s">
        <v>1355</v>
      </c>
      <c r="D180" s="8" t="s">
        <v>1359</v>
      </c>
      <c r="E180" s="8" t="s">
        <v>24</v>
      </c>
      <c r="F180" s="8" t="s">
        <v>1520</v>
      </c>
      <c r="G180" s="8" t="s">
        <v>1520</v>
      </c>
      <c r="H180" s="23" t="str">
        <f t="shared" si="0"/>
        <v>Yes</v>
      </c>
      <c r="I180" s="4" t="str">
        <f t="shared" si="1"/>
        <v>TN</v>
      </c>
      <c r="J180" s="42"/>
      <c r="K180" s="42"/>
      <c r="L180" s="42"/>
      <c r="N180" s="46"/>
    </row>
    <row r="181" spans="1:14" ht="14.6" x14ac:dyDescent="0.4">
      <c r="A181" s="8" t="s">
        <v>1368</v>
      </c>
      <c r="B181" s="8" t="s">
        <v>1398</v>
      </c>
      <c r="C181" s="8" t="s">
        <v>1355</v>
      </c>
      <c r="D181" s="8" t="s">
        <v>1359</v>
      </c>
      <c r="E181" s="8" t="s">
        <v>24</v>
      </c>
      <c r="F181" s="8" t="s">
        <v>1520</v>
      </c>
      <c r="G181" s="8" t="s">
        <v>1520</v>
      </c>
      <c r="H181" s="23" t="str">
        <f t="shared" si="0"/>
        <v>Yes</v>
      </c>
      <c r="I181" s="4" t="str">
        <f t="shared" si="1"/>
        <v>TN</v>
      </c>
      <c r="J181" s="42"/>
      <c r="K181" s="42"/>
      <c r="L181" s="42"/>
      <c r="N181" s="46"/>
    </row>
    <row r="182" spans="1:14" ht="14.6" x14ac:dyDescent="0.4">
      <c r="A182" s="8" t="s">
        <v>1368</v>
      </c>
      <c r="B182" s="8" t="s">
        <v>1403</v>
      </c>
      <c r="C182" s="8" t="s">
        <v>1355</v>
      </c>
      <c r="D182" s="8" t="s">
        <v>1345</v>
      </c>
      <c r="E182" s="8" t="s">
        <v>24</v>
      </c>
      <c r="F182" s="8" t="s">
        <v>1520</v>
      </c>
      <c r="G182" s="8" t="s">
        <v>1520</v>
      </c>
      <c r="H182" s="23" t="str">
        <f t="shared" si="0"/>
        <v>Yes</v>
      </c>
      <c r="I182" s="4" t="str">
        <f t="shared" si="1"/>
        <v>TN</v>
      </c>
      <c r="J182" s="42"/>
      <c r="K182" s="42"/>
      <c r="L182" s="42"/>
      <c r="N182" s="46"/>
    </row>
    <row r="183" spans="1:14" ht="14.6" x14ac:dyDescent="0.4">
      <c r="A183" s="8" t="s">
        <v>1358</v>
      </c>
      <c r="B183" s="8" t="s">
        <v>1398</v>
      </c>
      <c r="C183" s="8" t="s">
        <v>1359</v>
      </c>
      <c r="D183" s="8" t="s">
        <v>1359</v>
      </c>
      <c r="E183" s="8" t="s">
        <v>24</v>
      </c>
      <c r="F183" s="8" t="s">
        <v>1520</v>
      </c>
      <c r="G183" s="8" t="s">
        <v>1520</v>
      </c>
      <c r="H183" s="23" t="str">
        <f t="shared" si="0"/>
        <v>Yes</v>
      </c>
      <c r="I183" s="4" t="str">
        <f t="shared" si="1"/>
        <v>TN</v>
      </c>
      <c r="J183" s="42"/>
      <c r="K183" s="42"/>
      <c r="L183" s="42"/>
      <c r="N183" s="46"/>
    </row>
    <row r="184" spans="1:14" ht="14.6" x14ac:dyDescent="0.4">
      <c r="A184" s="8" t="s">
        <v>1370</v>
      </c>
      <c r="B184" s="8" t="s">
        <v>1380</v>
      </c>
      <c r="C184" s="8" t="s">
        <v>1359</v>
      </c>
      <c r="D184" s="8" t="s">
        <v>1353</v>
      </c>
      <c r="E184" s="8" t="s">
        <v>52</v>
      </c>
      <c r="F184" s="8" t="s">
        <v>1522</v>
      </c>
      <c r="G184" s="8" t="s">
        <v>1522</v>
      </c>
      <c r="H184" s="23" t="str">
        <f t="shared" si="0"/>
        <v>Yes</v>
      </c>
      <c r="I184" s="4" t="str">
        <f t="shared" si="1"/>
        <v>TP</v>
      </c>
      <c r="J184" s="42"/>
      <c r="K184" s="42"/>
      <c r="L184" s="42"/>
      <c r="N184" s="46"/>
    </row>
    <row r="185" spans="1:14" ht="14.6" x14ac:dyDescent="0.4">
      <c r="A185" s="8" t="s">
        <v>1370</v>
      </c>
      <c r="B185" s="8" t="s">
        <v>1399</v>
      </c>
      <c r="C185" s="8" t="s">
        <v>1359</v>
      </c>
      <c r="D185" s="8" t="s">
        <v>1351</v>
      </c>
      <c r="E185" s="8" t="s">
        <v>52</v>
      </c>
      <c r="F185" s="8" t="s">
        <v>1522</v>
      </c>
      <c r="G185" s="8" t="s">
        <v>1522</v>
      </c>
      <c r="H185" s="23" t="str">
        <f t="shared" si="0"/>
        <v>Yes</v>
      </c>
      <c r="I185" s="4" t="str">
        <f t="shared" si="1"/>
        <v>TP</v>
      </c>
      <c r="J185" s="42"/>
      <c r="K185" s="42"/>
      <c r="L185" s="42"/>
      <c r="N185" s="46"/>
    </row>
    <row r="186" spans="1:14" ht="14.6" x14ac:dyDescent="0.4">
      <c r="A186" s="8" t="s">
        <v>1380</v>
      </c>
      <c r="B186" s="8" t="s">
        <v>1399</v>
      </c>
      <c r="C186" s="8" t="s">
        <v>1353</v>
      </c>
      <c r="D186" s="8" t="s">
        <v>1351</v>
      </c>
      <c r="E186" s="8" t="s">
        <v>52</v>
      </c>
      <c r="F186" s="8" t="s">
        <v>1522</v>
      </c>
      <c r="G186" s="8" t="s">
        <v>1522</v>
      </c>
      <c r="H186" s="23" t="str">
        <f t="shared" si="0"/>
        <v>Yes</v>
      </c>
      <c r="I186" s="4" t="str">
        <f t="shared" si="1"/>
        <v>TP</v>
      </c>
      <c r="J186" s="42"/>
      <c r="K186" s="42"/>
      <c r="L186" s="42"/>
      <c r="N186" s="46"/>
    </row>
    <row r="187" spans="1:14" ht="14.6" x14ac:dyDescent="0.4">
      <c r="A187" s="8" t="s">
        <v>51</v>
      </c>
      <c r="B187" s="8" t="s">
        <v>102</v>
      </c>
      <c r="C187" s="8" t="s">
        <v>46</v>
      </c>
      <c r="D187" s="8" t="s">
        <v>103</v>
      </c>
      <c r="E187" s="8" t="s">
        <v>52</v>
      </c>
      <c r="F187" s="8" t="s">
        <v>1520</v>
      </c>
      <c r="G187" s="8" t="s">
        <v>1520</v>
      </c>
      <c r="H187" s="23" t="str">
        <f t="shared" si="0"/>
        <v>Yes</v>
      </c>
      <c r="I187" s="4" t="str">
        <f t="shared" si="1"/>
        <v>TN</v>
      </c>
      <c r="J187" s="42"/>
      <c r="K187" s="42"/>
      <c r="L187" s="42"/>
      <c r="N187" s="46"/>
    </row>
    <row r="188" spans="1:14" ht="14.6" x14ac:dyDescent="0.4">
      <c r="A188" s="8" t="s">
        <v>51</v>
      </c>
      <c r="B188" s="8" t="s">
        <v>155</v>
      </c>
      <c r="C188" s="8" t="s">
        <v>46</v>
      </c>
      <c r="D188" s="8" t="s">
        <v>156</v>
      </c>
      <c r="E188" s="8" t="s">
        <v>52</v>
      </c>
      <c r="F188" s="8" t="s">
        <v>1520</v>
      </c>
      <c r="G188" s="8" t="s">
        <v>1520</v>
      </c>
      <c r="H188" s="23" t="str">
        <f t="shared" si="0"/>
        <v>Yes</v>
      </c>
      <c r="I188" s="4" t="str">
        <f t="shared" si="1"/>
        <v>TN</v>
      </c>
      <c r="J188" s="42"/>
      <c r="K188" s="42"/>
      <c r="L188" s="42"/>
      <c r="N188" s="46"/>
    </row>
    <row r="189" spans="1:14" ht="14.6" x14ac:dyDescent="0.4">
      <c r="A189" s="8" t="s">
        <v>51</v>
      </c>
      <c r="B189" s="8" t="s">
        <v>168</v>
      </c>
      <c r="C189" s="8" t="s">
        <v>46</v>
      </c>
      <c r="D189" s="8" t="s">
        <v>169</v>
      </c>
      <c r="E189" s="8" t="s">
        <v>52</v>
      </c>
      <c r="F189" s="8" t="s">
        <v>1520</v>
      </c>
      <c r="G189" s="8" t="s">
        <v>1520</v>
      </c>
      <c r="H189" s="23" t="str">
        <f t="shared" si="0"/>
        <v>Yes</v>
      </c>
      <c r="I189" s="4" t="str">
        <f t="shared" si="1"/>
        <v>TN</v>
      </c>
      <c r="J189" s="42"/>
      <c r="K189" s="42"/>
      <c r="L189" s="42"/>
      <c r="N189" s="46"/>
    </row>
    <row r="190" spans="1:14" ht="14.6" x14ac:dyDescent="0.4">
      <c r="A190" s="8" t="s">
        <v>51</v>
      </c>
      <c r="B190" s="8" t="s">
        <v>1370</v>
      </c>
      <c r="C190" s="8" t="s">
        <v>46</v>
      </c>
      <c r="D190" s="8" t="s">
        <v>1359</v>
      </c>
      <c r="E190" s="8" t="s">
        <v>52</v>
      </c>
      <c r="F190" s="8" t="s">
        <v>1520</v>
      </c>
      <c r="G190" s="8" t="s">
        <v>1520</v>
      </c>
      <c r="H190" s="23" t="str">
        <f t="shared" si="0"/>
        <v>Yes</v>
      </c>
      <c r="I190" s="4" t="str">
        <f t="shared" si="1"/>
        <v>TN</v>
      </c>
      <c r="J190" s="42"/>
      <c r="K190" s="42"/>
      <c r="L190" s="42"/>
      <c r="N190" s="46"/>
    </row>
    <row r="191" spans="1:14" ht="14.6" x14ac:dyDescent="0.4">
      <c r="A191" s="8" t="s">
        <v>51</v>
      </c>
      <c r="B191" s="8" t="s">
        <v>1380</v>
      </c>
      <c r="C191" s="8" t="s">
        <v>46</v>
      </c>
      <c r="D191" s="8" t="s">
        <v>1353</v>
      </c>
      <c r="E191" s="8" t="s">
        <v>52</v>
      </c>
      <c r="F191" s="8" t="s">
        <v>1520</v>
      </c>
      <c r="G191" s="8" t="s">
        <v>1520</v>
      </c>
      <c r="H191" s="23" t="str">
        <f t="shared" si="0"/>
        <v>Yes</v>
      </c>
      <c r="I191" s="4" t="str">
        <f t="shared" si="1"/>
        <v>TN</v>
      </c>
      <c r="J191" s="42"/>
      <c r="K191" s="42"/>
      <c r="L191" s="42"/>
      <c r="N191" s="46"/>
    </row>
    <row r="192" spans="1:14" ht="14.6" x14ac:dyDescent="0.4">
      <c r="A192" s="8" t="s">
        <v>51</v>
      </c>
      <c r="B192" s="8" t="s">
        <v>1399</v>
      </c>
      <c r="C192" s="8" t="s">
        <v>46</v>
      </c>
      <c r="D192" s="8" t="s">
        <v>1351</v>
      </c>
      <c r="E192" s="8" t="s">
        <v>52</v>
      </c>
      <c r="F192" s="8" t="s">
        <v>1520</v>
      </c>
      <c r="G192" s="8" t="s">
        <v>1520</v>
      </c>
      <c r="H192" s="23" t="str">
        <f t="shared" si="0"/>
        <v>Yes</v>
      </c>
      <c r="I192" s="4" t="str">
        <f t="shared" si="1"/>
        <v>TN</v>
      </c>
      <c r="J192" s="42"/>
      <c r="K192" s="42"/>
      <c r="L192" s="42"/>
      <c r="N192" s="46"/>
    </row>
    <row r="193" spans="1:14" ht="14.6" x14ac:dyDescent="0.4">
      <c r="A193" s="8" t="s">
        <v>51</v>
      </c>
      <c r="B193" s="8" t="s">
        <v>1044</v>
      </c>
      <c r="C193" s="8" t="s">
        <v>46</v>
      </c>
      <c r="D193" s="8" t="s">
        <v>1045</v>
      </c>
      <c r="E193" s="8" t="s">
        <v>52</v>
      </c>
      <c r="F193" s="8" t="s">
        <v>1520</v>
      </c>
      <c r="G193" s="8" t="s">
        <v>1520</v>
      </c>
      <c r="H193" s="23" t="str">
        <f t="shared" si="0"/>
        <v>Yes</v>
      </c>
      <c r="I193" s="4" t="str">
        <f t="shared" si="1"/>
        <v>TN</v>
      </c>
      <c r="J193" s="42"/>
      <c r="K193" s="42"/>
      <c r="L193" s="42"/>
      <c r="N193" s="46"/>
    </row>
    <row r="194" spans="1:14" ht="14.6" x14ac:dyDescent="0.4">
      <c r="A194" s="8" t="s">
        <v>102</v>
      </c>
      <c r="B194" s="8" t="s">
        <v>155</v>
      </c>
      <c r="C194" s="8" t="s">
        <v>103</v>
      </c>
      <c r="D194" s="8" t="s">
        <v>156</v>
      </c>
      <c r="E194" s="8" t="s">
        <v>52</v>
      </c>
      <c r="F194" s="8" t="s">
        <v>1520</v>
      </c>
      <c r="G194" s="8" t="s">
        <v>1520</v>
      </c>
      <c r="H194" s="23" t="str">
        <f t="shared" si="0"/>
        <v>Yes</v>
      </c>
      <c r="I194" s="4" t="str">
        <f t="shared" si="1"/>
        <v>TN</v>
      </c>
      <c r="J194" s="42"/>
      <c r="K194" s="42"/>
      <c r="L194" s="42"/>
      <c r="N194" s="46"/>
    </row>
    <row r="195" spans="1:14" ht="14.6" x14ac:dyDescent="0.4">
      <c r="A195" s="8" t="s">
        <v>102</v>
      </c>
      <c r="B195" s="8" t="s">
        <v>168</v>
      </c>
      <c r="C195" s="8" t="s">
        <v>103</v>
      </c>
      <c r="D195" s="8" t="s">
        <v>169</v>
      </c>
      <c r="E195" s="8" t="s">
        <v>52</v>
      </c>
      <c r="F195" s="8" t="s">
        <v>1520</v>
      </c>
      <c r="G195" s="8" t="s">
        <v>1520</v>
      </c>
      <c r="H195" s="23" t="str">
        <f t="shared" si="0"/>
        <v>Yes</v>
      </c>
      <c r="I195" s="4" t="str">
        <f t="shared" si="1"/>
        <v>TN</v>
      </c>
      <c r="J195" s="42"/>
      <c r="K195" s="42"/>
      <c r="L195" s="42"/>
      <c r="N195" s="46"/>
    </row>
    <row r="196" spans="1:14" ht="14.6" x14ac:dyDescent="0.4">
      <c r="A196" s="8" t="s">
        <v>102</v>
      </c>
      <c r="B196" s="8" t="s">
        <v>1370</v>
      </c>
      <c r="C196" s="8" t="s">
        <v>103</v>
      </c>
      <c r="D196" s="8" t="s">
        <v>1359</v>
      </c>
      <c r="E196" s="8" t="s">
        <v>52</v>
      </c>
      <c r="F196" s="8" t="s">
        <v>1520</v>
      </c>
      <c r="G196" s="8" t="s">
        <v>1520</v>
      </c>
      <c r="H196" s="23" t="str">
        <f t="shared" si="0"/>
        <v>Yes</v>
      </c>
      <c r="I196" s="4" t="str">
        <f t="shared" si="1"/>
        <v>TN</v>
      </c>
      <c r="J196" s="42"/>
      <c r="K196" s="42"/>
      <c r="L196" s="42"/>
      <c r="N196" s="46"/>
    </row>
    <row r="197" spans="1:14" ht="14.6" x14ac:dyDescent="0.4">
      <c r="A197" s="8" t="s">
        <v>102</v>
      </c>
      <c r="B197" s="8" t="s">
        <v>1380</v>
      </c>
      <c r="C197" s="8" t="s">
        <v>103</v>
      </c>
      <c r="D197" s="8" t="s">
        <v>1353</v>
      </c>
      <c r="E197" s="8" t="s">
        <v>52</v>
      </c>
      <c r="F197" s="8" t="s">
        <v>1520</v>
      </c>
      <c r="G197" s="8" t="s">
        <v>1520</v>
      </c>
      <c r="H197" s="23" t="str">
        <f t="shared" si="0"/>
        <v>Yes</v>
      </c>
      <c r="I197" s="4" t="str">
        <f t="shared" si="1"/>
        <v>TN</v>
      </c>
      <c r="J197" s="42"/>
      <c r="K197" s="42"/>
      <c r="L197" s="42"/>
      <c r="N197" s="46"/>
    </row>
    <row r="198" spans="1:14" ht="14.6" x14ac:dyDescent="0.4">
      <c r="A198" s="8" t="s">
        <v>102</v>
      </c>
      <c r="B198" s="8" t="s">
        <v>1399</v>
      </c>
      <c r="C198" s="8" t="s">
        <v>103</v>
      </c>
      <c r="D198" s="8" t="s">
        <v>1351</v>
      </c>
      <c r="E198" s="8" t="s">
        <v>52</v>
      </c>
      <c r="F198" s="8" t="s">
        <v>1520</v>
      </c>
      <c r="G198" s="8" t="s">
        <v>1520</v>
      </c>
      <c r="H198" s="23" t="str">
        <f t="shared" si="0"/>
        <v>Yes</v>
      </c>
      <c r="I198" s="4" t="str">
        <f t="shared" si="1"/>
        <v>TN</v>
      </c>
      <c r="J198" s="42"/>
      <c r="K198" s="42"/>
      <c r="L198" s="42"/>
      <c r="N198" s="46"/>
    </row>
    <row r="199" spans="1:14" ht="14.6" x14ac:dyDescent="0.4">
      <c r="A199" s="8" t="s">
        <v>102</v>
      </c>
      <c r="B199" s="8" t="s">
        <v>1044</v>
      </c>
      <c r="C199" s="8" t="s">
        <v>103</v>
      </c>
      <c r="D199" s="8" t="s">
        <v>1045</v>
      </c>
      <c r="E199" s="8" t="s">
        <v>52</v>
      </c>
      <c r="F199" s="8" t="s">
        <v>1520</v>
      </c>
      <c r="G199" s="8" t="s">
        <v>1520</v>
      </c>
      <c r="H199" s="23" t="str">
        <f t="shared" si="0"/>
        <v>Yes</v>
      </c>
      <c r="I199" s="4" t="str">
        <f t="shared" si="1"/>
        <v>TN</v>
      </c>
      <c r="J199" s="42"/>
      <c r="K199" s="42"/>
      <c r="L199" s="42"/>
      <c r="N199" s="46"/>
    </row>
    <row r="200" spans="1:14" ht="14.6" x14ac:dyDescent="0.4">
      <c r="A200" s="8" t="s">
        <v>155</v>
      </c>
      <c r="B200" s="8" t="s">
        <v>168</v>
      </c>
      <c r="C200" s="8" t="s">
        <v>156</v>
      </c>
      <c r="D200" s="8" t="s">
        <v>169</v>
      </c>
      <c r="E200" s="8" t="s">
        <v>52</v>
      </c>
      <c r="F200" s="8" t="s">
        <v>1520</v>
      </c>
      <c r="G200" s="8" t="s">
        <v>1520</v>
      </c>
      <c r="H200" s="23" t="str">
        <f t="shared" si="0"/>
        <v>Yes</v>
      </c>
      <c r="I200" s="4" t="str">
        <f t="shared" si="1"/>
        <v>TN</v>
      </c>
      <c r="J200" s="42"/>
      <c r="K200" s="42"/>
      <c r="L200" s="42"/>
      <c r="N200" s="46"/>
    </row>
    <row r="201" spans="1:14" ht="14.6" x14ac:dyDescent="0.4">
      <c r="A201" s="8" t="s">
        <v>155</v>
      </c>
      <c r="B201" s="8" t="s">
        <v>1370</v>
      </c>
      <c r="C201" s="8" t="s">
        <v>156</v>
      </c>
      <c r="D201" s="8" t="s">
        <v>1359</v>
      </c>
      <c r="E201" s="8" t="s">
        <v>52</v>
      </c>
      <c r="F201" s="8" t="s">
        <v>1520</v>
      </c>
      <c r="G201" s="8" t="s">
        <v>1520</v>
      </c>
      <c r="H201" s="23" t="str">
        <f t="shared" si="0"/>
        <v>Yes</v>
      </c>
      <c r="I201" s="4" t="str">
        <f t="shared" si="1"/>
        <v>TN</v>
      </c>
      <c r="J201" s="42"/>
      <c r="K201" s="42"/>
      <c r="L201" s="42"/>
      <c r="N201" s="46"/>
    </row>
    <row r="202" spans="1:14" ht="14.6" x14ac:dyDescent="0.4">
      <c r="A202" s="8" t="s">
        <v>155</v>
      </c>
      <c r="B202" s="8" t="s">
        <v>1380</v>
      </c>
      <c r="C202" s="8" t="s">
        <v>156</v>
      </c>
      <c r="D202" s="8" t="s">
        <v>1353</v>
      </c>
      <c r="E202" s="8" t="s">
        <v>52</v>
      </c>
      <c r="F202" s="8" t="s">
        <v>1520</v>
      </c>
      <c r="G202" s="8" t="s">
        <v>1520</v>
      </c>
      <c r="H202" s="23" t="str">
        <f t="shared" si="0"/>
        <v>Yes</v>
      </c>
      <c r="I202" s="4" t="str">
        <f t="shared" si="1"/>
        <v>TN</v>
      </c>
      <c r="J202" s="42"/>
      <c r="K202" s="42"/>
      <c r="L202" s="42"/>
      <c r="N202" s="46"/>
    </row>
    <row r="203" spans="1:14" ht="14.6" x14ac:dyDescent="0.4">
      <c r="A203" s="8" t="s">
        <v>155</v>
      </c>
      <c r="B203" s="8" t="s">
        <v>1399</v>
      </c>
      <c r="C203" s="8" t="s">
        <v>156</v>
      </c>
      <c r="D203" s="8" t="s">
        <v>1351</v>
      </c>
      <c r="E203" s="8" t="s">
        <v>52</v>
      </c>
      <c r="F203" s="8" t="s">
        <v>1520</v>
      </c>
      <c r="G203" s="8" t="s">
        <v>1520</v>
      </c>
      <c r="H203" s="23" t="str">
        <f t="shared" si="0"/>
        <v>Yes</v>
      </c>
      <c r="I203" s="4" t="str">
        <f t="shared" si="1"/>
        <v>TN</v>
      </c>
      <c r="J203" s="42"/>
      <c r="K203" s="42"/>
      <c r="L203" s="42"/>
      <c r="N203" s="46"/>
    </row>
    <row r="204" spans="1:14" ht="14.6" x14ac:dyDescent="0.4">
      <c r="A204" s="8" t="s">
        <v>155</v>
      </c>
      <c r="B204" s="8" t="s">
        <v>1044</v>
      </c>
      <c r="C204" s="8" t="s">
        <v>156</v>
      </c>
      <c r="D204" s="8" t="s">
        <v>1045</v>
      </c>
      <c r="E204" s="8" t="s">
        <v>52</v>
      </c>
      <c r="F204" s="8" t="s">
        <v>1520</v>
      </c>
      <c r="G204" s="8" t="s">
        <v>1520</v>
      </c>
      <c r="H204" s="23" t="str">
        <f t="shared" si="0"/>
        <v>Yes</v>
      </c>
      <c r="I204" s="4" t="str">
        <f t="shared" si="1"/>
        <v>TN</v>
      </c>
      <c r="J204" s="42"/>
      <c r="K204" s="42"/>
      <c r="L204" s="42"/>
      <c r="N204" s="46"/>
    </row>
    <row r="205" spans="1:14" ht="14.6" x14ac:dyDescent="0.4">
      <c r="A205" s="8" t="s">
        <v>168</v>
      </c>
      <c r="B205" s="8" t="s">
        <v>1370</v>
      </c>
      <c r="C205" s="8" t="s">
        <v>169</v>
      </c>
      <c r="D205" s="8" t="s">
        <v>1359</v>
      </c>
      <c r="E205" s="8" t="s">
        <v>52</v>
      </c>
      <c r="F205" s="8" t="s">
        <v>1520</v>
      </c>
      <c r="G205" s="8" t="s">
        <v>1520</v>
      </c>
      <c r="H205" s="23" t="str">
        <f t="shared" si="0"/>
        <v>Yes</v>
      </c>
      <c r="I205" s="4" t="str">
        <f t="shared" si="1"/>
        <v>TN</v>
      </c>
      <c r="J205" s="42"/>
      <c r="K205" s="42"/>
      <c r="L205" s="42"/>
      <c r="N205" s="46"/>
    </row>
    <row r="206" spans="1:14" ht="14.6" x14ac:dyDescent="0.4">
      <c r="A206" s="8" t="s">
        <v>168</v>
      </c>
      <c r="B206" s="8" t="s">
        <v>1380</v>
      </c>
      <c r="C206" s="8" t="s">
        <v>169</v>
      </c>
      <c r="D206" s="8" t="s">
        <v>1353</v>
      </c>
      <c r="E206" s="8" t="s">
        <v>52</v>
      </c>
      <c r="F206" s="8" t="s">
        <v>1520</v>
      </c>
      <c r="G206" s="8" t="s">
        <v>1520</v>
      </c>
      <c r="H206" s="23" t="str">
        <f t="shared" si="0"/>
        <v>Yes</v>
      </c>
      <c r="I206" s="4" t="str">
        <f t="shared" si="1"/>
        <v>TN</v>
      </c>
      <c r="J206" s="42"/>
      <c r="K206" s="42"/>
      <c r="L206" s="42"/>
      <c r="N206" s="46"/>
    </row>
    <row r="207" spans="1:14" ht="14.6" x14ac:dyDescent="0.4">
      <c r="A207" s="8" t="s">
        <v>168</v>
      </c>
      <c r="B207" s="8" t="s">
        <v>1399</v>
      </c>
      <c r="C207" s="8" t="s">
        <v>169</v>
      </c>
      <c r="D207" s="8" t="s">
        <v>1351</v>
      </c>
      <c r="E207" s="8" t="s">
        <v>52</v>
      </c>
      <c r="F207" s="8" t="s">
        <v>1520</v>
      </c>
      <c r="G207" s="8" t="s">
        <v>1520</v>
      </c>
      <c r="H207" s="23" t="str">
        <f t="shared" si="0"/>
        <v>Yes</v>
      </c>
      <c r="I207" s="4" t="str">
        <f t="shared" si="1"/>
        <v>TN</v>
      </c>
      <c r="J207" s="42"/>
      <c r="K207" s="42"/>
      <c r="L207" s="42"/>
      <c r="N207" s="46"/>
    </row>
    <row r="208" spans="1:14" ht="14.6" x14ac:dyDescent="0.4">
      <c r="A208" s="8" t="s">
        <v>168</v>
      </c>
      <c r="B208" s="8" t="s">
        <v>1044</v>
      </c>
      <c r="C208" s="8" t="s">
        <v>169</v>
      </c>
      <c r="D208" s="8" t="s">
        <v>1045</v>
      </c>
      <c r="E208" s="8" t="s">
        <v>52</v>
      </c>
      <c r="F208" s="8" t="s">
        <v>1520</v>
      </c>
      <c r="G208" s="8" t="s">
        <v>1520</v>
      </c>
      <c r="H208" s="23" t="str">
        <f t="shared" si="0"/>
        <v>Yes</v>
      </c>
      <c r="I208" s="4" t="str">
        <f t="shared" si="1"/>
        <v>TN</v>
      </c>
      <c r="J208" s="42"/>
      <c r="K208" s="42"/>
      <c r="L208" s="42"/>
      <c r="N208" s="46"/>
    </row>
    <row r="209" spans="1:14" ht="14.6" x14ac:dyDescent="0.4">
      <c r="A209" s="8" t="s">
        <v>1370</v>
      </c>
      <c r="B209" s="8" t="s">
        <v>1044</v>
      </c>
      <c r="C209" s="8" t="s">
        <v>1359</v>
      </c>
      <c r="D209" s="8" t="s">
        <v>1045</v>
      </c>
      <c r="E209" s="8" t="s">
        <v>52</v>
      </c>
      <c r="F209" s="8" t="s">
        <v>1520</v>
      </c>
      <c r="G209" s="8" t="s">
        <v>1520</v>
      </c>
      <c r="H209" s="23" t="str">
        <f t="shared" si="0"/>
        <v>Yes</v>
      </c>
      <c r="I209" s="4" t="str">
        <f t="shared" si="1"/>
        <v>TN</v>
      </c>
      <c r="J209" s="42"/>
      <c r="K209" s="42"/>
      <c r="L209" s="42"/>
      <c r="N209" s="46"/>
    </row>
    <row r="210" spans="1:14" ht="14.6" x14ac:dyDescent="0.4">
      <c r="A210" s="8" t="s">
        <v>1380</v>
      </c>
      <c r="B210" s="8" t="s">
        <v>1044</v>
      </c>
      <c r="C210" s="8" t="s">
        <v>1353</v>
      </c>
      <c r="D210" s="8" t="s">
        <v>1045</v>
      </c>
      <c r="E210" s="8" t="s">
        <v>52</v>
      </c>
      <c r="F210" s="8" t="s">
        <v>1520</v>
      </c>
      <c r="G210" s="8" t="s">
        <v>1520</v>
      </c>
      <c r="H210" s="23" t="str">
        <f t="shared" si="0"/>
        <v>Yes</v>
      </c>
      <c r="I210" s="4" t="str">
        <f t="shared" si="1"/>
        <v>TN</v>
      </c>
      <c r="J210" s="42"/>
      <c r="K210" s="42"/>
      <c r="L210" s="42"/>
      <c r="N210" s="46"/>
    </row>
    <row r="211" spans="1:14" ht="14.6" x14ac:dyDescent="0.4">
      <c r="A211" s="8" t="s">
        <v>1399</v>
      </c>
      <c r="B211" s="8" t="s">
        <v>1044</v>
      </c>
      <c r="C211" s="8" t="s">
        <v>1351</v>
      </c>
      <c r="D211" s="8" t="s">
        <v>1045</v>
      </c>
      <c r="E211" s="8" t="s">
        <v>52</v>
      </c>
      <c r="F211" s="8" t="s">
        <v>1520</v>
      </c>
      <c r="G211" s="8" t="s">
        <v>1520</v>
      </c>
      <c r="H211" s="23" t="str">
        <f t="shared" si="0"/>
        <v>Yes</v>
      </c>
      <c r="I211" s="4" t="str">
        <f t="shared" si="1"/>
        <v>TN</v>
      </c>
      <c r="J211" s="42"/>
      <c r="K211" s="42"/>
      <c r="L211" s="42"/>
      <c r="N211" s="46"/>
    </row>
    <row r="212" spans="1:14" ht="14.6" x14ac:dyDescent="0.4">
      <c r="A212" s="8" t="s">
        <v>1026</v>
      </c>
      <c r="B212" s="8" t="s">
        <v>1043</v>
      </c>
      <c r="C212" s="8" t="s">
        <v>1027</v>
      </c>
      <c r="D212" s="8" t="s">
        <v>1031</v>
      </c>
      <c r="E212" s="8" t="s">
        <v>6</v>
      </c>
      <c r="F212" s="8" t="s">
        <v>1522</v>
      </c>
      <c r="G212" s="8" t="s">
        <v>1522</v>
      </c>
      <c r="H212" s="23" t="str">
        <f t="shared" si="0"/>
        <v>Yes</v>
      </c>
      <c r="I212" s="4" t="str">
        <f t="shared" si="1"/>
        <v>TP</v>
      </c>
      <c r="J212" s="42"/>
      <c r="K212" s="42"/>
      <c r="L212" s="42"/>
      <c r="N212" s="46"/>
    </row>
    <row r="213" spans="1:14" ht="14.6" x14ac:dyDescent="0.4">
      <c r="A213" s="8" t="s">
        <v>1026</v>
      </c>
      <c r="B213" s="8" t="s">
        <v>1053</v>
      </c>
      <c r="C213" s="8" t="s">
        <v>1027</v>
      </c>
      <c r="D213" s="8" t="s">
        <v>1054</v>
      </c>
      <c r="E213" s="8" t="s">
        <v>6</v>
      </c>
      <c r="F213" s="8" t="s">
        <v>1522</v>
      </c>
      <c r="G213" s="8" t="s">
        <v>1522</v>
      </c>
      <c r="H213" s="23" t="str">
        <f t="shared" si="0"/>
        <v>Yes</v>
      </c>
      <c r="I213" s="4" t="str">
        <f t="shared" si="1"/>
        <v>TP</v>
      </c>
      <c r="J213" s="42"/>
      <c r="K213" s="42"/>
      <c r="L213" s="42"/>
      <c r="N213" s="46"/>
    </row>
    <row r="214" spans="1:14" ht="14.6" x14ac:dyDescent="0.4">
      <c r="A214" s="8" t="s">
        <v>1026</v>
      </c>
      <c r="B214" s="8" t="s">
        <v>1122</v>
      </c>
      <c r="C214" s="8" t="s">
        <v>1027</v>
      </c>
      <c r="D214" s="8" t="s">
        <v>1054</v>
      </c>
      <c r="E214" s="8" t="s">
        <v>6</v>
      </c>
      <c r="F214" s="8" t="s">
        <v>1522</v>
      </c>
      <c r="G214" s="8" t="s">
        <v>1522</v>
      </c>
      <c r="H214" s="23" t="str">
        <f t="shared" si="0"/>
        <v>Yes</v>
      </c>
      <c r="I214" s="4" t="str">
        <f t="shared" si="1"/>
        <v>TP</v>
      </c>
      <c r="J214" s="42"/>
      <c r="K214" s="42"/>
      <c r="L214" s="42"/>
      <c r="N214" s="46"/>
    </row>
    <row r="215" spans="1:14" ht="14.6" x14ac:dyDescent="0.4">
      <c r="A215" s="8" t="s">
        <v>1043</v>
      </c>
      <c r="B215" s="8" t="s">
        <v>1053</v>
      </c>
      <c r="C215" s="8" t="s">
        <v>1031</v>
      </c>
      <c r="D215" s="8" t="s">
        <v>1054</v>
      </c>
      <c r="E215" s="8" t="s">
        <v>6</v>
      </c>
      <c r="F215" s="8" t="s">
        <v>1522</v>
      </c>
      <c r="G215" s="8" t="s">
        <v>1522</v>
      </c>
      <c r="H215" s="23" t="str">
        <f t="shared" si="0"/>
        <v>Yes</v>
      </c>
      <c r="I215" s="4" t="str">
        <f t="shared" si="1"/>
        <v>TP</v>
      </c>
      <c r="J215" s="42"/>
      <c r="K215" s="42"/>
      <c r="L215" s="42"/>
      <c r="N215" s="46"/>
    </row>
    <row r="216" spans="1:14" ht="14.6" x14ac:dyDescent="0.4">
      <c r="A216" s="8" t="s">
        <v>1043</v>
      </c>
      <c r="B216" s="8" t="s">
        <v>1122</v>
      </c>
      <c r="C216" s="8" t="s">
        <v>1031</v>
      </c>
      <c r="D216" s="8" t="s">
        <v>1054</v>
      </c>
      <c r="E216" s="8" t="s">
        <v>6</v>
      </c>
      <c r="F216" s="8" t="s">
        <v>1522</v>
      </c>
      <c r="G216" s="8" t="s">
        <v>1522</v>
      </c>
      <c r="H216" s="23" t="str">
        <f t="shared" si="0"/>
        <v>Yes</v>
      </c>
      <c r="I216" s="4" t="str">
        <f t="shared" si="1"/>
        <v>TP</v>
      </c>
      <c r="J216" s="42"/>
      <c r="K216" s="42"/>
      <c r="L216" s="42"/>
      <c r="N216" s="46"/>
    </row>
    <row r="217" spans="1:14" ht="14.6" x14ac:dyDescent="0.4">
      <c r="A217" s="8" t="s">
        <v>4</v>
      </c>
      <c r="B217" s="8" t="s">
        <v>99</v>
      </c>
      <c r="C217" s="8" t="s">
        <v>5</v>
      </c>
      <c r="D217" s="8" t="s">
        <v>98</v>
      </c>
      <c r="E217" s="8" t="s">
        <v>6</v>
      </c>
      <c r="F217" s="8" t="s">
        <v>1520</v>
      </c>
      <c r="G217" s="8" t="s">
        <v>1520</v>
      </c>
      <c r="H217" s="23" t="str">
        <f t="shared" si="0"/>
        <v>Yes</v>
      </c>
      <c r="I217" s="4" t="str">
        <f t="shared" si="1"/>
        <v>TN</v>
      </c>
      <c r="J217" s="42"/>
      <c r="K217" s="42"/>
      <c r="L217" s="42"/>
      <c r="N217" s="46"/>
    </row>
    <row r="218" spans="1:14" ht="14.6" x14ac:dyDescent="0.4">
      <c r="A218" s="8" t="s">
        <v>4</v>
      </c>
      <c r="B218" s="8" t="s">
        <v>130</v>
      </c>
      <c r="C218" s="8" t="s">
        <v>5</v>
      </c>
      <c r="D218" s="8" t="s">
        <v>131</v>
      </c>
      <c r="E218" s="8" t="s">
        <v>6</v>
      </c>
      <c r="F218" s="8" t="s">
        <v>1520</v>
      </c>
      <c r="G218" s="8" t="s">
        <v>1520</v>
      </c>
      <c r="H218" s="23" t="str">
        <f t="shared" si="0"/>
        <v>Yes</v>
      </c>
      <c r="I218" s="4" t="str">
        <f t="shared" si="1"/>
        <v>TN</v>
      </c>
      <c r="J218" s="42"/>
      <c r="K218" s="42"/>
      <c r="L218" s="42"/>
      <c r="N218" s="46"/>
    </row>
    <row r="219" spans="1:14" ht="14.6" x14ac:dyDescent="0.4">
      <c r="A219" s="8" t="s">
        <v>4</v>
      </c>
      <c r="B219" s="8" t="s">
        <v>140</v>
      </c>
      <c r="C219" s="8" t="s">
        <v>5</v>
      </c>
      <c r="D219" s="8" t="s">
        <v>141</v>
      </c>
      <c r="E219" s="8" t="s">
        <v>6</v>
      </c>
      <c r="F219" s="8" t="s">
        <v>1520</v>
      </c>
      <c r="G219" s="8" t="s">
        <v>1520</v>
      </c>
      <c r="H219" s="23" t="str">
        <f t="shared" si="0"/>
        <v>Yes</v>
      </c>
      <c r="I219" s="4" t="str">
        <f t="shared" si="1"/>
        <v>TN</v>
      </c>
    </row>
    <row r="220" spans="1:14" ht="14.6" x14ac:dyDescent="0.4">
      <c r="A220" s="8" t="s">
        <v>4</v>
      </c>
      <c r="B220" s="8" t="s">
        <v>1026</v>
      </c>
      <c r="C220" s="8" t="s">
        <v>5</v>
      </c>
      <c r="D220" s="8" t="s">
        <v>1027</v>
      </c>
      <c r="E220" s="8" t="s">
        <v>6</v>
      </c>
      <c r="F220" s="8" t="s">
        <v>1520</v>
      </c>
      <c r="G220" s="8" t="s">
        <v>1520</v>
      </c>
      <c r="H220" s="23" t="str">
        <f t="shared" si="0"/>
        <v>Yes</v>
      </c>
      <c r="I220" s="4" t="str">
        <f t="shared" si="1"/>
        <v>TN</v>
      </c>
    </row>
    <row r="221" spans="1:14" ht="14.6" x14ac:dyDescent="0.4">
      <c r="A221" s="8" t="s">
        <v>4</v>
      </c>
      <c r="B221" s="8" t="s">
        <v>1043</v>
      </c>
      <c r="C221" s="8" t="s">
        <v>5</v>
      </c>
      <c r="D221" s="8" t="s">
        <v>1031</v>
      </c>
      <c r="E221" s="8" t="s">
        <v>6</v>
      </c>
      <c r="F221" s="8" t="s">
        <v>1520</v>
      </c>
      <c r="G221" s="8" t="s">
        <v>1520</v>
      </c>
      <c r="H221" s="23" t="str">
        <f t="shared" si="0"/>
        <v>Yes</v>
      </c>
      <c r="I221" s="4" t="str">
        <f t="shared" si="1"/>
        <v>TN</v>
      </c>
    </row>
    <row r="222" spans="1:14" ht="14.6" x14ac:dyDescent="0.4">
      <c r="A222" s="8" t="s">
        <v>4</v>
      </c>
      <c r="B222" s="8" t="s">
        <v>1053</v>
      </c>
      <c r="C222" s="8" t="s">
        <v>5</v>
      </c>
      <c r="D222" s="8" t="s">
        <v>1054</v>
      </c>
      <c r="E222" s="8" t="s">
        <v>6</v>
      </c>
      <c r="F222" s="8" t="s">
        <v>1520</v>
      </c>
      <c r="G222" s="8" t="s">
        <v>1520</v>
      </c>
      <c r="H222" s="23" t="str">
        <f t="shared" si="0"/>
        <v>Yes</v>
      </c>
      <c r="I222" s="4" t="str">
        <f t="shared" si="1"/>
        <v>TN</v>
      </c>
    </row>
    <row r="223" spans="1:14" ht="14.6" x14ac:dyDescent="0.4">
      <c r="A223" s="8" t="s">
        <v>4</v>
      </c>
      <c r="B223" s="8" t="s">
        <v>1122</v>
      </c>
      <c r="C223" s="8" t="s">
        <v>5</v>
      </c>
      <c r="D223" s="8" t="s">
        <v>1054</v>
      </c>
      <c r="E223" s="8" t="s">
        <v>6</v>
      </c>
      <c r="F223" s="8" t="s">
        <v>1520</v>
      </c>
      <c r="G223" s="8" t="s">
        <v>1520</v>
      </c>
      <c r="H223" s="23" t="str">
        <f t="shared" si="0"/>
        <v>Yes</v>
      </c>
      <c r="I223" s="4" t="str">
        <f t="shared" si="1"/>
        <v>TN</v>
      </c>
    </row>
    <row r="224" spans="1:14" ht="14.6" x14ac:dyDescent="0.4">
      <c r="A224" s="8" t="s">
        <v>99</v>
      </c>
      <c r="B224" s="8" t="s">
        <v>130</v>
      </c>
      <c r="C224" s="8" t="s">
        <v>98</v>
      </c>
      <c r="D224" s="8" t="s">
        <v>131</v>
      </c>
      <c r="E224" s="8" t="s">
        <v>6</v>
      </c>
      <c r="F224" s="8" t="s">
        <v>1520</v>
      </c>
      <c r="G224" s="8" t="s">
        <v>1520</v>
      </c>
      <c r="H224" s="23" t="str">
        <f t="shared" si="0"/>
        <v>Yes</v>
      </c>
      <c r="I224" s="4" t="str">
        <f t="shared" si="1"/>
        <v>TN</v>
      </c>
    </row>
    <row r="225" spans="1:9" ht="14.6" x14ac:dyDescent="0.4">
      <c r="A225" s="8" t="s">
        <v>99</v>
      </c>
      <c r="B225" s="8" t="s">
        <v>140</v>
      </c>
      <c r="C225" s="8" t="s">
        <v>98</v>
      </c>
      <c r="D225" s="8" t="s">
        <v>141</v>
      </c>
      <c r="E225" s="8" t="s">
        <v>6</v>
      </c>
      <c r="F225" s="8" t="s">
        <v>1520</v>
      </c>
      <c r="G225" s="8" t="s">
        <v>1520</v>
      </c>
      <c r="H225" s="23" t="str">
        <f t="shared" si="0"/>
        <v>Yes</v>
      </c>
      <c r="I225" s="4" t="str">
        <f t="shared" si="1"/>
        <v>TN</v>
      </c>
    </row>
    <row r="226" spans="1:9" ht="14.6" x14ac:dyDescent="0.4">
      <c r="A226" s="8" t="s">
        <v>99</v>
      </c>
      <c r="B226" s="8" t="s">
        <v>1026</v>
      </c>
      <c r="C226" s="8" t="s">
        <v>98</v>
      </c>
      <c r="D226" s="8" t="s">
        <v>1027</v>
      </c>
      <c r="E226" s="8" t="s">
        <v>6</v>
      </c>
      <c r="F226" s="8" t="s">
        <v>1520</v>
      </c>
      <c r="G226" s="8" t="s">
        <v>1520</v>
      </c>
      <c r="H226" s="23" t="str">
        <f t="shared" si="0"/>
        <v>Yes</v>
      </c>
      <c r="I226" s="4" t="str">
        <f t="shared" si="1"/>
        <v>TN</v>
      </c>
    </row>
    <row r="227" spans="1:9" ht="14.6" x14ac:dyDescent="0.4">
      <c r="A227" s="8" t="s">
        <v>99</v>
      </c>
      <c r="B227" s="8" t="s">
        <v>1043</v>
      </c>
      <c r="C227" s="8" t="s">
        <v>98</v>
      </c>
      <c r="D227" s="8" t="s">
        <v>1031</v>
      </c>
      <c r="E227" s="8" t="s">
        <v>6</v>
      </c>
      <c r="F227" s="8" t="s">
        <v>1520</v>
      </c>
      <c r="G227" s="8" t="s">
        <v>1520</v>
      </c>
      <c r="H227" s="23" t="str">
        <f t="shared" si="0"/>
        <v>Yes</v>
      </c>
      <c r="I227" s="4" t="str">
        <f t="shared" si="1"/>
        <v>TN</v>
      </c>
    </row>
    <row r="228" spans="1:9" ht="14.6" x14ac:dyDescent="0.4">
      <c r="A228" s="8" t="s">
        <v>99</v>
      </c>
      <c r="B228" s="8" t="s">
        <v>1053</v>
      </c>
      <c r="C228" s="8" t="s">
        <v>98</v>
      </c>
      <c r="D228" s="8" t="s">
        <v>1054</v>
      </c>
      <c r="E228" s="8" t="s">
        <v>6</v>
      </c>
      <c r="F228" s="8" t="s">
        <v>1520</v>
      </c>
      <c r="G228" s="8" t="s">
        <v>1520</v>
      </c>
      <c r="H228" s="23" t="str">
        <f t="shared" si="0"/>
        <v>Yes</v>
      </c>
      <c r="I228" s="4" t="str">
        <f t="shared" si="1"/>
        <v>TN</v>
      </c>
    </row>
    <row r="229" spans="1:9" ht="14.6" x14ac:dyDescent="0.4">
      <c r="A229" s="8" t="s">
        <v>99</v>
      </c>
      <c r="B229" s="8" t="s">
        <v>1122</v>
      </c>
      <c r="C229" s="8" t="s">
        <v>98</v>
      </c>
      <c r="D229" s="8" t="s">
        <v>1054</v>
      </c>
      <c r="E229" s="8" t="s">
        <v>6</v>
      </c>
      <c r="F229" s="8" t="s">
        <v>1520</v>
      </c>
      <c r="G229" s="8" t="s">
        <v>1520</v>
      </c>
      <c r="H229" s="23" t="str">
        <f t="shared" si="0"/>
        <v>Yes</v>
      </c>
      <c r="I229" s="4" t="str">
        <f t="shared" si="1"/>
        <v>TN</v>
      </c>
    </row>
    <row r="230" spans="1:9" ht="14.6" x14ac:dyDescent="0.4">
      <c r="A230" s="8" t="s">
        <v>130</v>
      </c>
      <c r="B230" s="8" t="s">
        <v>140</v>
      </c>
      <c r="C230" s="8" t="s">
        <v>131</v>
      </c>
      <c r="D230" s="8" t="s">
        <v>141</v>
      </c>
      <c r="E230" s="8" t="s">
        <v>6</v>
      </c>
      <c r="F230" s="8" t="s">
        <v>1520</v>
      </c>
      <c r="G230" s="8" t="s">
        <v>1520</v>
      </c>
      <c r="H230" s="23" t="str">
        <f t="shared" si="0"/>
        <v>Yes</v>
      </c>
      <c r="I230" s="4" t="str">
        <f t="shared" si="1"/>
        <v>TN</v>
      </c>
    </row>
    <row r="231" spans="1:9" ht="14.6" x14ac:dyDescent="0.4">
      <c r="A231" s="8" t="s">
        <v>130</v>
      </c>
      <c r="B231" s="8" t="s">
        <v>1026</v>
      </c>
      <c r="C231" s="8" t="s">
        <v>131</v>
      </c>
      <c r="D231" s="8" t="s">
        <v>1027</v>
      </c>
      <c r="E231" s="8" t="s">
        <v>6</v>
      </c>
      <c r="F231" s="8" t="s">
        <v>1520</v>
      </c>
      <c r="G231" s="8" t="s">
        <v>1520</v>
      </c>
      <c r="H231" s="23" t="str">
        <f t="shared" si="0"/>
        <v>Yes</v>
      </c>
      <c r="I231" s="4" t="str">
        <f t="shared" si="1"/>
        <v>TN</v>
      </c>
    </row>
    <row r="232" spans="1:9" ht="14.6" x14ac:dyDescent="0.4">
      <c r="A232" s="8" t="s">
        <v>130</v>
      </c>
      <c r="B232" s="8" t="s">
        <v>1043</v>
      </c>
      <c r="C232" s="8" t="s">
        <v>131</v>
      </c>
      <c r="D232" s="8" t="s">
        <v>1031</v>
      </c>
      <c r="E232" s="8" t="s">
        <v>6</v>
      </c>
      <c r="F232" s="8" t="s">
        <v>1520</v>
      </c>
      <c r="G232" s="8" t="s">
        <v>1520</v>
      </c>
      <c r="H232" s="23" t="str">
        <f t="shared" si="0"/>
        <v>Yes</v>
      </c>
      <c r="I232" s="4" t="str">
        <f t="shared" si="1"/>
        <v>TN</v>
      </c>
    </row>
    <row r="233" spans="1:9" ht="14.6" x14ac:dyDescent="0.4">
      <c r="A233" s="8" t="s">
        <v>130</v>
      </c>
      <c r="B233" s="8" t="s">
        <v>1053</v>
      </c>
      <c r="C233" s="8" t="s">
        <v>131</v>
      </c>
      <c r="D233" s="8" t="s">
        <v>1054</v>
      </c>
      <c r="E233" s="8" t="s">
        <v>6</v>
      </c>
      <c r="F233" s="8" t="s">
        <v>1520</v>
      </c>
      <c r="G233" s="8" t="s">
        <v>1520</v>
      </c>
      <c r="H233" s="23" t="str">
        <f t="shared" si="0"/>
        <v>Yes</v>
      </c>
      <c r="I233" s="4" t="str">
        <f t="shared" si="1"/>
        <v>TN</v>
      </c>
    </row>
    <row r="234" spans="1:9" ht="14.6" x14ac:dyDescent="0.4">
      <c r="A234" s="8" t="s">
        <v>130</v>
      </c>
      <c r="B234" s="8" t="s">
        <v>1122</v>
      </c>
      <c r="C234" s="8" t="s">
        <v>131</v>
      </c>
      <c r="D234" s="8" t="s">
        <v>1054</v>
      </c>
      <c r="E234" s="8" t="s">
        <v>6</v>
      </c>
      <c r="F234" s="8" t="s">
        <v>1520</v>
      </c>
      <c r="G234" s="8" t="s">
        <v>1520</v>
      </c>
      <c r="H234" s="23" t="str">
        <f t="shared" si="0"/>
        <v>Yes</v>
      </c>
      <c r="I234" s="4" t="str">
        <f t="shared" si="1"/>
        <v>TN</v>
      </c>
    </row>
    <row r="235" spans="1:9" ht="14.6" x14ac:dyDescent="0.4">
      <c r="A235" s="8" t="s">
        <v>140</v>
      </c>
      <c r="B235" s="8" t="s">
        <v>1026</v>
      </c>
      <c r="C235" s="8" t="s">
        <v>141</v>
      </c>
      <c r="D235" s="8" t="s">
        <v>1027</v>
      </c>
      <c r="E235" s="8" t="s">
        <v>6</v>
      </c>
      <c r="F235" s="8" t="s">
        <v>1520</v>
      </c>
      <c r="G235" s="8" t="s">
        <v>1520</v>
      </c>
      <c r="H235" s="23" t="str">
        <f t="shared" si="0"/>
        <v>Yes</v>
      </c>
      <c r="I235" s="4" t="str">
        <f t="shared" si="1"/>
        <v>TN</v>
      </c>
    </row>
    <row r="236" spans="1:9" ht="14.6" x14ac:dyDescent="0.4">
      <c r="A236" s="8" t="s">
        <v>140</v>
      </c>
      <c r="B236" s="8" t="s">
        <v>1043</v>
      </c>
      <c r="C236" s="8" t="s">
        <v>141</v>
      </c>
      <c r="D236" s="8" t="s">
        <v>1031</v>
      </c>
      <c r="E236" s="8" t="s">
        <v>6</v>
      </c>
      <c r="F236" s="8" t="s">
        <v>1520</v>
      </c>
      <c r="G236" s="8" t="s">
        <v>1520</v>
      </c>
      <c r="H236" s="23" t="str">
        <f t="shared" si="0"/>
        <v>Yes</v>
      </c>
      <c r="I236" s="4" t="str">
        <f t="shared" si="1"/>
        <v>TN</v>
      </c>
    </row>
    <row r="237" spans="1:9" ht="14.6" x14ac:dyDescent="0.4">
      <c r="A237" s="8" t="s">
        <v>140</v>
      </c>
      <c r="B237" s="8" t="s">
        <v>1053</v>
      </c>
      <c r="C237" s="8" t="s">
        <v>141</v>
      </c>
      <c r="D237" s="8" t="s">
        <v>1054</v>
      </c>
      <c r="E237" s="8" t="s">
        <v>6</v>
      </c>
      <c r="F237" s="8" t="s">
        <v>1520</v>
      </c>
      <c r="G237" s="8" t="s">
        <v>1520</v>
      </c>
      <c r="H237" s="23" t="str">
        <f t="shared" si="0"/>
        <v>Yes</v>
      </c>
      <c r="I237" s="4" t="str">
        <f t="shared" si="1"/>
        <v>TN</v>
      </c>
    </row>
    <row r="238" spans="1:9" ht="14.6" x14ac:dyDescent="0.4">
      <c r="A238" s="8" t="s">
        <v>140</v>
      </c>
      <c r="B238" s="8" t="s">
        <v>1122</v>
      </c>
      <c r="C238" s="8" t="s">
        <v>141</v>
      </c>
      <c r="D238" s="8" t="s">
        <v>1054</v>
      </c>
      <c r="E238" s="8" t="s">
        <v>6</v>
      </c>
      <c r="F238" s="8" t="s">
        <v>1520</v>
      </c>
      <c r="G238" s="8" t="s">
        <v>1520</v>
      </c>
      <c r="H238" s="23" t="str">
        <f t="shared" si="0"/>
        <v>Yes</v>
      </c>
      <c r="I238" s="4" t="str">
        <f t="shared" si="1"/>
        <v>TN</v>
      </c>
    </row>
    <row r="239" spans="1:9" ht="14.6" x14ac:dyDescent="0.4">
      <c r="A239" s="8" t="s">
        <v>1053</v>
      </c>
      <c r="B239" s="8" t="s">
        <v>1122</v>
      </c>
      <c r="C239" s="8" t="s">
        <v>1054</v>
      </c>
      <c r="D239" s="8" t="s">
        <v>1054</v>
      </c>
      <c r="E239" s="8" t="s">
        <v>6</v>
      </c>
      <c r="F239" s="8" t="s">
        <v>1520</v>
      </c>
      <c r="G239" s="8" t="s">
        <v>1520</v>
      </c>
      <c r="H239" s="23" t="str">
        <f t="shared" si="0"/>
        <v>Yes</v>
      </c>
      <c r="I239" s="4" t="str">
        <f t="shared" si="1"/>
        <v>TN</v>
      </c>
    </row>
    <row r="240" spans="1:9" ht="14.6" x14ac:dyDescent="0.4">
      <c r="A240" s="8" t="s">
        <v>1028</v>
      </c>
      <c r="B240" s="8" t="s">
        <v>1036</v>
      </c>
      <c r="C240" s="8" t="s">
        <v>1029</v>
      </c>
      <c r="D240" s="8" t="s">
        <v>1035</v>
      </c>
      <c r="E240" s="8" t="s">
        <v>55</v>
      </c>
      <c r="F240" s="8" t="s">
        <v>1522</v>
      </c>
      <c r="G240" s="8" t="s">
        <v>1522</v>
      </c>
      <c r="H240" s="23" t="str">
        <f t="shared" si="0"/>
        <v>Yes</v>
      </c>
      <c r="I240" s="4" t="str">
        <f t="shared" si="1"/>
        <v>TP</v>
      </c>
    </row>
    <row r="241" spans="1:9" ht="14.6" x14ac:dyDescent="0.4">
      <c r="A241" s="8" t="s">
        <v>1028</v>
      </c>
      <c r="B241" s="8" t="s">
        <v>1093</v>
      </c>
      <c r="C241" s="8" t="s">
        <v>1029</v>
      </c>
      <c r="D241" s="8" t="s">
        <v>1051</v>
      </c>
      <c r="E241" s="8" t="s">
        <v>55</v>
      </c>
      <c r="F241" s="8" t="s">
        <v>1522</v>
      </c>
      <c r="G241" s="8" t="s">
        <v>1522</v>
      </c>
      <c r="H241" s="23" t="str">
        <f t="shared" si="0"/>
        <v>Yes</v>
      </c>
      <c r="I241" s="4" t="str">
        <f t="shared" si="1"/>
        <v>TP</v>
      </c>
    </row>
    <row r="242" spans="1:9" ht="14.6" x14ac:dyDescent="0.4">
      <c r="A242" s="8" t="s">
        <v>1036</v>
      </c>
      <c r="B242" s="8" t="s">
        <v>1093</v>
      </c>
      <c r="C242" s="8" t="s">
        <v>1035</v>
      </c>
      <c r="D242" s="8" t="s">
        <v>1051</v>
      </c>
      <c r="E242" s="8" t="s">
        <v>55</v>
      </c>
      <c r="F242" s="8" t="s">
        <v>1522</v>
      </c>
      <c r="G242" s="8" t="s">
        <v>1522</v>
      </c>
      <c r="H242" s="23" t="str">
        <f t="shared" si="0"/>
        <v>Yes</v>
      </c>
      <c r="I242" s="4" t="str">
        <f t="shared" si="1"/>
        <v>TP</v>
      </c>
    </row>
    <row r="243" spans="1:9" ht="14.6" x14ac:dyDescent="0.4">
      <c r="A243" s="8" t="s">
        <v>53</v>
      </c>
      <c r="B243" s="8" t="s">
        <v>77</v>
      </c>
      <c r="C243" s="8" t="s">
        <v>54</v>
      </c>
      <c r="D243" s="8" t="s">
        <v>78</v>
      </c>
      <c r="E243" s="8" t="s">
        <v>55</v>
      </c>
      <c r="F243" s="8" t="s">
        <v>1520</v>
      </c>
      <c r="G243" s="8" t="s">
        <v>1520</v>
      </c>
      <c r="H243" s="23" t="str">
        <f t="shared" si="0"/>
        <v>Yes</v>
      </c>
      <c r="I243" s="4" t="str">
        <f t="shared" si="1"/>
        <v>TN</v>
      </c>
    </row>
    <row r="244" spans="1:9" ht="14.6" x14ac:dyDescent="0.4">
      <c r="A244" s="8" t="s">
        <v>53</v>
      </c>
      <c r="B244" s="8" t="s">
        <v>79</v>
      </c>
      <c r="C244" s="8" t="s">
        <v>54</v>
      </c>
      <c r="D244" s="8" t="s">
        <v>80</v>
      </c>
      <c r="E244" s="8" t="s">
        <v>55</v>
      </c>
      <c r="F244" s="8" t="s">
        <v>1520</v>
      </c>
      <c r="G244" s="8" t="s">
        <v>1520</v>
      </c>
      <c r="H244" s="23" t="str">
        <f t="shared" si="0"/>
        <v>Yes</v>
      </c>
      <c r="I244" s="4" t="str">
        <f t="shared" si="1"/>
        <v>TN</v>
      </c>
    </row>
    <row r="245" spans="1:9" ht="14.6" x14ac:dyDescent="0.4">
      <c r="A245" s="8" t="s">
        <v>53</v>
      </c>
      <c r="B245" s="8" t="s">
        <v>115</v>
      </c>
      <c r="C245" s="8" t="s">
        <v>54</v>
      </c>
      <c r="D245" s="8" t="s">
        <v>116</v>
      </c>
      <c r="E245" s="8" t="s">
        <v>55</v>
      </c>
      <c r="F245" s="8" t="s">
        <v>1520</v>
      </c>
      <c r="G245" s="8" t="s">
        <v>1520</v>
      </c>
      <c r="H245" s="23" t="str">
        <f t="shared" si="0"/>
        <v>Yes</v>
      </c>
      <c r="I245" s="4" t="str">
        <f t="shared" si="1"/>
        <v>TN</v>
      </c>
    </row>
    <row r="246" spans="1:9" ht="14.6" x14ac:dyDescent="0.4">
      <c r="A246" s="8" t="s">
        <v>53</v>
      </c>
      <c r="B246" s="8" t="s">
        <v>1390</v>
      </c>
      <c r="C246" s="8" t="s">
        <v>54</v>
      </c>
      <c r="D246" s="8" t="s">
        <v>1353</v>
      </c>
      <c r="E246" s="8" t="s">
        <v>55</v>
      </c>
      <c r="F246" s="8" t="s">
        <v>1520</v>
      </c>
      <c r="G246" s="8" t="s">
        <v>1520</v>
      </c>
      <c r="H246" s="23" t="str">
        <f t="shared" si="0"/>
        <v>Yes</v>
      </c>
      <c r="I246" s="4" t="str">
        <f t="shared" si="1"/>
        <v>TN</v>
      </c>
    </row>
    <row r="247" spans="1:9" ht="14.6" x14ac:dyDescent="0.4">
      <c r="A247" s="8" t="s">
        <v>53</v>
      </c>
      <c r="B247" s="8" t="s">
        <v>1028</v>
      </c>
      <c r="C247" s="8" t="s">
        <v>54</v>
      </c>
      <c r="D247" s="8" t="s">
        <v>1029</v>
      </c>
      <c r="E247" s="8" t="s">
        <v>55</v>
      </c>
      <c r="F247" s="8" t="s">
        <v>1520</v>
      </c>
      <c r="G247" s="8" t="s">
        <v>1520</v>
      </c>
      <c r="H247" s="23" t="str">
        <f t="shared" si="0"/>
        <v>Yes</v>
      </c>
      <c r="I247" s="4" t="str">
        <f t="shared" si="1"/>
        <v>TN</v>
      </c>
    </row>
    <row r="248" spans="1:9" ht="14.6" x14ac:dyDescent="0.4">
      <c r="A248" s="8" t="s">
        <v>53</v>
      </c>
      <c r="B248" s="8" t="s">
        <v>1036</v>
      </c>
      <c r="C248" s="8" t="s">
        <v>54</v>
      </c>
      <c r="D248" s="8" t="s">
        <v>1035</v>
      </c>
      <c r="E248" s="8" t="s">
        <v>55</v>
      </c>
      <c r="F248" s="8" t="s">
        <v>1520</v>
      </c>
      <c r="G248" s="8" t="s">
        <v>1520</v>
      </c>
      <c r="H248" s="23" t="str">
        <f t="shared" si="0"/>
        <v>Yes</v>
      </c>
      <c r="I248" s="4" t="str">
        <f t="shared" si="1"/>
        <v>TN</v>
      </c>
    </row>
    <row r="249" spans="1:9" ht="14.6" x14ac:dyDescent="0.4">
      <c r="A249" s="8" t="s">
        <v>53</v>
      </c>
      <c r="B249" s="8" t="s">
        <v>1093</v>
      </c>
      <c r="C249" s="8" t="s">
        <v>54</v>
      </c>
      <c r="D249" s="8" t="s">
        <v>1051</v>
      </c>
      <c r="E249" s="8" t="s">
        <v>55</v>
      </c>
      <c r="F249" s="8" t="s">
        <v>1520</v>
      </c>
      <c r="G249" s="8" t="s">
        <v>1520</v>
      </c>
      <c r="H249" s="23" t="str">
        <f t="shared" si="0"/>
        <v>Yes</v>
      </c>
      <c r="I249" s="4" t="str">
        <f t="shared" si="1"/>
        <v>TN</v>
      </c>
    </row>
    <row r="250" spans="1:9" ht="14.6" x14ac:dyDescent="0.4">
      <c r="A250" s="8" t="s">
        <v>77</v>
      </c>
      <c r="B250" s="8" t="s">
        <v>79</v>
      </c>
      <c r="C250" s="8" t="s">
        <v>78</v>
      </c>
      <c r="D250" s="8" t="s">
        <v>80</v>
      </c>
      <c r="E250" s="8" t="s">
        <v>55</v>
      </c>
      <c r="F250" s="8" t="s">
        <v>1520</v>
      </c>
      <c r="G250" s="8" t="s">
        <v>1520</v>
      </c>
      <c r="H250" s="23" t="str">
        <f t="shared" si="0"/>
        <v>Yes</v>
      </c>
      <c r="I250" s="4" t="str">
        <f t="shared" si="1"/>
        <v>TN</v>
      </c>
    </row>
    <row r="251" spans="1:9" ht="14.6" x14ac:dyDescent="0.4">
      <c r="A251" s="8" t="s">
        <v>77</v>
      </c>
      <c r="B251" s="8" t="s">
        <v>115</v>
      </c>
      <c r="C251" s="8" t="s">
        <v>78</v>
      </c>
      <c r="D251" s="8" t="s">
        <v>116</v>
      </c>
      <c r="E251" s="8" t="s">
        <v>55</v>
      </c>
      <c r="F251" s="8" t="s">
        <v>1520</v>
      </c>
      <c r="G251" s="8" t="s">
        <v>1520</v>
      </c>
      <c r="H251" s="23" t="str">
        <f t="shared" si="0"/>
        <v>Yes</v>
      </c>
      <c r="I251" s="4" t="str">
        <f t="shared" si="1"/>
        <v>TN</v>
      </c>
    </row>
    <row r="252" spans="1:9" ht="14.6" x14ac:dyDescent="0.4">
      <c r="A252" s="8" t="s">
        <v>77</v>
      </c>
      <c r="B252" s="8" t="s">
        <v>1390</v>
      </c>
      <c r="C252" s="8" t="s">
        <v>78</v>
      </c>
      <c r="D252" s="8" t="s">
        <v>1353</v>
      </c>
      <c r="E252" s="8" t="s">
        <v>55</v>
      </c>
      <c r="F252" s="8" t="s">
        <v>1520</v>
      </c>
      <c r="G252" s="8" t="s">
        <v>1520</v>
      </c>
      <c r="H252" s="23" t="str">
        <f t="shared" si="0"/>
        <v>Yes</v>
      </c>
      <c r="I252" s="4" t="str">
        <f t="shared" si="1"/>
        <v>TN</v>
      </c>
    </row>
    <row r="253" spans="1:9" ht="14.6" x14ac:dyDescent="0.4">
      <c r="A253" s="8" t="s">
        <v>77</v>
      </c>
      <c r="B253" s="8" t="s">
        <v>1028</v>
      </c>
      <c r="C253" s="8" t="s">
        <v>78</v>
      </c>
      <c r="D253" s="8" t="s">
        <v>1029</v>
      </c>
      <c r="E253" s="8" t="s">
        <v>55</v>
      </c>
      <c r="F253" s="8" t="s">
        <v>1520</v>
      </c>
      <c r="G253" s="8" t="s">
        <v>1520</v>
      </c>
      <c r="H253" s="23" t="str">
        <f t="shared" si="0"/>
        <v>Yes</v>
      </c>
      <c r="I253" s="4" t="str">
        <f t="shared" si="1"/>
        <v>TN</v>
      </c>
    </row>
    <row r="254" spans="1:9" ht="14.6" x14ac:dyDescent="0.4">
      <c r="A254" s="8" t="s">
        <v>77</v>
      </c>
      <c r="B254" s="8" t="s">
        <v>1036</v>
      </c>
      <c r="C254" s="8" t="s">
        <v>78</v>
      </c>
      <c r="D254" s="8" t="s">
        <v>1035</v>
      </c>
      <c r="E254" s="8" t="s">
        <v>55</v>
      </c>
      <c r="F254" s="8" t="s">
        <v>1520</v>
      </c>
      <c r="G254" s="8" t="s">
        <v>1520</v>
      </c>
      <c r="H254" s="23" t="str">
        <f t="shared" si="0"/>
        <v>Yes</v>
      </c>
      <c r="I254" s="4" t="str">
        <f t="shared" si="1"/>
        <v>TN</v>
      </c>
    </row>
    <row r="255" spans="1:9" ht="14.6" x14ac:dyDescent="0.4">
      <c r="A255" s="8" t="s">
        <v>77</v>
      </c>
      <c r="B255" s="8" t="s">
        <v>1093</v>
      </c>
      <c r="C255" s="8" t="s">
        <v>78</v>
      </c>
      <c r="D255" s="8" t="s">
        <v>1051</v>
      </c>
      <c r="E255" s="8" t="s">
        <v>55</v>
      </c>
      <c r="F255" s="8" t="s">
        <v>1520</v>
      </c>
      <c r="G255" s="8" t="s">
        <v>1520</v>
      </c>
      <c r="H255" s="23" t="str">
        <f t="shared" si="0"/>
        <v>Yes</v>
      </c>
      <c r="I255" s="4" t="str">
        <f t="shared" si="1"/>
        <v>TN</v>
      </c>
    </row>
    <row r="256" spans="1:9" ht="14.6" x14ac:dyDescent="0.4">
      <c r="A256" s="8" t="s">
        <v>79</v>
      </c>
      <c r="B256" s="8" t="s">
        <v>115</v>
      </c>
      <c r="C256" s="8" t="s">
        <v>80</v>
      </c>
      <c r="D256" s="8" t="s">
        <v>116</v>
      </c>
      <c r="E256" s="8" t="s">
        <v>55</v>
      </c>
      <c r="F256" s="8" t="s">
        <v>1520</v>
      </c>
      <c r="G256" s="8" t="s">
        <v>1520</v>
      </c>
      <c r="H256" s="23" t="str">
        <f t="shared" si="0"/>
        <v>Yes</v>
      </c>
      <c r="I256" s="4" t="str">
        <f t="shared" si="1"/>
        <v>TN</v>
      </c>
    </row>
    <row r="257" spans="1:9" ht="14.6" x14ac:dyDescent="0.4">
      <c r="A257" s="8" t="s">
        <v>79</v>
      </c>
      <c r="B257" s="8" t="s">
        <v>1390</v>
      </c>
      <c r="C257" s="8" t="s">
        <v>80</v>
      </c>
      <c r="D257" s="8" t="s">
        <v>1353</v>
      </c>
      <c r="E257" s="8" t="s">
        <v>55</v>
      </c>
      <c r="F257" s="8" t="s">
        <v>1520</v>
      </c>
      <c r="G257" s="8" t="s">
        <v>1520</v>
      </c>
      <c r="H257" s="23" t="str">
        <f t="shared" si="0"/>
        <v>Yes</v>
      </c>
      <c r="I257" s="4" t="str">
        <f t="shared" si="1"/>
        <v>TN</v>
      </c>
    </row>
    <row r="258" spans="1:9" ht="14.6" x14ac:dyDescent="0.4">
      <c r="A258" s="8" t="s">
        <v>79</v>
      </c>
      <c r="B258" s="8" t="s">
        <v>1028</v>
      </c>
      <c r="C258" s="8" t="s">
        <v>80</v>
      </c>
      <c r="D258" s="8" t="s">
        <v>1029</v>
      </c>
      <c r="E258" s="8" t="s">
        <v>55</v>
      </c>
      <c r="F258" s="8" t="s">
        <v>1520</v>
      </c>
      <c r="G258" s="8" t="s">
        <v>1520</v>
      </c>
      <c r="H258" s="23" t="str">
        <f t="shared" si="0"/>
        <v>Yes</v>
      </c>
      <c r="I258" s="4" t="str">
        <f t="shared" si="1"/>
        <v>TN</v>
      </c>
    </row>
    <row r="259" spans="1:9" ht="14.6" x14ac:dyDescent="0.4">
      <c r="A259" s="8" t="s">
        <v>79</v>
      </c>
      <c r="B259" s="8" t="s">
        <v>1036</v>
      </c>
      <c r="C259" s="8" t="s">
        <v>80</v>
      </c>
      <c r="D259" s="8" t="s">
        <v>1035</v>
      </c>
      <c r="E259" s="8" t="s">
        <v>55</v>
      </c>
      <c r="F259" s="8" t="s">
        <v>1520</v>
      </c>
      <c r="G259" s="8" t="s">
        <v>1520</v>
      </c>
      <c r="H259" s="23" t="str">
        <f t="shared" si="0"/>
        <v>Yes</v>
      </c>
      <c r="I259" s="4" t="str">
        <f t="shared" si="1"/>
        <v>TN</v>
      </c>
    </row>
    <row r="260" spans="1:9" ht="14.6" x14ac:dyDescent="0.4">
      <c r="A260" s="8" t="s">
        <v>79</v>
      </c>
      <c r="B260" s="8" t="s">
        <v>1093</v>
      </c>
      <c r="C260" s="8" t="s">
        <v>80</v>
      </c>
      <c r="D260" s="8" t="s">
        <v>1051</v>
      </c>
      <c r="E260" s="8" t="s">
        <v>55</v>
      </c>
      <c r="F260" s="8" t="s">
        <v>1520</v>
      </c>
      <c r="G260" s="8" t="s">
        <v>1520</v>
      </c>
      <c r="H260" s="23" t="str">
        <f t="shared" si="0"/>
        <v>Yes</v>
      </c>
      <c r="I260" s="4" t="str">
        <f t="shared" si="1"/>
        <v>TN</v>
      </c>
    </row>
    <row r="261" spans="1:9" ht="14.6" x14ac:dyDescent="0.4">
      <c r="A261" s="8" t="s">
        <v>115</v>
      </c>
      <c r="B261" s="8" t="s">
        <v>1390</v>
      </c>
      <c r="C261" s="8" t="s">
        <v>116</v>
      </c>
      <c r="D261" s="8" t="s">
        <v>1353</v>
      </c>
      <c r="E261" s="8" t="s">
        <v>55</v>
      </c>
      <c r="F261" s="8" t="s">
        <v>1520</v>
      </c>
      <c r="G261" s="8" t="s">
        <v>1520</v>
      </c>
      <c r="H261" s="23" t="str">
        <f t="shared" si="0"/>
        <v>Yes</v>
      </c>
      <c r="I261" s="4" t="str">
        <f t="shared" si="1"/>
        <v>TN</v>
      </c>
    </row>
    <row r="262" spans="1:9" ht="14.6" x14ac:dyDescent="0.4">
      <c r="A262" s="8" t="s">
        <v>115</v>
      </c>
      <c r="B262" s="8" t="s">
        <v>1028</v>
      </c>
      <c r="C262" s="8" t="s">
        <v>116</v>
      </c>
      <c r="D262" s="8" t="s">
        <v>1029</v>
      </c>
      <c r="E262" s="8" t="s">
        <v>55</v>
      </c>
      <c r="F262" s="8" t="s">
        <v>1520</v>
      </c>
      <c r="G262" s="8" t="s">
        <v>1520</v>
      </c>
      <c r="H262" s="23" t="str">
        <f t="shared" si="0"/>
        <v>Yes</v>
      </c>
      <c r="I262" s="4" t="str">
        <f t="shared" si="1"/>
        <v>TN</v>
      </c>
    </row>
    <row r="263" spans="1:9" ht="14.6" x14ac:dyDescent="0.4">
      <c r="A263" s="8" t="s">
        <v>115</v>
      </c>
      <c r="B263" s="8" t="s">
        <v>1036</v>
      </c>
      <c r="C263" s="8" t="s">
        <v>116</v>
      </c>
      <c r="D263" s="8" t="s">
        <v>1035</v>
      </c>
      <c r="E263" s="8" t="s">
        <v>55</v>
      </c>
      <c r="F263" s="8" t="s">
        <v>1520</v>
      </c>
      <c r="G263" s="8" t="s">
        <v>1520</v>
      </c>
      <c r="H263" s="23" t="str">
        <f t="shared" si="0"/>
        <v>Yes</v>
      </c>
      <c r="I263" s="4" t="str">
        <f t="shared" si="1"/>
        <v>TN</v>
      </c>
    </row>
    <row r="264" spans="1:9" ht="14.6" x14ac:dyDescent="0.4">
      <c r="A264" s="8" t="s">
        <v>115</v>
      </c>
      <c r="B264" s="8" t="s">
        <v>1093</v>
      </c>
      <c r="C264" s="8" t="s">
        <v>116</v>
      </c>
      <c r="D264" s="8" t="s">
        <v>1051</v>
      </c>
      <c r="E264" s="8" t="s">
        <v>55</v>
      </c>
      <c r="F264" s="8" t="s">
        <v>1520</v>
      </c>
      <c r="G264" s="8" t="s">
        <v>1520</v>
      </c>
      <c r="H264" s="23" t="str">
        <f t="shared" si="0"/>
        <v>Yes</v>
      </c>
      <c r="I264" s="4" t="str">
        <f t="shared" si="1"/>
        <v>TN</v>
      </c>
    </row>
    <row r="265" spans="1:9" ht="14.6" x14ac:dyDescent="0.4">
      <c r="A265" s="8" t="s">
        <v>1390</v>
      </c>
      <c r="B265" s="8" t="s">
        <v>1028</v>
      </c>
      <c r="C265" s="8" t="s">
        <v>1353</v>
      </c>
      <c r="D265" s="8" t="s">
        <v>1029</v>
      </c>
      <c r="E265" s="8" t="s">
        <v>55</v>
      </c>
      <c r="F265" s="8" t="s">
        <v>1520</v>
      </c>
      <c r="G265" s="8" t="s">
        <v>1520</v>
      </c>
      <c r="H265" s="23" t="str">
        <f t="shared" si="0"/>
        <v>Yes</v>
      </c>
      <c r="I265" s="4" t="str">
        <f t="shared" si="1"/>
        <v>TN</v>
      </c>
    </row>
    <row r="266" spans="1:9" ht="14.6" x14ac:dyDescent="0.4">
      <c r="A266" s="8" t="s">
        <v>1390</v>
      </c>
      <c r="B266" s="8" t="s">
        <v>1036</v>
      </c>
      <c r="C266" s="8" t="s">
        <v>1353</v>
      </c>
      <c r="D266" s="8" t="s">
        <v>1035</v>
      </c>
      <c r="E266" s="8" t="s">
        <v>55</v>
      </c>
      <c r="F266" s="8" t="s">
        <v>1520</v>
      </c>
      <c r="G266" s="8" t="s">
        <v>1520</v>
      </c>
      <c r="H266" s="23" t="str">
        <f t="shared" si="0"/>
        <v>Yes</v>
      </c>
      <c r="I266" s="4" t="str">
        <f t="shared" si="1"/>
        <v>TN</v>
      </c>
    </row>
    <row r="267" spans="1:9" ht="14.6" x14ac:dyDescent="0.4">
      <c r="A267" s="8" t="s">
        <v>1390</v>
      </c>
      <c r="B267" s="8" t="s">
        <v>1093</v>
      </c>
      <c r="C267" s="8" t="s">
        <v>1353</v>
      </c>
      <c r="D267" s="8" t="s">
        <v>1051</v>
      </c>
      <c r="E267" s="8" t="s">
        <v>55</v>
      </c>
      <c r="F267" s="8" t="s">
        <v>1520</v>
      </c>
      <c r="G267" s="8" t="s">
        <v>1520</v>
      </c>
      <c r="H267" s="23" t="str">
        <f t="shared" si="0"/>
        <v>Yes</v>
      </c>
      <c r="I267" s="4" t="str">
        <f t="shared" si="1"/>
        <v>TN</v>
      </c>
    </row>
    <row r="268" spans="1:9" ht="14.6" x14ac:dyDescent="0.4">
      <c r="A268" s="8" t="s">
        <v>1050</v>
      </c>
      <c r="B268" s="8" t="s">
        <v>1088</v>
      </c>
      <c r="C268" s="8" t="s">
        <v>1051</v>
      </c>
      <c r="D268" s="8" t="s">
        <v>1029</v>
      </c>
      <c r="E268" s="8" t="s">
        <v>34</v>
      </c>
      <c r="F268" s="8" t="s">
        <v>1522</v>
      </c>
      <c r="G268" s="8" t="s">
        <v>1522</v>
      </c>
      <c r="H268" s="23" t="str">
        <f t="shared" si="0"/>
        <v>Yes</v>
      </c>
      <c r="I268" s="4" t="str">
        <f t="shared" si="1"/>
        <v>TP</v>
      </c>
    </row>
    <row r="269" spans="1:9" ht="14.6" x14ac:dyDescent="0.4">
      <c r="A269" s="8" t="s">
        <v>1050</v>
      </c>
      <c r="B269" s="8" t="s">
        <v>1116</v>
      </c>
      <c r="C269" s="8" t="s">
        <v>1051</v>
      </c>
      <c r="D269" s="8" t="s">
        <v>1080</v>
      </c>
      <c r="E269" s="8" t="s">
        <v>34</v>
      </c>
      <c r="F269" s="8" t="s">
        <v>1522</v>
      </c>
      <c r="G269" s="8" t="s">
        <v>1522</v>
      </c>
      <c r="H269" s="23" t="str">
        <f t="shared" si="0"/>
        <v>Yes</v>
      </c>
      <c r="I269" s="4" t="str">
        <f t="shared" si="1"/>
        <v>TP</v>
      </c>
    </row>
    <row r="270" spans="1:9" ht="14.6" x14ac:dyDescent="0.4">
      <c r="A270" s="8" t="s">
        <v>1088</v>
      </c>
      <c r="B270" s="8" t="s">
        <v>1116</v>
      </c>
      <c r="C270" s="8" t="s">
        <v>1029</v>
      </c>
      <c r="D270" s="8" t="s">
        <v>1080</v>
      </c>
      <c r="E270" s="8" t="s">
        <v>34</v>
      </c>
      <c r="F270" s="8" t="s">
        <v>1522</v>
      </c>
      <c r="G270" s="8" t="s">
        <v>1522</v>
      </c>
      <c r="H270" s="23" t="str">
        <f t="shared" si="0"/>
        <v>Yes</v>
      </c>
      <c r="I270" s="4" t="str">
        <f t="shared" si="1"/>
        <v>TP</v>
      </c>
    </row>
    <row r="271" spans="1:9" ht="14.6" x14ac:dyDescent="0.4">
      <c r="A271" s="8" t="s">
        <v>32</v>
      </c>
      <c r="B271" s="8" t="s">
        <v>41</v>
      </c>
      <c r="C271" s="8" t="s">
        <v>33</v>
      </c>
      <c r="D271" s="8" t="s">
        <v>42</v>
      </c>
      <c r="E271" s="8" t="s">
        <v>34</v>
      </c>
      <c r="F271" s="8" t="s">
        <v>1520</v>
      </c>
      <c r="G271" s="8" t="s">
        <v>1520</v>
      </c>
      <c r="H271" s="23" t="str">
        <f t="shared" si="0"/>
        <v>Yes</v>
      </c>
      <c r="I271" s="4" t="str">
        <f t="shared" si="1"/>
        <v>TN</v>
      </c>
    </row>
    <row r="272" spans="1:9" ht="14.6" x14ac:dyDescent="0.4">
      <c r="A272" s="8" t="s">
        <v>32</v>
      </c>
      <c r="B272" s="8" t="s">
        <v>50</v>
      </c>
      <c r="C272" s="8" t="s">
        <v>33</v>
      </c>
      <c r="D272" s="8" t="s">
        <v>40</v>
      </c>
      <c r="E272" s="8" t="s">
        <v>34</v>
      </c>
      <c r="F272" s="8" t="s">
        <v>1520</v>
      </c>
      <c r="G272" s="8" t="s">
        <v>1520</v>
      </c>
      <c r="H272" s="23" t="str">
        <f t="shared" si="0"/>
        <v>Yes</v>
      </c>
      <c r="I272" s="4" t="str">
        <f t="shared" si="1"/>
        <v>TN</v>
      </c>
    </row>
    <row r="273" spans="1:9" ht="14.6" x14ac:dyDescent="0.4">
      <c r="A273" s="8" t="s">
        <v>32</v>
      </c>
      <c r="B273" s="8" t="s">
        <v>106</v>
      </c>
      <c r="C273" s="8" t="s">
        <v>33</v>
      </c>
      <c r="D273" s="8" t="s">
        <v>82</v>
      </c>
      <c r="E273" s="8" t="s">
        <v>34</v>
      </c>
      <c r="F273" s="8" t="s">
        <v>1520</v>
      </c>
      <c r="G273" s="8" t="s">
        <v>1520</v>
      </c>
      <c r="H273" s="23" t="str">
        <f t="shared" si="0"/>
        <v>Yes</v>
      </c>
      <c r="I273" s="4" t="str">
        <f t="shared" si="1"/>
        <v>TN</v>
      </c>
    </row>
    <row r="274" spans="1:9" ht="14.6" x14ac:dyDescent="0.4">
      <c r="A274" s="8" t="s">
        <v>32</v>
      </c>
      <c r="B274" s="8" t="s">
        <v>1050</v>
      </c>
      <c r="C274" s="8" t="s">
        <v>33</v>
      </c>
      <c r="D274" s="8" t="s">
        <v>1051</v>
      </c>
      <c r="E274" s="8" t="s">
        <v>34</v>
      </c>
      <c r="F274" s="8" t="s">
        <v>1520</v>
      </c>
      <c r="G274" s="8" t="s">
        <v>1520</v>
      </c>
      <c r="H274" s="23" t="str">
        <f t="shared" si="0"/>
        <v>Yes</v>
      </c>
      <c r="I274" s="4" t="str">
        <f t="shared" si="1"/>
        <v>TN</v>
      </c>
    </row>
    <row r="275" spans="1:9" ht="14.6" x14ac:dyDescent="0.4">
      <c r="A275" s="8" t="s">
        <v>32</v>
      </c>
      <c r="B275" s="8" t="s">
        <v>1088</v>
      </c>
      <c r="C275" s="8" t="s">
        <v>33</v>
      </c>
      <c r="D275" s="8" t="s">
        <v>1029</v>
      </c>
      <c r="E275" s="8" t="s">
        <v>34</v>
      </c>
      <c r="F275" s="8" t="s">
        <v>1520</v>
      </c>
      <c r="G275" s="8" t="s">
        <v>1520</v>
      </c>
      <c r="H275" s="23" t="str">
        <f t="shared" si="0"/>
        <v>Yes</v>
      </c>
      <c r="I275" s="4" t="str">
        <f t="shared" si="1"/>
        <v>TN</v>
      </c>
    </row>
    <row r="276" spans="1:9" ht="14.6" x14ac:dyDescent="0.4">
      <c r="A276" s="8" t="s">
        <v>32</v>
      </c>
      <c r="B276" s="8" t="s">
        <v>1116</v>
      </c>
      <c r="C276" s="8" t="s">
        <v>33</v>
      </c>
      <c r="D276" s="8" t="s">
        <v>1080</v>
      </c>
      <c r="E276" s="8" t="s">
        <v>34</v>
      </c>
      <c r="F276" s="8" t="s">
        <v>1520</v>
      </c>
      <c r="G276" s="8" t="s">
        <v>1520</v>
      </c>
      <c r="H276" s="23" t="str">
        <f t="shared" si="0"/>
        <v>Yes</v>
      </c>
      <c r="I276" s="4" t="str">
        <f t="shared" si="1"/>
        <v>TN</v>
      </c>
    </row>
    <row r="277" spans="1:9" ht="14.6" x14ac:dyDescent="0.4">
      <c r="A277" s="8" t="s">
        <v>41</v>
      </c>
      <c r="B277" s="8" t="s">
        <v>50</v>
      </c>
      <c r="C277" s="8" t="s">
        <v>42</v>
      </c>
      <c r="D277" s="8" t="s">
        <v>40</v>
      </c>
      <c r="E277" s="8" t="s">
        <v>34</v>
      </c>
      <c r="F277" s="8" t="s">
        <v>1520</v>
      </c>
      <c r="G277" s="8" t="s">
        <v>1520</v>
      </c>
      <c r="H277" s="23" t="str">
        <f t="shared" si="0"/>
        <v>Yes</v>
      </c>
      <c r="I277" s="4" t="str">
        <f t="shared" si="1"/>
        <v>TN</v>
      </c>
    </row>
    <row r="278" spans="1:9" ht="14.6" x14ac:dyDescent="0.4">
      <c r="A278" s="8" t="s">
        <v>41</v>
      </c>
      <c r="B278" s="8" t="s">
        <v>106</v>
      </c>
      <c r="C278" s="8" t="s">
        <v>42</v>
      </c>
      <c r="D278" s="8" t="s">
        <v>82</v>
      </c>
      <c r="E278" s="8" t="s">
        <v>34</v>
      </c>
      <c r="F278" s="8" t="s">
        <v>1520</v>
      </c>
      <c r="G278" s="8" t="s">
        <v>1520</v>
      </c>
      <c r="H278" s="23" t="str">
        <f t="shared" si="0"/>
        <v>Yes</v>
      </c>
      <c r="I278" s="4" t="str">
        <f t="shared" si="1"/>
        <v>TN</v>
      </c>
    </row>
    <row r="279" spans="1:9" ht="14.6" x14ac:dyDescent="0.4">
      <c r="A279" s="8" t="s">
        <v>41</v>
      </c>
      <c r="B279" s="8" t="s">
        <v>1050</v>
      </c>
      <c r="C279" s="8" t="s">
        <v>42</v>
      </c>
      <c r="D279" s="8" t="s">
        <v>1051</v>
      </c>
      <c r="E279" s="8" t="s">
        <v>34</v>
      </c>
      <c r="F279" s="8" t="s">
        <v>1520</v>
      </c>
      <c r="G279" s="8" t="s">
        <v>1520</v>
      </c>
      <c r="H279" s="23" t="str">
        <f t="shared" si="0"/>
        <v>Yes</v>
      </c>
      <c r="I279" s="4" t="str">
        <f t="shared" si="1"/>
        <v>TN</v>
      </c>
    </row>
    <row r="280" spans="1:9" ht="14.6" x14ac:dyDescent="0.4">
      <c r="A280" s="8" t="s">
        <v>41</v>
      </c>
      <c r="B280" s="8" t="s">
        <v>1088</v>
      </c>
      <c r="C280" s="8" t="s">
        <v>42</v>
      </c>
      <c r="D280" s="8" t="s">
        <v>1029</v>
      </c>
      <c r="E280" s="8" t="s">
        <v>34</v>
      </c>
      <c r="F280" s="8" t="s">
        <v>1520</v>
      </c>
      <c r="G280" s="8" t="s">
        <v>1520</v>
      </c>
      <c r="H280" s="23" t="str">
        <f t="shared" si="0"/>
        <v>Yes</v>
      </c>
      <c r="I280" s="4" t="str">
        <f t="shared" si="1"/>
        <v>TN</v>
      </c>
    </row>
    <row r="281" spans="1:9" ht="14.6" x14ac:dyDescent="0.4">
      <c r="A281" s="8" t="s">
        <v>41</v>
      </c>
      <c r="B281" s="8" t="s">
        <v>1116</v>
      </c>
      <c r="C281" s="8" t="s">
        <v>42</v>
      </c>
      <c r="D281" s="8" t="s">
        <v>1080</v>
      </c>
      <c r="E281" s="8" t="s">
        <v>34</v>
      </c>
      <c r="F281" s="8" t="s">
        <v>1520</v>
      </c>
      <c r="G281" s="8" t="s">
        <v>1520</v>
      </c>
      <c r="H281" s="23" t="str">
        <f t="shared" si="0"/>
        <v>Yes</v>
      </c>
      <c r="I281" s="4" t="str">
        <f t="shared" si="1"/>
        <v>TN</v>
      </c>
    </row>
    <row r="282" spans="1:9" ht="14.6" x14ac:dyDescent="0.4">
      <c r="A282" s="8" t="s">
        <v>50</v>
      </c>
      <c r="B282" s="8" t="s">
        <v>106</v>
      </c>
      <c r="C282" s="8" t="s">
        <v>40</v>
      </c>
      <c r="D282" s="8" t="s">
        <v>82</v>
      </c>
      <c r="E282" s="8" t="s">
        <v>34</v>
      </c>
      <c r="F282" s="8" t="s">
        <v>1520</v>
      </c>
      <c r="G282" s="8" t="s">
        <v>1520</v>
      </c>
      <c r="H282" s="23" t="str">
        <f t="shared" si="0"/>
        <v>Yes</v>
      </c>
      <c r="I282" s="4" t="str">
        <f t="shared" si="1"/>
        <v>TN</v>
      </c>
    </row>
    <row r="283" spans="1:9" ht="14.6" x14ac:dyDescent="0.4">
      <c r="A283" s="8" t="s">
        <v>50</v>
      </c>
      <c r="B283" s="8" t="s">
        <v>1050</v>
      </c>
      <c r="C283" s="8" t="s">
        <v>40</v>
      </c>
      <c r="D283" s="8" t="s">
        <v>1051</v>
      </c>
      <c r="E283" s="8" t="s">
        <v>34</v>
      </c>
      <c r="F283" s="8" t="s">
        <v>1520</v>
      </c>
      <c r="G283" s="8" t="s">
        <v>1520</v>
      </c>
      <c r="H283" s="23" t="str">
        <f t="shared" si="0"/>
        <v>Yes</v>
      </c>
      <c r="I283" s="4" t="str">
        <f t="shared" si="1"/>
        <v>TN</v>
      </c>
    </row>
    <row r="284" spans="1:9" ht="14.6" x14ac:dyDescent="0.4">
      <c r="A284" s="8" t="s">
        <v>50</v>
      </c>
      <c r="B284" s="8" t="s">
        <v>1088</v>
      </c>
      <c r="C284" s="8" t="s">
        <v>40</v>
      </c>
      <c r="D284" s="8" t="s">
        <v>1029</v>
      </c>
      <c r="E284" s="8" t="s">
        <v>34</v>
      </c>
      <c r="F284" s="8" t="s">
        <v>1520</v>
      </c>
      <c r="G284" s="8" t="s">
        <v>1520</v>
      </c>
      <c r="H284" s="23" t="str">
        <f t="shared" si="0"/>
        <v>Yes</v>
      </c>
      <c r="I284" s="4" t="str">
        <f t="shared" si="1"/>
        <v>TN</v>
      </c>
    </row>
    <row r="285" spans="1:9" ht="14.6" x14ac:dyDescent="0.4">
      <c r="A285" s="8" t="s">
        <v>50</v>
      </c>
      <c r="B285" s="8" t="s">
        <v>1116</v>
      </c>
      <c r="C285" s="8" t="s">
        <v>40</v>
      </c>
      <c r="D285" s="8" t="s">
        <v>1080</v>
      </c>
      <c r="E285" s="8" t="s">
        <v>34</v>
      </c>
      <c r="F285" s="8" t="s">
        <v>1520</v>
      </c>
      <c r="G285" s="8" t="s">
        <v>1520</v>
      </c>
      <c r="H285" s="23" t="str">
        <f t="shared" si="0"/>
        <v>Yes</v>
      </c>
      <c r="I285" s="4" t="str">
        <f t="shared" si="1"/>
        <v>TN</v>
      </c>
    </row>
    <row r="286" spans="1:9" ht="14.6" x14ac:dyDescent="0.4">
      <c r="A286" s="8" t="s">
        <v>106</v>
      </c>
      <c r="B286" s="8" t="s">
        <v>1050</v>
      </c>
      <c r="C286" s="8" t="s">
        <v>82</v>
      </c>
      <c r="D286" s="8" t="s">
        <v>1051</v>
      </c>
      <c r="E286" s="8" t="s">
        <v>34</v>
      </c>
      <c r="F286" s="8" t="s">
        <v>1520</v>
      </c>
      <c r="G286" s="8" t="s">
        <v>1520</v>
      </c>
      <c r="H286" s="23" t="str">
        <f t="shared" si="0"/>
        <v>Yes</v>
      </c>
      <c r="I286" s="4" t="str">
        <f t="shared" si="1"/>
        <v>TN</v>
      </c>
    </row>
    <row r="287" spans="1:9" ht="14.6" x14ac:dyDescent="0.4">
      <c r="A287" s="8" t="s">
        <v>106</v>
      </c>
      <c r="B287" s="8" t="s">
        <v>1088</v>
      </c>
      <c r="C287" s="8" t="s">
        <v>82</v>
      </c>
      <c r="D287" s="8" t="s">
        <v>1029</v>
      </c>
      <c r="E287" s="8" t="s">
        <v>34</v>
      </c>
      <c r="F287" s="8" t="s">
        <v>1520</v>
      </c>
      <c r="G287" s="8" t="s">
        <v>1520</v>
      </c>
      <c r="H287" s="23" t="str">
        <f t="shared" si="0"/>
        <v>Yes</v>
      </c>
      <c r="I287" s="4" t="str">
        <f t="shared" si="1"/>
        <v>TN</v>
      </c>
    </row>
    <row r="288" spans="1:9" ht="14.6" x14ac:dyDescent="0.4">
      <c r="A288" s="8" t="s">
        <v>106</v>
      </c>
      <c r="B288" s="8" t="s">
        <v>1116</v>
      </c>
      <c r="C288" s="8" t="s">
        <v>82</v>
      </c>
      <c r="D288" s="8" t="s">
        <v>1080</v>
      </c>
      <c r="E288" s="8" t="s">
        <v>34</v>
      </c>
      <c r="F288" s="8" t="s">
        <v>1520</v>
      </c>
      <c r="G288" s="8" t="s">
        <v>1520</v>
      </c>
      <c r="H288" s="23" t="str">
        <f t="shared" si="0"/>
        <v>Yes</v>
      </c>
      <c r="I288" s="4" t="str">
        <f t="shared" si="1"/>
        <v>TN</v>
      </c>
    </row>
    <row r="289" spans="1:9" ht="14.6" x14ac:dyDescent="0.4">
      <c r="A289" s="8" t="s">
        <v>1030</v>
      </c>
      <c r="B289" s="8" t="s">
        <v>1056</v>
      </c>
      <c r="C289" s="8" t="s">
        <v>1031</v>
      </c>
      <c r="D289" s="8" t="s">
        <v>1054</v>
      </c>
      <c r="E289" s="8" t="s">
        <v>9</v>
      </c>
      <c r="F289" s="8" t="s">
        <v>1522</v>
      </c>
      <c r="G289" s="8" t="s">
        <v>1522</v>
      </c>
      <c r="H289" s="23" t="str">
        <f t="shared" si="0"/>
        <v>Yes</v>
      </c>
      <c r="I289" s="4" t="str">
        <f t="shared" si="1"/>
        <v>TP</v>
      </c>
    </row>
    <row r="290" spans="1:9" ht="14.6" x14ac:dyDescent="0.4">
      <c r="A290" s="8" t="s">
        <v>1030</v>
      </c>
      <c r="B290" s="8" t="s">
        <v>1037</v>
      </c>
      <c r="C290" s="8" t="s">
        <v>1031</v>
      </c>
      <c r="D290" s="8" t="s">
        <v>1038</v>
      </c>
      <c r="E290" s="8" t="s">
        <v>9</v>
      </c>
      <c r="F290" s="8" t="s">
        <v>1520</v>
      </c>
      <c r="G290" s="8" t="s">
        <v>1522</v>
      </c>
      <c r="H290" s="23" t="str">
        <f t="shared" si="0"/>
        <v>No</v>
      </c>
      <c r="I290" s="4" t="str">
        <f t="shared" si="1"/>
        <v>FP</v>
      </c>
    </row>
    <row r="291" spans="1:9" ht="14.6" x14ac:dyDescent="0.4">
      <c r="A291" s="8" t="s">
        <v>1030</v>
      </c>
      <c r="B291" s="8" t="s">
        <v>1042</v>
      </c>
      <c r="C291" s="8" t="s">
        <v>1031</v>
      </c>
      <c r="D291" s="8" t="s">
        <v>1038</v>
      </c>
      <c r="E291" s="8" t="s">
        <v>9</v>
      </c>
      <c r="F291" s="8" t="s">
        <v>1520</v>
      </c>
      <c r="G291" s="8" t="s">
        <v>1522</v>
      </c>
      <c r="H291" s="23" t="str">
        <f t="shared" si="0"/>
        <v>No</v>
      </c>
      <c r="I291" s="4" t="str">
        <f t="shared" si="1"/>
        <v>FP</v>
      </c>
    </row>
    <row r="292" spans="1:9" ht="14.6" x14ac:dyDescent="0.4">
      <c r="A292" s="8" t="s">
        <v>1056</v>
      </c>
      <c r="B292" s="8" t="s">
        <v>1037</v>
      </c>
      <c r="C292" s="8" t="s">
        <v>1054</v>
      </c>
      <c r="D292" s="8" t="s">
        <v>1038</v>
      </c>
      <c r="E292" s="8" t="s">
        <v>9</v>
      </c>
      <c r="F292" s="8" t="s">
        <v>1520</v>
      </c>
      <c r="G292" s="8" t="s">
        <v>1522</v>
      </c>
      <c r="H292" s="23" t="str">
        <f t="shared" si="0"/>
        <v>No</v>
      </c>
      <c r="I292" s="4" t="str">
        <f t="shared" si="1"/>
        <v>FP</v>
      </c>
    </row>
    <row r="293" spans="1:9" ht="14.6" x14ac:dyDescent="0.4">
      <c r="A293" s="8" t="s">
        <v>1056</v>
      </c>
      <c r="B293" s="8" t="s">
        <v>1042</v>
      </c>
      <c r="C293" s="8" t="s">
        <v>1054</v>
      </c>
      <c r="D293" s="8" t="s">
        <v>1038</v>
      </c>
      <c r="E293" s="8" t="s">
        <v>9</v>
      </c>
      <c r="F293" s="8" t="s">
        <v>1520</v>
      </c>
      <c r="G293" s="8" t="s">
        <v>1522</v>
      </c>
      <c r="H293" s="23" t="str">
        <f t="shared" si="0"/>
        <v>No</v>
      </c>
      <c r="I293" s="4" t="str">
        <f t="shared" si="1"/>
        <v>FP</v>
      </c>
    </row>
    <row r="294" spans="1:9" ht="14.6" x14ac:dyDescent="0.4">
      <c r="A294" s="8" t="s">
        <v>7</v>
      </c>
      <c r="B294" s="8" t="s">
        <v>61</v>
      </c>
      <c r="C294" s="8" t="s">
        <v>8</v>
      </c>
      <c r="D294" s="8" t="s">
        <v>62</v>
      </c>
      <c r="E294" s="8" t="s">
        <v>9</v>
      </c>
      <c r="F294" s="8" t="s">
        <v>1520</v>
      </c>
      <c r="G294" s="8" t="s">
        <v>1520</v>
      </c>
      <c r="H294" s="23" t="str">
        <f t="shared" si="0"/>
        <v>Yes</v>
      </c>
      <c r="I294" s="4" t="str">
        <f t="shared" si="1"/>
        <v>TN</v>
      </c>
    </row>
    <row r="295" spans="1:9" ht="14.6" x14ac:dyDescent="0.4">
      <c r="A295" s="8" t="s">
        <v>7</v>
      </c>
      <c r="B295" s="8" t="s">
        <v>83</v>
      </c>
      <c r="C295" s="8" t="s">
        <v>8</v>
      </c>
      <c r="D295" s="8" t="s">
        <v>84</v>
      </c>
      <c r="E295" s="8" t="s">
        <v>9</v>
      </c>
      <c r="F295" s="8" t="s">
        <v>1520</v>
      </c>
      <c r="G295" s="8" t="s">
        <v>1520</v>
      </c>
      <c r="H295" s="23" t="str">
        <f t="shared" si="0"/>
        <v>Yes</v>
      </c>
      <c r="I295" s="4" t="str">
        <f t="shared" si="1"/>
        <v>TN</v>
      </c>
    </row>
    <row r="296" spans="1:9" ht="14.6" x14ac:dyDescent="0.4">
      <c r="A296" s="8" t="s">
        <v>7</v>
      </c>
      <c r="B296" s="8" t="s">
        <v>127</v>
      </c>
      <c r="C296" s="8" t="s">
        <v>8</v>
      </c>
      <c r="D296" s="8" t="s">
        <v>128</v>
      </c>
      <c r="E296" s="8" t="s">
        <v>9</v>
      </c>
      <c r="F296" s="8" t="s">
        <v>1520</v>
      </c>
      <c r="G296" s="8" t="s">
        <v>1520</v>
      </c>
      <c r="H296" s="23" t="str">
        <f t="shared" si="0"/>
        <v>Yes</v>
      </c>
      <c r="I296" s="4" t="str">
        <f t="shared" si="1"/>
        <v>TN</v>
      </c>
    </row>
    <row r="297" spans="1:9" ht="14.6" x14ac:dyDescent="0.4">
      <c r="A297" s="8" t="s">
        <v>7</v>
      </c>
      <c r="B297" s="8" t="s">
        <v>1030</v>
      </c>
      <c r="C297" s="8" t="s">
        <v>8</v>
      </c>
      <c r="D297" s="8" t="s">
        <v>1031</v>
      </c>
      <c r="E297" s="8" t="s">
        <v>9</v>
      </c>
      <c r="F297" s="8" t="s">
        <v>1520</v>
      </c>
      <c r="G297" s="8" t="s">
        <v>1520</v>
      </c>
      <c r="H297" s="23" t="str">
        <f t="shared" si="0"/>
        <v>Yes</v>
      </c>
      <c r="I297" s="4" t="str">
        <f t="shared" si="1"/>
        <v>TN</v>
      </c>
    </row>
    <row r="298" spans="1:9" ht="14.6" x14ac:dyDescent="0.4">
      <c r="A298" s="8" t="s">
        <v>7</v>
      </c>
      <c r="B298" s="8" t="s">
        <v>1037</v>
      </c>
      <c r="C298" s="8" t="s">
        <v>8</v>
      </c>
      <c r="D298" s="8" t="s">
        <v>1038</v>
      </c>
      <c r="E298" s="8" t="s">
        <v>9</v>
      </c>
      <c r="F298" s="8" t="s">
        <v>1520</v>
      </c>
      <c r="G298" s="8" t="s">
        <v>1520</v>
      </c>
      <c r="H298" s="23" t="str">
        <f t="shared" si="0"/>
        <v>Yes</v>
      </c>
      <c r="I298" s="4" t="str">
        <f t="shared" si="1"/>
        <v>TN</v>
      </c>
    </row>
    <row r="299" spans="1:9" ht="14.6" x14ac:dyDescent="0.4">
      <c r="A299" s="8" t="s">
        <v>7</v>
      </c>
      <c r="B299" s="8" t="s">
        <v>1042</v>
      </c>
      <c r="C299" s="8" t="s">
        <v>8</v>
      </c>
      <c r="D299" s="8" t="s">
        <v>1038</v>
      </c>
      <c r="E299" s="8" t="s">
        <v>9</v>
      </c>
      <c r="F299" s="8" t="s">
        <v>1520</v>
      </c>
      <c r="G299" s="8" t="s">
        <v>1520</v>
      </c>
      <c r="H299" s="23" t="str">
        <f t="shared" si="0"/>
        <v>Yes</v>
      </c>
      <c r="I299" s="4" t="str">
        <f t="shared" si="1"/>
        <v>TN</v>
      </c>
    </row>
    <row r="300" spans="1:9" ht="14.6" x14ac:dyDescent="0.4">
      <c r="A300" s="8" t="s">
        <v>7</v>
      </c>
      <c r="B300" s="8" t="s">
        <v>1056</v>
      </c>
      <c r="C300" s="8" t="s">
        <v>8</v>
      </c>
      <c r="D300" s="8" t="s">
        <v>1054</v>
      </c>
      <c r="E300" s="8" t="s">
        <v>9</v>
      </c>
      <c r="F300" s="8" t="s">
        <v>1520</v>
      </c>
      <c r="G300" s="8" t="s">
        <v>1520</v>
      </c>
      <c r="H300" s="23" t="str">
        <f t="shared" si="0"/>
        <v>Yes</v>
      </c>
      <c r="I300" s="4" t="str">
        <f t="shared" si="1"/>
        <v>TN</v>
      </c>
    </row>
    <row r="301" spans="1:9" ht="14.6" x14ac:dyDescent="0.4">
      <c r="A301" s="8" t="s">
        <v>61</v>
      </c>
      <c r="B301" s="8" t="s">
        <v>83</v>
      </c>
      <c r="C301" s="8" t="s">
        <v>62</v>
      </c>
      <c r="D301" s="8" t="s">
        <v>84</v>
      </c>
      <c r="E301" s="8" t="s">
        <v>9</v>
      </c>
      <c r="F301" s="8" t="s">
        <v>1520</v>
      </c>
      <c r="G301" s="8" t="s">
        <v>1520</v>
      </c>
      <c r="H301" s="23" t="str">
        <f t="shared" si="0"/>
        <v>Yes</v>
      </c>
      <c r="I301" s="4" t="str">
        <f t="shared" si="1"/>
        <v>TN</v>
      </c>
    </row>
    <row r="302" spans="1:9" ht="14.6" x14ac:dyDescent="0.4">
      <c r="A302" s="8" t="s">
        <v>61</v>
      </c>
      <c r="B302" s="8" t="s">
        <v>127</v>
      </c>
      <c r="C302" s="8" t="s">
        <v>62</v>
      </c>
      <c r="D302" s="8" t="s">
        <v>128</v>
      </c>
      <c r="E302" s="8" t="s">
        <v>9</v>
      </c>
      <c r="F302" s="8" t="s">
        <v>1520</v>
      </c>
      <c r="G302" s="8" t="s">
        <v>1520</v>
      </c>
      <c r="H302" s="23" t="str">
        <f t="shared" si="0"/>
        <v>Yes</v>
      </c>
      <c r="I302" s="4" t="str">
        <f t="shared" si="1"/>
        <v>TN</v>
      </c>
    </row>
    <row r="303" spans="1:9" ht="14.6" x14ac:dyDescent="0.4">
      <c r="A303" s="8" t="s">
        <v>61</v>
      </c>
      <c r="B303" s="8" t="s">
        <v>1030</v>
      </c>
      <c r="C303" s="8" t="s">
        <v>62</v>
      </c>
      <c r="D303" s="8" t="s">
        <v>1031</v>
      </c>
      <c r="E303" s="8" t="s">
        <v>9</v>
      </c>
      <c r="F303" s="8" t="s">
        <v>1520</v>
      </c>
      <c r="G303" s="8" t="s">
        <v>1520</v>
      </c>
      <c r="H303" s="23" t="str">
        <f t="shared" si="0"/>
        <v>Yes</v>
      </c>
      <c r="I303" s="4" t="str">
        <f t="shared" si="1"/>
        <v>TN</v>
      </c>
    </row>
    <row r="304" spans="1:9" ht="14.6" x14ac:dyDescent="0.4">
      <c r="A304" s="8" t="s">
        <v>61</v>
      </c>
      <c r="B304" s="8" t="s">
        <v>1037</v>
      </c>
      <c r="C304" s="8" t="s">
        <v>62</v>
      </c>
      <c r="D304" s="8" t="s">
        <v>1038</v>
      </c>
      <c r="E304" s="8" t="s">
        <v>9</v>
      </c>
      <c r="F304" s="8" t="s">
        <v>1520</v>
      </c>
      <c r="G304" s="8" t="s">
        <v>1520</v>
      </c>
      <c r="H304" s="23" t="str">
        <f t="shared" si="0"/>
        <v>Yes</v>
      </c>
      <c r="I304" s="4" t="str">
        <f t="shared" si="1"/>
        <v>TN</v>
      </c>
    </row>
    <row r="305" spans="1:9" ht="14.6" x14ac:dyDescent="0.4">
      <c r="A305" s="8" t="s">
        <v>61</v>
      </c>
      <c r="B305" s="8" t="s">
        <v>1042</v>
      </c>
      <c r="C305" s="8" t="s">
        <v>62</v>
      </c>
      <c r="D305" s="8" t="s">
        <v>1038</v>
      </c>
      <c r="E305" s="8" t="s">
        <v>9</v>
      </c>
      <c r="F305" s="8" t="s">
        <v>1520</v>
      </c>
      <c r="G305" s="8" t="s">
        <v>1520</v>
      </c>
      <c r="H305" s="23" t="str">
        <f t="shared" si="0"/>
        <v>Yes</v>
      </c>
      <c r="I305" s="4" t="str">
        <f t="shared" si="1"/>
        <v>TN</v>
      </c>
    </row>
    <row r="306" spans="1:9" ht="14.6" x14ac:dyDescent="0.4">
      <c r="A306" s="8" t="s">
        <v>61</v>
      </c>
      <c r="B306" s="8" t="s">
        <v>1056</v>
      </c>
      <c r="C306" s="8" t="s">
        <v>62</v>
      </c>
      <c r="D306" s="8" t="s">
        <v>1054</v>
      </c>
      <c r="E306" s="8" t="s">
        <v>9</v>
      </c>
      <c r="F306" s="8" t="s">
        <v>1520</v>
      </c>
      <c r="G306" s="8" t="s">
        <v>1520</v>
      </c>
      <c r="H306" s="23" t="str">
        <f t="shared" si="0"/>
        <v>Yes</v>
      </c>
      <c r="I306" s="4" t="str">
        <f t="shared" si="1"/>
        <v>TN</v>
      </c>
    </row>
    <row r="307" spans="1:9" ht="14.6" x14ac:dyDescent="0.4">
      <c r="A307" s="8" t="s">
        <v>83</v>
      </c>
      <c r="B307" s="8" t="s">
        <v>127</v>
      </c>
      <c r="C307" s="8" t="s">
        <v>84</v>
      </c>
      <c r="D307" s="8" t="s">
        <v>128</v>
      </c>
      <c r="E307" s="8" t="s">
        <v>9</v>
      </c>
      <c r="F307" s="8" t="s">
        <v>1520</v>
      </c>
      <c r="G307" s="8" t="s">
        <v>1520</v>
      </c>
      <c r="H307" s="23" t="str">
        <f t="shared" si="0"/>
        <v>Yes</v>
      </c>
      <c r="I307" s="4" t="str">
        <f t="shared" si="1"/>
        <v>TN</v>
      </c>
    </row>
    <row r="308" spans="1:9" ht="14.6" x14ac:dyDescent="0.4">
      <c r="A308" s="8" t="s">
        <v>83</v>
      </c>
      <c r="B308" s="8" t="s">
        <v>1030</v>
      </c>
      <c r="C308" s="8" t="s">
        <v>84</v>
      </c>
      <c r="D308" s="8" t="s">
        <v>1031</v>
      </c>
      <c r="E308" s="8" t="s">
        <v>9</v>
      </c>
      <c r="F308" s="8" t="s">
        <v>1520</v>
      </c>
      <c r="G308" s="8" t="s">
        <v>1520</v>
      </c>
      <c r="H308" s="23" t="str">
        <f t="shared" si="0"/>
        <v>Yes</v>
      </c>
      <c r="I308" s="4" t="str">
        <f t="shared" si="1"/>
        <v>TN</v>
      </c>
    </row>
    <row r="309" spans="1:9" ht="14.6" x14ac:dyDescent="0.4">
      <c r="A309" s="8" t="s">
        <v>83</v>
      </c>
      <c r="B309" s="8" t="s">
        <v>1037</v>
      </c>
      <c r="C309" s="8" t="s">
        <v>84</v>
      </c>
      <c r="D309" s="8" t="s">
        <v>1038</v>
      </c>
      <c r="E309" s="8" t="s">
        <v>9</v>
      </c>
      <c r="F309" s="8" t="s">
        <v>1520</v>
      </c>
      <c r="G309" s="8" t="s">
        <v>1520</v>
      </c>
      <c r="H309" s="23" t="str">
        <f t="shared" si="0"/>
        <v>Yes</v>
      </c>
      <c r="I309" s="4" t="str">
        <f t="shared" si="1"/>
        <v>TN</v>
      </c>
    </row>
    <row r="310" spans="1:9" ht="14.6" x14ac:dyDescent="0.4">
      <c r="A310" s="8" t="s">
        <v>83</v>
      </c>
      <c r="B310" s="8" t="s">
        <v>1042</v>
      </c>
      <c r="C310" s="8" t="s">
        <v>84</v>
      </c>
      <c r="D310" s="8" t="s">
        <v>1038</v>
      </c>
      <c r="E310" s="8" t="s">
        <v>9</v>
      </c>
      <c r="F310" s="8" t="s">
        <v>1520</v>
      </c>
      <c r="G310" s="8" t="s">
        <v>1520</v>
      </c>
      <c r="H310" s="23" t="str">
        <f t="shared" si="0"/>
        <v>Yes</v>
      </c>
      <c r="I310" s="4" t="str">
        <f t="shared" si="1"/>
        <v>TN</v>
      </c>
    </row>
    <row r="311" spans="1:9" ht="14.6" x14ac:dyDescent="0.4">
      <c r="A311" s="8" t="s">
        <v>83</v>
      </c>
      <c r="B311" s="8" t="s">
        <v>1056</v>
      </c>
      <c r="C311" s="8" t="s">
        <v>84</v>
      </c>
      <c r="D311" s="8" t="s">
        <v>1054</v>
      </c>
      <c r="E311" s="8" t="s">
        <v>9</v>
      </c>
      <c r="F311" s="8" t="s">
        <v>1520</v>
      </c>
      <c r="G311" s="8" t="s">
        <v>1520</v>
      </c>
      <c r="H311" s="23" t="str">
        <f t="shared" si="0"/>
        <v>Yes</v>
      </c>
      <c r="I311" s="4" t="str">
        <f t="shared" si="1"/>
        <v>TN</v>
      </c>
    </row>
    <row r="312" spans="1:9" ht="14.6" x14ac:dyDescent="0.4">
      <c r="A312" s="8" t="s">
        <v>127</v>
      </c>
      <c r="B312" s="8" t="s">
        <v>1030</v>
      </c>
      <c r="C312" s="8" t="s">
        <v>128</v>
      </c>
      <c r="D312" s="8" t="s">
        <v>1031</v>
      </c>
      <c r="E312" s="8" t="s">
        <v>9</v>
      </c>
      <c r="F312" s="8" t="s">
        <v>1520</v>
      </c>
      <c r="G312" s="8" t="s">
        <v>1520</v>
      </c>
      <c r="H312" s="23" t="str">
        <f t="shared" si="0"/>
        <v>Yes</v>
      </c>
      <c r="I312" s="4" t="str">
        <f t="shared" si="1"/>
        <v>TN</v>
      </c>
    </row>
    <row r="313" spans="1:9" ht="14.6" x14ac:dyDescent="0.4">
      <c r="A313" s="8" t="s">
        <v>127</v>
      </c>
      <c r="B313" s="8" t="s">
        <v>1037</v>
      </c>
      <c r="C313" s="8" t="s">
        <v>128</v>
      </c>
      <c r="D313" s="8" t="s">
        <v>1038</v>
      </c>
      <c r="E313" s="8" t="s">
        <v>9</v>
      </c>
      <c r="F313" s="8" t="s">
        <v>1520</v>
      </c>
      <c r="G313" s="8" t="s">
        <v>1520</v>
      </c>
      <c r="H313" s="23" t="str">
        <f t="shared" si="0"/>
        <v>Yes</v>
      </c>
      <c r="I313" s="4" t="str">
        <f t="shared" si="1"/>
        <v>TN</v>
      </c>
    </row>
    <row r="314" spans="1:9" ht="14.6" x14ac:dyDescent="0.4">
      <c r="A314" s="8" t="s">
        <v>127</v>
      </c>
      <c r="B314" s="8" t="s">
        <v>1042</v>
      </c>
      <c r="C314" s="8" t="s">
        <v>128</v>
      </c>
      <c r="D314" s="8" t="s">
        <v>1038</v>
      </c>
      <c r="E314" s="8" t="s">
        <v>9</v>
      </c>
      <c r="F314" s="8" t="s">
        <v>1520</v>
      </c>
      <c r="G314" s="8" t="s">
        <v>1520</v>
      </c>
      <c r="H314" s="23" t="str">
        <f t="shared" si="0"/>
        <v>Yes</v>
      </c>
      <c r="I314" s="4" t="str">
        <f t="shared" si="1"/>
        <v>TN</v>
      </c>
    </row>
    <row r="315" spans="1:9" ht="14.6" x14ac:dyDescent="0.4">
      <c r="A315" s="8" t="s">
        <v>127</v>
      </c>
      <c r="B315" s="8" t="s">
        <v>1056</v>
      </c>
      <c r="C315" s="8" t="s">
        <v>128</v>
      </c>
      <c r="D315" s="8" t="s">
        <v>1054</v>
      </c>
      <c r="E315" s="8" t="s">
        <v>9</v>
      </c>
      <c r="F315" s="8" t="s">
        <v>1520</v>
      </c>
      <c r="G315" s="8" t="s">
        <v>1520</v>
      </c>
      <c r="H315" s="23" t="str">
        <f t="shared" si="0"/>
        <v>Yes</v>
      </c>
      <c r="I315" s="4" t="str">
        <f t="shared" si="1"/>
        <v>TN</v>
      </c>
    </row>
    <row r="316" spans="1:9" ht="14.6" x14ac:dyDescent="0.4">
      <c r="A316" s="8" t="s">
        <v>1037</v>
      </c>
      <c r="B316" s="8" t="s">
        <v>1042</v>
      </c>
      <c r="C316" s="8" t="s">
        <v>1038</v>
      </c>
      <c r="D316" s="8" t="s">
        <v>1038</v>
      </c>
      <c r="E316" s="8" t="s">
        <v>9</v>
      </c>
      <c r="F316" s="8" t="s">
        <v>1520</v>
      </c>
      <c r="G316" s="8" t="s">
        <v>1520</v>
      </c>
      <c r="H316" s="23" t="str">
        <f t="shared" si="0"/>
        <v>Yes</v>
      </c>
      <c r="I316" s="4" t="str">
        <f t="shared" si="1"/>
        <v>TN</v>
      </c>
    </row>
    <row r="317" spans="1:9" ht="14.6" x14ac:dyDescent="0.4">
      <c r="A317" s="8" t="s">
        <v>1103</v>
      </c>
      <c r="B317" s="8" t="s">
        <v>1111</v>
      </c>
      <c r="C317" s="8" t="s">
        <v>1080</v>
      </c>
      <c r="D317" s="8" t="s">
        <v>1029</v>
      </c>
      <c r="E317" s="8" t="s">
        <v>58</v>
      </c>
      <c r="F317" s="8" t="s">
        <v>1522</v>
      </c>
      <c r="G317" s="8" t="s">
        <v>1522</v>
      </c>
      <c r="H317" s="23" t="str">
        <f t="shared" si="0"/>
        <v>Yes</v>
      </c>
      <c r="I317" s="4" t="str">
        <f t="shared" si="1"/>
        <v>TP</v>
      </c>
    </row>
    <row r="318" spans="1:9" ht="14.6" x14ac:dyDescent="0.4">
      <c r="A318" s="8" t="s">
        <v>1213</v>
      </c>
      <c r="B318" s="8" t="s">
        <v>1247</v>
      </c>
      <c r="C318" s="8" t="s">
        <v>1156</v>
      </c>
      <c r="D318" s="8" t="s">
        <v>1145</v>
      </c>
      <c r="E318" s="8" t="s">
        <v>58</v>
      </c>
      <c r="F318" s="8" t="s">
        <v>1522</v>
      </c>
      <c r="G318" s="8" t="s">
        <v>1522</v>
      </c>
      <c r="H318" s="23" t="str">
        <f t="shared" si="0"/>
        <v>Yes</v>
      </c>
      <c r="I318" s="4" t="str">
        <f t="shared" si="1"/>
        <v>TP</v>
      </c>
    </row>
    <row r="319" spans="1:9" ht="14.6" x14ac:dyDescent="0.4">
      <c r="A319" s="8" t="s">
        <v>56</v>
      </c>
      <c r="B319" s="8" t="s">
        <v>111</v>
      </c>
      <c r="C319" s="8" t="s">
        <v>57</v>
      </c>
      <c r="D319" s="8" t="s">
        <v>112</v>
      </c>
      <c r="E319" s="8" t="s">
        <v>58</v>
      </c>
      <c r="F319" s="8" t="s">
        <v>1520</v>
      </c>
      <c r="G319" s="8" t="s">
        <v>1520</v>
      </c>
      <c r="H319" s="23" t="str">
        <f t="shared" si="0"/>
        <v>Yes</v>
      </c>
      <c r="I319" s="4" t="str">
        <f t="shared" si="1"/>
        <v>TN</v>
      </c>
    </row>
    <row r="320" spans="1:9" ht="14.6" x14ac:dyDescent="0.4">
      <c r="A320" s="8" t="s">
        <v>56</v>
      </c>
      <c r="B320" s="8" t="s">
        <v>159</v>
      </c>
      <c r="C320" s="8" t="s">
        <v>57</v>
      </c>
      <c r="D320" s="8" t="s">
        <v>160</v>
      </c>
      <c r="E320" s="8" t="s">
        <v>58</v>
      </c>
      <c r="F320" s="8" t="s">
        <v>1520</v>
      </c>
      <c r="G320" s="8" t="s">
        <v>1520</v>
      </c>
      <c r="H320" s="23" t="str">
        <f t="shared" si="0"/>
        <v>Yes</v>
      </c>
      <c r="I320" s="4" t="str">
        <f t="shared" si="1"/>
        <v>TN</v>
      </c>
    </row>
    <row r="321" spans="1:9" ht="14.6" x14ac:dyDescent="0.4">
      <c r="A321" s="8" t="s">
        <v>56</v>
      </c>
      <c r="B321" s="8" t="s">
        <v>199</v>
      </c>
      <c r="C321" s="8" t="s">
        <v>57</v>
      </c>
      <c r="D321" s="8" t="s">
        <v>200</v>
      </c>
      <c r="E321" s="8" t="s">
        <v>58</v>
      </c>
      <c r="F321" s="8" t="s">
        <v>1520</v>
      </c>
      <c r="G321" s="8" t="s">
        <v>1520</v>
      </c>
      <c r="H321" s="23" t="str">
        <f t="shared" si="0"/>
        <v>Yes</v>
      </c>
      <c r="I321" s="4" t="str">
        <f t="shared" si="1"/>
        <v>TN</v>
      </c>
    </row>
    <row r="322" spans="1:9" ht="14.6" x14ac:dyDescent="0.4">
      <c r="A322" s="8" t="s">
        <v>56</v>
      </c>
      <c r="B322" s="8" t="s">
        <v>1103</v>
      </c>
      <c r="C322" s="8" t="s">
        <v>57</v>
      </c>
      <c r="D322" s="8" t="s">
        <v>1080</v>
      </c>
      <c r="E322" s="8" t="s">
        <v>58</v>
      </c>
      <c r="F322" s="8" t="s">
        <v>1520</v>
      </c>
      <c r="G322" s="8" t="s">
        <v>1520</v>
      </c>
      <c r="H322" s="23" t="str">
        <f t="shared" si="0"/>
        <v>Yes</v>
      </c>
      <c r="I322" s="4" t="str">
        <f t="shared" si="1"/>
        <v>TN</v>
      </c>
    </row>
    <row r="323" spans="1:9" ht="14.6" x14ac:dyDescent="0.4">
      <c r="A323" s="8" t="s">
        <v>56</v>
      </c>
      <c r="B323" s="8" t="s">
        <v>1111</v>
      </c>
      <c r="C323" s="8" t="s">
        <v>57</v>
      </c>
      <c r="D323" s="8" t="s">
        <v>1029</v>
      </c>
      <c r="E323" s="8" t="s">
        <v>58</v>
      </c>
      <c r="F323" s="8" t="s">
        <v>1520</v>
      </c>
      <c r="G323" s="8" t="s">
        <v>1520</v>
      </c>
      <c r="H323" s="23" t="str">
        <f t="shared" si="0"/>
        <v>Yes</v>
      </c>
      <c r="I323" s="4" t="str">
        <f t="shared" si="1"/>
        <v>TN</v>
      </c>
    </row>
    <row r="324" spans="1:9" ht="14.6" x14ac:dyDescent="0.4">
      <c r="A324" s="8" t="s">
        <v>56</v>
      </c>
      <c r="B324" s="8" t="s">
        <v>1213</v>
      </c>
      <c r="C324" s="8" t="s">
        <v>57</v>
      </c>
      <c r="D324" s="8" t="s">
        <v>1156</v>
      </c>
      <c r="E324" s="8" t="s">
        <v>58</v>
      </c>
      <c r="F324" s="8" t="s">
        <v>1520</v>
      </c>
      <c r="G324" s="8" t="s">
        <v>1520</v>
      </c>
      <c r="H324" s="23" t="str">
        <f t="shared" si="0"/>
        <v>Yes</v>
      </c>
      <c r="I324" s="4" t="str">
        <f t="shared" si="1"/>
        <v>TN</v>
      </c>
    </row>
    <row r="325" spans="1:9" ht="14.6" x14ac:dyDescent="0.4">
      <c r="A325" s="8" t="s">
        <v>56</v>
      </c>
      <c r="B325" s="8" t="s">
        <v>1247</v>
      </c>
      <c r="C325" s="8" t="s">
        <v>57</v>
      </c>
      <c r="D325" s="8" t="s">
        <v>1145</v>
      </c>
      <c r="E325" s="8" t="s">
        <v>58</v>
      </c>
      <c r="F325" s="8" t="s">
        <v>1520</v>
      </c>
      <c r="G325" s="8" t="s">
        <v>1520</v>
      </c>
      <c r="H325" s="23" t="str">
        <f t="shared" si="0"/>
        <v>Yes</v>
      </c>
      <c r="I325" s="4" t="str">
        <f t="shared" si="1"/>
        <v>TN</v>
      </c>
    </row>
    <row r="326" spans="1:9" ht="14.6" x14ac:dyDescent="0.4">
      <c r="A326" s="8" t="s">
        <v>111</v>
      </c>
      <c r="B326" s="8" t="s">
        <v>159</v>
      </c>
      <c r="C326" s="8" t="s">
        <v>112</v>
      </c>
      <c r="D326" s="8" t="s">
        <v>160</v>
      </c>
      <c r="E326" s="8" t="s">
        <v>58</v>
      </c>
      <c r="F326" s="8" t="s">
        <v>1520</v>
      </c>
      <c r="G326" s="8" t="s">
        <v>1520</v>
      </c>
      <c r="H326" s="23" t="str">
        <f t="shared" si="0"/>
        <v>Yes</v>
      </c>
      <c r="I326" s="4" t="str">
        <f t="shared" si="1"/>
        <v>TN</v>
      </c>
    </row>
    <row r="327" spans="1:9" ht="14.6" x14ac:dyDescent="0.4">
      <c r="A327" s="8" t="s">
        <v>111</v>
      </c>
      <c r="B327" s="8" t="s">
        <v>199</v>
      </c>
      <c r="C327" s="8" t="s">
        <v>112</v>
      </c>
      <c r="D327" s="8" t="s">
        <v>200</v>
      </c>
      <c r="E327" s="8" t="s">
        <v>58</v>
      </c>
      <c r="F327" s="8" t="s">
        <v>1520</v>
      </c>
      <c r="G327" s="8" t="s">
        <v>1520</v>
      </c>
      <c r="H327" s="23" t="str">
        <f t="shared" si="0"/>
        <v>Yes</v>
      </c>
      <c r="I327" s="4" t="str">
        <f t="shared" si="1"/>
        <v>TN</v>
      </c>
    </row>
    <row r="328" spans="1:9" ht="14.6" x14ac:dyDescent="0.4">
      <c r="A328" s="8" t="s">
        <v>111</v>
      </c>
      <c r="B328" s="8" t="s">
        <v>1103</v>
      </c>
      <c r="C328" s="8" t="s">
        <v>112</v>
      </c>
      <c r="D328" s="8" t="s">
        <v>1080</v>
      </c>
      <c r="E328" s="8" t="s">
        <v>58</v>
      </c>
      <c r="F328" s="8" t="s">
        <v>1520</v>
      </c>
      <c r="G328" s="8" t="s">
        <v>1520</v>
      </c>
      <c r="H328" s="23" t="str">
        <f t="shared" si="0"/>
        <v>Yes</v>
      </c>
      <c r="I328" s="4" t="str">
        <f t="shared" si="1"/>
        <v>TN</v>
      </c>
    </row>
    <row r="329" spans="1:9" ht="14.6" x14ac:dyDescent="0.4">
      <c r="A329" s="8" t="s">
        <v>111</v>
      </c>
      <c r="B329" s="8" t="s">
        <v>1111</v>
      </c>
      <c r="C329" s="8" t="s">
        <v>112</v>
      </c>
      <c r="D329" s="8" t="s">
        <v>1029</v>
      </c>
      <c r="E329" s="8" t="s">
        <v>58</v>
      </c>
      <c r="F329" s="8" t="s">
        <v>1520</v>
      </c>
      <c r="G329" s="8" t="s">
        <v>1520</v>
      </c>
      <c r="H329" s="23" t="str">
        <f t="shared" si="0"/>
        <v>Yes</v>
      </c>
      <c r="I329" s="4" t="str">
        <f t="shared" si="1"/>
        <v>TN</v>
      </c>
    </row>
    <row r="330" spans="1:9" ht="14.6" x14ac:dyDescent="0.4">
      <c r="A330" s="8" t="s">
        <v>111</v>
      </c>
      <c r="B330" s="8" t="s">
        <v>1213</v>
      </c>
      <c r="C330" s="8" t="s">
        <v>112</v>
      </c>
      <c r="D330" s="8" t="s">
        <v>1156</v>
      </c>
      <c r="E330" s="8" t="s">
        <v>58</v>
      </c>
      <c r="F330" s="8" t="s">
        <v>1520</v>
      </c>
      <c r="G330" s="8" t="s">
        <v>1520</v>
      </c>
      <c r="H330" s="23" t="str">
        <f t="shared" si="0"/>
        <v>Yes</v>
      </c>
      <c r="I330" s="4" t="str">
        <f t="shared" si="1"/>
        <v>TN</v>
      </c>
    </row>
    <row r="331" spans="1:9" ht="14.6" x14ac:dyDescent="0.4">
      <c r="A331" s="8" t="s">
        <v>111</v>
      </c>
      <c r="B331" s="8" t="s">
        <v>1247</v>
      </c>
      <c r="C331" s="8" t="s">
        <v>112</v>
      </c>
      <c r="D331" s="8" t="s">
        <v>1145</v>
      </c>
      <c r="E331" s="8" t="s">
        <v>58</v>
      </c>
      <c r="F331" s="8" t="s">
        <v>1520</v>
      </c>
      <c r="G331" s="8" t="s">
        <v>1520</v>
      </c>
      <c r="H331" s="23" t="str">
        <f t="shared" si="0"/>
        <v>Yes</v>
      </c>
      <c r="I331" s="4" t="str">
        <f t="shared" si="1"/>
        <v>TN</v>
      </c>
    </row>
    <row r="332" spans="1:9" ht="14.6" x14ac:dyDescent="0.4">
      <c r="A332" s="8" t="s">
        <v>159</v>
      </c>
      <c r="B332" s="8" t="s">
        <v>199</v>
      </c>
      <c r="C332" s="8" t="s">
        <v>160</v>
      </c>
      <c r="D332" s="8" t="s">
        <v>200</v>
      </c>
      <c r="E332" s="8" t="s">
        <v>58</v>
      </c>
      <c r="F332" s="8" t="s">
        <v>1520</v>
      </c>
      <c r="G332" s="8" t="s">
        <v>1520</v>
      </c>
      <c r="H332" s="23" t="str">
        <f t="shared" si="0"/>
        <v>Yes</v>
      </c>
      <c r="I332" s="4" t="str">
        <f t="shared" si="1"/>
        <v>TN</v>
      </c>
    </row>
    <row r="333" spans="1:9" ht="14.6" x14ac:dyDescent="0.4">
      <c r="A333" s="8" t="s">
        <v>159</v>
      </c>
      <c r="B333" s="8" t="s">
        <v>1103</v>
      </c>
      <c r="C333" s="8" t="s">
        <v>160</v>
      </c>
      <c r="D333" s="8" t="s">
        <v>1080</v>
      </c>
      <c r="E333" s="8" t="s">
        <v>58</v>
      </c>
      <c r="F333" s="8" t="s">
        <v>1520</v>
      </c>
      <c r="G333" s="8" t="s">
        <v>1520</v>
      </c>
      <c r="H333" s="23" t="str">
        <f t="shared" si="0"/>
        <v>Yes</v>
      </c>
      <c r="I333" s="4" t="str">
        <f t="shared" si="1"/>
        <v>TN</v>
      </c>
    </row>
    <row r="334" spans="1:9" ht="14.6" x14ac:dyDescent="0.4">
      <c r="A334" s="8" t="s">
        <v>159</v>
      </c>
      <c r="B334" s="8" t="s">
        <v>1111</v>
      </c>
      <c r="C334" s="8" t="s">
        <v>160</v>
      </c>
      <c r="D334" s="8" t="s">
        <v>1029</v>
      </c>
      <c r="E334" s="8" t="s">
        <v>58</v>
      </c>
      <c r="F334" s="8" t="s">
        <v>1520</v>
      </c>
      <c r="G334" s="8" t="s">
        <v>1520</v>
      </c>
      <c r="H334" s="23" t="str">
        <f t="shared" si="0"/>
        <v>Yes</v>
      </c>
      <c r="I334" s="4" t="str">
        <f t="shared" si="1"/>
        <v>TN</v>
      </c>
    </row>
    <row r="335" spans="1:9" ht="14.6" x14ac:dyDescent="0.4">
      <c r="A335" s="8" t="s">
        <v>159</v>
      </c>
      <c r="B335" s="8" t="s">
        <v>1213</v>
      </c>
      <c r="C335" s="8" t="s">
        <v>160</v>
      </c>
      <c r="D335" s="8" t="s">
        <v>1156</v>
      </c>
      <c r="E335" s="8" t="s">
        <v>58</v>
      </c>
      <c r="F335" s="8" t="s">
        <v>1520</v>
      </c>
      <c r="G335" s="8" t="s">
        <v>1520</v>
      </c>
      <c r="H335" s="23" t="str">
        <f t="shared" si="0"/>
        <v>Yes</v>
      </c>
      <c r="I335" s="4" t="str">
        <f t="shared" si="1"/>
        <v>TN</v>
      </c>
    </row>
    <row r="336" spans="1:9" ht="14.6" x14ac:dyDescent="0.4">
      <c r="A336" s="8" t="s">
        <v>159</v>
      </c>
      <c r="B336" s="8" t="s">
        <v>1247</v>
      </c>
      <c r="C336" s="8" t="s">
        <v>160</v>
      </c>
      <c r="D336" s="8" t="s">
        <v>1145</v>
      </c>
      <c r="E336" s="8" t="s">
        <v>58</v>
      </c>
      <c r="F336" s="8" t="s">
        <v>1520</v>
      </c>
      <c r="G336" s="8" t="s">
        <v>1520</v>
      </c>
      <c r="H336" s="23" t="str">
        <f t="shared" si="0"/>
        <v>Yes</v>
      </c>
      <c r="I336" s="4" t="str">
        <f t="shared" si="1"/>
        <v>TN</v>
      </c>
    </row>
    <row r="337" spans="1:9" ht="14.6" x14ac:dyDescent="0.4">
      <c r="A337" s="8" t="s">
        <v>199</v>
      </c>
      <c r="B337" s="8" t="s">
        <v>1103</v>
      </c>
      <c r="C337" s="8" t="s">
        <v>200</v>
      </c>
      <c r="D337" s="8" t="s">
        <v>1080</v>
      </c>
      <c r="E337" s="8" t="s">
        <v>58</v>
      </c>
      <c r="F337" s="8" t="s">
        <v>1520</v>
      </c>
      <c r="G337" s="8" t="s">
        <v>1520</v>
      </c>
      <c r="H337" s="23" t="str">
        <f t="shared" si="0"/>
        <v>Yes</v>
      </c>
      <c r="I337" s="4" t="str">
        <f t="shared" si="1"/>
        <v>TN</v>
      </c>
    </row>
    <row r="338" spans="1:9" ht="14.6" x14ac:dyDescent="0.4">
      <c r="A338" s="8" t="s">
        <v>199</v>
      </c>
      <c r="B338" s="8" t="s">
        <v>1111</v>
      </c>
      <c r="C338" s="8" t="s">
        <v>200</v>
      </c>
      <c r="D338" s="8" t="s">
        <v>1029</v>
      </c>
      <c r="E338" s="8" t="s">
        <v>58</v>
      </c>
      <c r="F338" s="8" t="s">
        <v>1520</v>
      </c>
      <c r="G338" s="8" t="s">
        <v>1520</v>
      </c>
      <c r="H338" s="23" t="str">
        <f t="shared" si="0"/>
        <v>Yes</v>
      </c>
      <c r="I338" s="4" t="str">
        <f t="shared" si="1"/>
        <v>TN</v>
      </c>
    </row>
    <row r="339" spans="1:9" ht="14.6" x14ac:dyDescent="0.4">
      <c r="A339" s="8" t="s">
        <v>199</v>
      </c>
      <c r="B339" s="8" t="s">
        <v>1213</v>
      </c>
      <c r="C339" s="8" t="s">
        <v>200</v>
      </c>
      <c r="D339" s="8" t="s">
        <v>1156</v>
      </c>
      <c r="E339" s="8" t="s">
        <v>58</v>
      </c>
      <c r="F339" s="8" t="s">
        <v>1520</v>
      </c>
      <c r="G339" s="8" t="s">
        <v>1520</v>
      </c>
      <c r="H339" s="23" t="str">
        <f t="shared" si="0"/>
        <v>Yes</v>
      </c>
      <c r="I339" s="4" t="str">
        <f t="shared" si="1"/>
        <v>TN</v>
      </c>
    </row>
    <row r="340" spans="1:9" ht="14.6" x14ac:dyDescent="0.4">
      <c r="A340" s="8" t="s">
        <v>199</v>
      </c>
      <c r="B340" s="8" t="s">
        <v>1247</v>
      </c>
      <c r="C340" s="8" t="s">
        <v>200</v>
      </c>
      <c r="D340" s="8" t="s">
        <v>1145</v>
      </c>
      <c r="E340" s="8" t="s">
        <v>58</v>
      </c>
      <c r="F340" s="8" t="s">
        <v>1520</v>
      </c>
      <c r="G340" s="8" t="s">
        <v>1520</v>
      </c>
      <c r="H340" s="23" t="str">
        <f t="shared" si="0"/>
        <v>Yes</v>
      </c>
      <c r="I340" s="4" t="str">
        <f t="shared" si="1"/>
        <v>TN</v>
      </c>
    </row>
    <row r="341" spans="1:9" ht="14.6" x14ac:dyDescent="0.4">
      <c r="A341" s="8" t="s">
        <v>1103</v>
      </c>
      <c r="B341" s="8" t="s">
        <v>1213</v>
      </c>
      <c r="C341" s="8" t="s">
        <v>1080</v>
      </c>
      <c r="D341" s="8" t="s">
        <v>1156</v>
      </c>
      <c r="E341" s="8" t="s">
        <v>58</v>
      </c>
      <c r="F341" s="8" t="s">
        <v>1520</v>
      </c>
      <c r="G341" s="8" t="s">
        <v>1520</v>
      </c>
      <c r="H341" s="23" t="str">
        <f t="shared" si="0"/>
        <v>Yes</v>
      </c>
      <c r="I341" s="4" t="str">
        <f t="shared" si="1"/>
        <v>TN</v>
      </c>
    </row>
    <row r="342" spans="1:9" ht="14.6" x14ac:dyDescent="0.4">
      <c r="A342" s="8" t="s">
        <v>1103</v>
      </c>
      <c r="B342" s="8" t="s">
        <v>1247</v>
      </c>
      <c r="C342" s="8" t="s">
        <v>1080</v>
      </c>
      <c r="D342" s="8" t="s">
        <v>1145</v>
      </c>
      <c r="E342" s="8" t="s">
        <v>58</v>
      </c>
      <c r="F342" s="8" t="s">
        <v>1520</v>
      </c>
      <c r="G342" s="8" t="s">
        <v>1520</v>
      </c>
      <c r="H342" s="23" t="str">
        <f t="shared" si="0"/>
        <v>Yes</v>
      </c>
      <c r="I342" s="4" t="str">
        <f t="shared" si="1"/>
        <v>TN</v>
      </c>
    </row>
    <row r="343" spans="1:9" ht="14.6" x14ac:dyDescent="0.4">
      <c r="A343" s="8" t="s">
        <v>1111</v>
      </c>
      <c r="B343" s="8" t="s">
        <v>1213</v>
      </c>
      <c r="C343" s="8" t="s">
        <v>1029</v>
      </c>
      <c r="D343" s="8" t="s">
        <v>1156</v>
      </c>
      <c r="E343" s="8" t="s">
        <v>58</v>
      </c>
      <c r="F343" s="8" t="s">
        <v>1520</v>
      </c>
      <c r="G343" s="8" t="s">
        <v>1520</v>
      </c>
      <c r="H343" s="23" t="str">
        <f t="shared" si="0"/>
        <v>Yes</v>
      </c>
      <c r="I343" s="4" t="str">
        <f t="shared" si="1"/>
        <v>TN</v>
      </c>
    </row>
    <row r="344" spans="1:9" ht="14.6" x14ac:dyDescent="0.4">
      <c r="A344" s="8" t="s">
        <v>1111</v>
      </c>
      <c r="B344" s="8" t="s">
        <v>1247</v>
      </c>
      <c r="C344" s="8" t="s">
        <v>1029</v>
      </c>
      <c r="D344" s="8" t="s">
        <v>1145</v>
      </c>
      <c r="E344" s="8" t="s">
        <v>58</v>
      </c>
      <c r="F344" s="8" t="s">
        <v>1520</v>
      </c>
      <c r="G344" s="8" t="s">
        <v>1520</v>
      </c>
      <c r="H344" s="23" t="str">
        <f t="shared" si="0"/>
        <v>Yes</v>
      </c>
      <c r="I344" s="4" t="str">
        <f t="shared" si="1"/>
        <v>TN</v>
      </c>
    </row>
    <row r="345" spans="1:9" ht="14.6" x14ac:dyDescent="0.4">
      <c r="A345" s="8" t="s">
        <v>1352</v>
      </c>
      <c r="B345" s="8" t="s">
        <v>1424</v>
      </c>
      <c r="C345" s="8" t="s">
        <v>1353</v>
      </c>
      <c r="D345" s="8" t="s">
        <v>1359</v>
      </c>
      <c r="E345" s="8" t="s">
        <v>12</v>
      </c>
      <c r="F345" s="8" t="s">
        <v>1522</v>
      </c>
      <c r="G345" s="8" t="s">
        <v>1522</v>
      </c>
      <c r="H345" s="23" t="str">
        <f t="shared" si="0"/>
        <v>Yes</v>
      </c>
      <c r="I345" s="4" t="str">
        <f t="shared" si="1"/>
        <v>TP</v>
      </c>
    </row>
    <row r="346" spans="1:9" ht="14.6" x14ac:dyDescent="0.4">
      <c r="A346" s="8" t="s">
        <v>1034</v>
      </c>
      <c r="B346" s="8" t="s">
        <v>1079</v>
      </c>
      <c r="C346" s="8" t="s">
        <v>1035</v>
      </c>
      <c r="D346" s="8" t="s">
        <v>1080</v>
      </c>
      <c r="E346" s="8" t="s">
        <v>12</v>
      </c>
      <c r="F346" s="8" t="s">
        <v>1522</v>
      </c>
      <c r="G346" s="8" t="s">
        <v>1522</v>
      </c>
      <c r="H346" s="23" t="str">
        <f t="shared" si="0"/>
        <v>Yes</v>
      </c>
      <c r="I346" s="4" t="str">
        <f t="shared" si="1"/>
        <v>TP</v>
      </c>
    </row>
    <row r="347" spans="1:9" ht="14.6" x14ac:dyDescent="0.4">
      <c r="A347" s="8" t="s">
        <v>10</v>
      </c>
      <c r="B347" s="8" t="s">
        <v>30</v>
      </c>
      <c r="C347" s="8" t="s">
        <v>11</v>
      </c>
      <c r="D347" s="8" t="s">
        <v>31</v>
      </c>
      <c r="E347" s="8" t="s">
        <v>12</v>
      </c>
      <c r="F347" s="8" t="s">
        <v>1520</v>
      </c>
      <c r="G347" s="8" t="s">
        <v>1520</v>
      </c>
      <c r="H347" s="23" t="str">
        <f t="shared" si="0"/>
        <v>Yes</v>
      </c>
      <c r="I347" s="4" t="str">
        <f t="shared" si="1"/>
        <v>TN</v>
      </c>
    </row>
    <row r="348" spans="1:9" ht="14.6" x14ac:dyDescent="0.4">
      <c r="A348" s="8" t="s">
        <v>10</v>
      </c>
      <c r="B348" s="8" t="s">
        <v>37</v>
      </c>
      <c r="C348" s="8" t="s">
        <v>11</v>
      </c>
      <c r="D348" s="8" t="s">
        <v>38</v>
      </c>
      <c r="E348" s="8" t="s">
        <v>12</v>
      </c>
      <c r="F348" s="8" t="s">
        <v>1520</v>
      </c>
      <c r="G348" s="8" t="s">
        <v>1520</v>
      </c>
      <c r="H348" s="23" t="str">
        <f t="shared" si="0"/>
        <v>Yes</v>
      </c>
      <c r="I348" s="4" t="str">
        <f t="shared" si="1"/>
        <v>TN</v>
      </c>
    </row>
    <row r="349" spans="1:9" ht="14.6" x14ac:dyDescent="0.4">
      <c r="A349" s="8" t="s">
        <v>10</v>
      </c>
      <c r="B349" s="8" t="s">
        <v>59</v>
      </c>
      <c r="C349" s="8" t="s">
        <v>11</v>
      </c>
      <c r="D349" s="8" t="s">
        <v>60</v>
      </c>
      <c r="E349" s="8" t="s">
        <v>12</v>
      </c>
      <c r="F349" s="8" t="s">
        <v>1520</v>
      </c>
      <c r="G349" s="8" t="s">
        <v>1520</v>
      </c>
      <c r="H349" s="23" t="str">
        <f t="shared" si="0"/>
        <v>Yes</v>
      </c>
      <c r="I349" s="4" t="str">
        <f t="shared" si="1"/>
        <v>TN</v>
      </c>
    </row>
    <row r="350" spans="1:9" ht="14.6" x14ac:dyDescent="0.4">
      <c r="A350" s="8" t="s">
        <v>10</v>
      </c>
      <c r="B350" s="8" t="s">
        <v>1352</v>
      </c>
      <c r="C350" s="8" t="s">
        <v>11</v>
      </c>
      <c r="D350" s="8" t="s">
        <v>1353</v>
      </c>
      <c r="E350" s="8" t="s">
        <v>12</v>
      </c>
      <c r="F350" s="8" t="s">
        <v>1520</v>
      </c>
      <c r="G350" s="8" t="s">
        <v>1520</v>
      </c>
      <c r="H350" s="23" t="str">
        <f t="shared" si="0"/>
        <v>Yes</v>
      </c>
      <c r="I350" s="4" t="str">
        <f t="shared" si="1"/>
        <v>TN</v>
      </c>
    </row>
    <row r="351" spans="1:9" ht="14.6" x14ac:dyDescent="0.4">
      <c r="A351" s="8" t="s">
        <v>10</v>
      </c>
      <c r="B351" s="8" t="s">
        <v>1424</v>
      </c>
      <c r="C351" s="8" t="s">
        <v>11</v>
      </c>
      <c r="D351" s="8" t="s">
        <v>1359</v>
      </c>
      <c r="E351" s="8" t="s">
        <v>12</v>
      </c>
      <c r="F351" s="8" t="s">
        <v>1520</v>
      </c>
      <c r="G351" s="8" t="s">
        <v>1520</v>
      </c>
      <c r="H351" s="23" t="str">
        <f t="shared" si="0"/>
        <v>Yes</v>
      </c>
      <c r="I351" s="4" t="str">
        <f t="shared" si="1"/>
        <v>TN</v>
      </c>
    </row>
    <row r="352" spans="1:9" ht="14.6" x14ac:dyDescent="0.4">
      <c r="A352" s="8" t="s">
        <v>10</v>
      </c>
      <c r="B352" s="8" t="s">
        <v>1034</v>
      </c>
      <c r="C352" s="8" t="s">
        <v>11</v>
      </c>
      <c r="D352" s="8" t="s">
        <v>1035</v>
      </c>
      <c r="E352" s="8" t="s">
        <v>12</v>
      </c>
      <c r="F352" s="8" t="s">
        <v>1520</v>
      </c>
      <c r="G352" s="8" t="s">
        <v>1520</v>
      </c>
      <c r="H352" s="23" t="str">
        <f t="shared" si="0"/>
        <v>Yes</v>
      </c>
      <c r="I352" s="4" t="str">
        <f t="shared" si="1"/>
        <v>TN</v>
      </c>
    </row>
    <row r="353" spans="1:9" ht="14.6" x14ac:dyDescent="0.4">
      <c r="A353" s="8" t="s">
        <v>10</v>
      </c>
      <c r="B353" s="8" t="s">
        <v>1079</v>
      </c>
      <c r="C353" s="8" t="s">
        <v>11</v>
      </c>
      <c r="D353" s="8" t="s">
        <v>1080</v>
      </c>
      <c r="E353" s="8" t="s">
        <v>12</v>
      </c>
      <c r="F353" s="8" t="s">
        <v>1520</v>
      </c>
      <c r="G353" s="8" t="s">
        <v>1520</v>
      </c>
      <c r="H353" s="23" t="str">
        <f t="shared" si="0"/>
        <v>Yes</v>
      </c>
      <c r="I353" s="4" t="str">
        <f t="shared" si="1"/>
        <v>TN</v>
      </c>
    </row>
    <row r="354" spans="1:9" ht="14.6" x14ac:dyDescent="0.4">
      <c r="A354" s="8" t="s">
        <v>30</v>
      </c>
      <c r="B354" s="8" t="s">
        <v>37</v>
      </c>
      <c r="C354" s="8" t="s">
        <v>31</v>
      </c>
      <c r="D354" s="8" t="s">
        <v>38</v>
      </c>
      <c r="E354" s="8" t="s">
        <v>12</v>
      </c>
      <c r="F354" s="8" t="s">
        <v>1520</v>
      </c>
      <c r="G354" s="8" t="s">
        <v>1520</v>
      </c>
      <c r="H354" s="23" t="str">
        <f t="shared" si="0"/>
        <v>Yes</v>
      </c>
      <c r="I354" s="4" t="str">
        <f t="shared" si="1"/>
        <v>TN</v>
      </c>
    </row>
    <row r="355" spans="1:9" ht="14.6" x14ac:dyDescent="0.4">
      <c r="A355" s="8" t="s">
        <v>30</v>
      </c>
      <c r="B355" s="8" t="s">
        <v>59</v>
      </c>
      <c r="C355" s="8" t="s">
        <v>31</v>
      </c>
      <c r="D355" s="8" t="s">
        <v>60</v>
      </c>
      <c r="E355" s="8" t="s">
        <v>12</v>
      </c>
      <c r="F355" s="8" t="s">
        <v>1520</v>
      </c>
      <c r="G355" s="8" t="s">
        <v>1520</v>
      </c>
      <c r="H355" s="23" t="str">
        <f t="shared" si="0"/>
        <v>Yes</v>
      </c>
      <c r="I355" s="4" t="str">
        <f t="shared" si="1"/>
        <v>TN</v>
      </c>
    </row>
    <row r="356" spans="1:9" ht="14.6" x14ac:dyDescent="0.4">
      <c r="A356" s="8" t="s">
        <v>30</v>
      </c>
      <c r="B356" s="8" t="s">
        <v>1352</v>
      </c>
      <c r="C356" s="8" t="s">
        <v>31</v>
      </c>
      <c r="D356" s="8" t="s">
        <v>1353</v>
      </c>
      <c r="E356" s="8" t="s">
        <v>12</v>
      </c>
      <c r="F356" s="8" t="s">
        <v>1520</v>
      </c>
      <c r="G356" s="8" t="s">
        <v>1520</v>
      </c>
      <c r="H356" s="23" t="str">
        <f t="shared" si="0"/>
        <v>Yes</v>
      </c>
      <c r="I356" s="4" t="str">
        <f t="shared" si="1"/>
        <v>TN</v>
      </c>
    </row>
    <row r="357" spans="1:9" ht="14.6" x14ac:dyDescent="0.4">
      <c r="A357" s="8" t="s">
        <v>30</v>
      </c>
      <c r="B357" s="8" t="s">
        <v>1424</v>
      </c>
      <c r="C357" s="8" t="s">
        <v>31</v>
      </c>
      <c r="D357" s="8" t="s">
        <v>1359</v>
      </c>
      <c r="E357" s="8" t="s">
        <v>12</v>
      </c>
      <c r="F357" s="8" t="s">
        <v>1520</v>
      </c>
      <c r="G357" s="8" t="s">
        <v>1520</v>
      </c>
      <c r="H357" s="23" t="str">
        <f t="shared" si="0"/>
        <v>Yes</v>
      </c>
      <c r="I357" s="4" t="str">
        <f t="shared" si="1"/>
        <v>TN</v>
      </c>
    </row>
    <row r="358" spans="1:9" ht="14.6" x14ac:dyDescent="0.4">
      <c r="A358" s="8" t="s">
        <v>30</v>
      </c>
      <c r="B358" s="8" t="s">
        <v>1034</v>
      </c>
      <c r="C358" s="8" t="s">
        <v>31</v>
      </c>
      <c r="D358" s="8" t="s">
        <v>1035</v>
      </c>
      <c r="E358" s="8" t="s">
        <v>12</v>
      </c>
      <c r="F358" s="8" t="s">
        <v>1520</v>
      </c>
      <c r="G358" s="8" t="s">
        <v>1520</v>
      </c>
      <c r="H358" s="23" t="str">
        <f t="shared" si="0"/>
        <v>Yes</v>
      </c>
      <c r="I358" s="4" t="str">
        <f t="shared" si="1"/>
        <v>TN</v>
      </c>
    </row>
    <row r="359" spans="1:9" ht="14.6" x14ac:dyDescent="0.4">
      <c r="A359" s="8" t="s">
        <v>30</v>
      </c>
      <c r="B359" s="8" t="s">
        <v>1079</v>
      </c>
      <c r="C359" s="8" t="s">
        <v>31</v>
      </c>
      <c r="D359" s="8" t="s">
        <v>1080</v>
      </c>
      <c r="E359" s="8" t="s">
        <v>12</v>
      </c>
      <c r="F359" s="8" t="s">
        <v>1520</v>
      </c>
      <c r="G359" s="8" t="s">
        <v>1520</v>
      </c>
      <c r="H359" s="23" t="str">
        <f t="shared" si="0"/>
        <v>Yes</v>
      </c>
      <c r="I359" s="4" t="str">
        <f t="shared" si="1"/>
        <v>TN</v>
      </c>
    </row>
    <row r="360" spans="1:9" ht="14.6" x14ac:dyDescent="0.4">
      <c r="A360" s="8" t="s">
        <v>37</v>
      </c>
      <c r="B360" s="8" t="s">
        <v>59</v>
      </c>
      <c r="C360" s="8" t="s">
        <v>38</v>
      </c>
      <c r="D360" s="8" t="s">
        <v>60</v>
      </c>
      <c r="E360" s="8" t="s">
        <v>12</v>
      </c>
      <c r="F360" s="8" t="s">
        <v>1520</v>
      </c>
      <c r="G360" s="8" t="s">
        <v>1520</v>
      </c>
      <c r="H360" s="23" t="str">
        <f t="shared" si="0"/>
        <v>Yes</v>
      </c>
      <c r="I360" s="4" t="str">
        <f t="shared" si="1"/>
        <v>TN</v>
      </c>
    </row>
    <row r="361" spans="1:9" ht="14.6" x14ac:dyDescent="0.4">
      <c r="A361" s="8" t="s">
        <v>37</v>
      </c>
      <c r="B361" s="8" t="s">
        <v>1352</v>
      </c>
      <c r="C361" s="8" t="s">
        <v>38</v>
      </c>
      <c r="D361" s="8" t="s">
        <v>1353</v>
      </c>
      <c r="E361" s="8" t="s">
        <v>12</v>
      </c>
      <c r="F361" s="8" t="s">
        <v>1520</v>
      </c>
      <c r="G361" s="8" t="s">
        <v>1520</v>
      </c>
      <c r="H361" s="23" t="str">
        <f t="shared" si="0"/>
        <v>Yes</v>
      </c>
      <c r="I361" s="4" t="str">
        <f t="shared" si="1"/>
        <v>TN</v>
      </c>
    </row>
    <row r="362" spans="1:9" ht="14.6" x14ac:dyDescent="0.4">
      <c r="A362" s="8" t="s">
        <v>37</v>
      </c>
      <c r="B362" s="8" t="s">
        <v>1424</v>
      </c>
      <c r="C362" s="8" t="s">
        <v>38</v>
      </c>
      <c r="D362" s="8" t="s">
        <v>1359</v>
      </c>
      <c r="E362" s="8" t="s">
        <v>12</v>
      </c>
      <c r="F362" s="8" t="s">
        <v>1520</v>
      </c>
      <c r="G362" s="8" t="s">
        <v>1520</v>
      </c>
      <c r="H362" s="23" t="str">
        <f t="shared" si="0"/>
        <v>Yes</v>
      </c>
      <c r="I362" s="4" t="str">
        <f t="shared" si="1"/>
        <v>TN</v>
      </c>
    </row>
    <row r="363" spans="1:9" ht="14.6" x14ac:dyDescent="0.4">
      <c r="A363" s="8" t="s">
        <v>37</v>
      </c>
      <c r="B363" s="8" t="s">
        <v>1034</v>
      </c>
      <c r="C363" s="8" t="s">
        <v>38</v>
      </c>
      <c r="D363" s="8" t="s">
        <v>1035</v>
      </c>
      <c r="E363" s="8" t="s">
        <v>12</v>
      </c>
      <c r="F363" s="8" t="s">
        <v>1520</v>
      </c>
      <c r="G363" s="8" t="s">
        <v>1520</v>
      </c>
      <c r="H363" s="23" t="str">
        <f t="shared" si="0"/>
        <v>Yes</v>
      </c>
      <c r="I363" s="4" t="str">
        <f t="shared" si="1"/>
        <v>TN</v>
      </c>
    </row>
    <row r="364" spans="1:9" ht="14.6" x14ac:dyDescent="0.4">
      <c r="A364" s="8" t="s">
        <v>37</v>
      </c>
      <c r="B364" s="8" t="s">
        <v>1079</v>
      </c>
      <c r="C364" s="8" t="s">
        <v>38</v>
      </c>
      <c r="D364" s="8" t="s">
        <v>1080</v>
      </c>
      <c r="E364" s="8" t="s">
        <v>12</v>
      </c>
      <c r="F364" s="8" t="s">
        <v>1520</v>
      </c>
      <c r="G364" s="8" t="s">
        <v>1520</v>
      </c>
      <c r="H364" s="23" t="str">
        <f t="shared" si="0"/>
        <v>Yes</v>
      </c>
      <c r="I364" s="4" t="str">
        <f t="shared" si="1"/>
        <v>TN</v>
      </c>
    </row>
    <row r="365" spans="1:9" ht="14.6" x14ac:dyDescent="0.4">
      <c r="A365" s="8" t="s">
        <v>59</v>
      </c>
      <c r="B365" s="8" t="s">
        <v>1352</v>
      </c>
      <c r="C365" s="8" t="s">
        <v>60</v>
      </c>
      <c r="D365" s="8" t="s">
        <v>1353</v>
      </c>
      <c r="E365" s="8" t="s">
        <v>12</v>
      </c>
      <c r="F365" s="8" t="s">
        <v>1520</v>
      </c>
      <c r="G365" s="8" t="s">
        <v>1520</v>
      </c>
      <c r="H365" s="23" t="str">
        <f t="shared" si="0"/>
        <v>Yes</v>
      </c>
      <c r="I365" s="4" t="str">
        <f t="shared" si="1"/>
        <v>TN</v>
      </c>
    </row>
    <row r="366" spans="1:9" ht="14.6" x14ac:dyDescent="0.4">
      <c r="A366" s="8" t="s">
        <v>59</v>
      </c>
      <c r="B366" s="8" t="s">
        <v>1424</v>
      </c>
      <c r="C366" s="8" t="s">
        <v>60</v>
      </c>
      <c r="D366" s="8" t="s">
        <v>1359</v>
      </c>
      <c r="E366" s="8" t="s">
        <v>12</v>
      </c>
      <c r="F366" s="8" t="s">
        <v>1520</v>
      </c>
      <c r="G366" s="8" t="s">
        <v>1520</v>
      </c>
      <c r="H366" s="23" t="str">
        <f t="shared" si="0"/>
        <v>Yes</v>
      </c>
      <c r="I366" s="4" t="str">
        <f t="shared" si="1"/>
        <v>TN</v>
      </c>
    </row>
    <row r="367" spans="1:9" ht="14.6" x14ac:dyDescent="0.4">
      <c r="A367" s="8" t="s">
        <v>59</v>
      </c>
      <c r="B367" s="8" t="s">
        <v>1034</v>
      </c>
      <c r="C367" s="8" t="s">
        <v>60</v>
      </c>
      <c r="D367" s="8" t="s">
        <v>1035</v>
      </c>
      <c r="E367" s="8" t="s">
        <v>12</v>
      </c>
      <c r="F367" s="8" t="s">
        <v>1520</v>
      </c>
      <c r="G367" s="8" t="s">
        <v>1520</v>
      </c>
      <c r="H367" s="23" t="str">
        <f t="shared" si="0"/>
        <v>Yes</v>
      </c>
      <c r="I367" s="4" t="str">
        <f t="shared" si="1"/>
        <v>TN</v>
      </c>
    </row>
    <row r="368" spans="1:9" ht="14.6" x14ac:dyDescent="0.4">
      <c r="A368" s="8" t="s">
        <v>59</v>
      </c>
      <c r="B368" s="8" t="s">
        <v>1079</v>
      </c>
      <c r="C368" s="8" t="s">
        <v>60</v>
      </c>
      <c r="D368" s="8" t="s">
        <v>1080</v>
      </c>
      <c r="E368" s="8" t="s">
        <v>12</v>
      </c>
      <c r="F368" s="8" t="s">
        <v>1520</v>
      </c>
      <c r="G368" s="8" t="s">
        <v>1520</v>
      </c>
      <c r="H368" s="23" t="str">
        <f t="shared" si="0"/>
        <v>Yes</v>
      </c>
      <c r="I368" s="4" t="str">
        <f t="shared" si="1"/>
        <v>TN</v>
      </c>
    </row>
    <row r="369" spans="1:9" ht="14.6" x14ac:dyDescent="0.4">
      <c r="A369" s="8" t="s">
        <v>1352</v>
      </c>
      <c r="B369" s="8" t="s">
        <v>1034</v>
      </c>
      <c r="C369" s="8" t="s">
        <v>1353</v>
      </c>
      <c r="D369" s="8" t="s">
        <v>1035</v>
      </c>
      <c r="E369" s="8" t="s">
        <v>12</v>
      </c>
      <c r="F369" s="8" t="s">
        <v>1520</v>
      </c>
      <c r="G369" s="8" t="s">
        <v>1520</v>
      </c>
      <c r="H369" s="23" t="str">
        <f t="shared" si="0"/>
        <v>Yes</v>
      </c>
      <c r="I369" s="4" t="str">
        <f t="shared" si="1"/>
        <v>TN</v>
      </c>
    </row>
    <row r="370" spans="1:9" ht="14.6" x14ac:dyDescent="0.4">
      <c r="A370" s="8" t="s">
        <v>1352</v>
      </c>
      <c r="B370" s="8" t="s">
        <v>1079</v>
      </c>
      <c r="C370" s="8" t="s">
        <v>1353</v>
      </c>
      <c r="D370" s="8" t="s">
        <v>1080</v>
      </c>
      <c r="E370" s="8" t="s">
        <v>12</v>
      </c>
      <c r="F370" s="8" t="s">
        <v>1520</v>
      </c>
      <c r="G370" s="8" t="s">
        <v>1520</v>
      </c>
      <c r="H370" s="23" t="str">
        <f t="shared" si="0"/>
        <v>Yes</v>
      </c>
      <c r="I370" s="4" t="str">
        <f t="shared" si="1"/>
        <v>TN</v>
      </c>
    </row>
    <row r="371" spans="1:9" ht="14.6" x14ac:dyDescent="0.4">
      <c r="A371" s="8" t="s">
        <v>1424</v>
      </c>
      <c r="B371" s="8" t="s">
        <v>1034</v>
      </c>
      <c r="C371" s="8" t="s">
        <v>1359</v>
      </c>
      <c r="D371" s="8" t="s">
        <v>1035</v>
      </c>
      <c r="E371" s="8" t="s">
        <v>12</v>
      </c>
      <c r="F371" s="8" t="s">
        <v>1520</v>
      </c>
      <c r="G371" s="8" t="s">
        <v>1520</v>
      </c>
      <c r="H371" s="23" t="str">
        <f t="shared" si="0"/>
        <v>Yes</v>
      </c>
      <c r="I371" s="4" t="str">
        <f t="shared" si="1"/>
        <v>TN</v>
      </c>
    </row>
    <row r="372" spans="1:9" ht="14.6" x14ac:dyDescent="0.4">
      <c r="A372" s="8" t="s">
        <v>1424</v>
      </c>
      <c r="B372" s="8" t="s">
        <v>1079</v>
      </c>
      <c r="C372" s="8" t="s">
        <v>1359</v>
      </c>
      <c r="D372" s="8" t="s">
        <v>1080</v>
      </c>
      <c r="E372" s="8" t="s">
        <v>12</v>
      </c>
      <c r="F372" s="8" t="s">
        <v>1520</v>
      </c>
      <c r="G372" s="8" t="s">
        <v>1520</v>
      </c>
      <c r="H372" s="23" t="str">
        <f t="shared" si="0"/>
        <v>Yes</v>
      </c>
      <c r="I372" s="4" t="str">
        <f t="shared" si="1"/>
        <v>TN</v>
      </c>
    </row>
    <row r="373" spans="1:9" ht="14.15" x14ac:dyDescent="0.35">
      <c r="H373" s="7"/>
    </row>
    <row r="374" spans="1:9" ht="14.15" x14ac:dyDescent="0.35">
      <c r="H374" s="7"/>
    </row>
    <row r="375" spans="1:9" ht="14.15" x14ac:dyDescent="0.35">
      <c r="H375" s="7"/>
    </row>
    <row r="376" spans="1:9" ht="14.15" x14ac:dyDescent="0.35">
      <c r="H376" s="7"/>
    </row>
    <row r="377" spans="1:9" ht="14.15" x14ac:dyDescent="0.35">
      <c r="H377" s="7"/>
    </row>
    <row r="378" spans="1:9" ht="14.15" x14ac:dyDescent="0.35">
      <c r="H378" s="7"/>
    </row>
    <row r="379" spans="1:9" ht="14.15" x14ac:dyDescent="0.35">
      <c r="H379" s="7"/>
    </row>
    <row r="380" spans="1:9" ht="14.15" x14ac:dyDescent="0.35">
      <c r="H380" s="7"/>
    </row>
    <row r="381" spans="1:9" ht="14.15" x14ac:dyDescent="0.35">
      <c r="H381" s="7"/>
    </row>
    <row r="382" spans="1:9" ht="14.15" x14ac:dyDescent="0.35">
      <c r="H382" s="7"/>
    </row>
    <row r="383" spans="1:9" ht="14.15" x14ac:dyDescent="0.35">
      <c r="H383" s="7"/>
    </row>
    <row r="384" spans="1:9" ht="14.15" x14ac:dyDescent="0.35">
      <c r="H384" s="7"/>
    </row>
    <row r="385" spans="8:8" ht="14.15" x14ac:dyDescent="0.35">
      <c r="H385" s="7"/>
    </row>
    <row r="386" spans="8:8" ht="14.15" x14ac:dyDescent="0.35">
      <c r="H386" s="7"/>
    </row>
    <row r="387" spans="8:8" ht="14.15" x14ac:dyDescent="0.35">
      <c r="H387" s="7"/>
    </row>
    <row r="388" spans="8:8" ht="14.15" x14ac:dyDescent="0.35">
      <c r="H388" s="7"/>
    </row>
    <row r="389" spans="8:8" ht="14.15" x14ac:dyDescent="0.35">
      <c r="H389" s="7"/>
    </row>
    <row r="390" spans="8:8" ht="14.15" x14ac:dyDescent="0.35">
      <c r="H390" s="7"/>
    </row>
    <row r="391" spans="8:8" ht="14.15" x14ac:dyDescent="0.35">
      <c r="H391" s="7"/>
    </row>
    <row r="392" spans="8:8" ht="14.15" x14ac:dyDescent="0.35">
      <c r="H392" s="7"/>
    </row>
    <row r="393" spans="8:8" ht="14.15" x14ac:dyDescent="0.35">
      <c r="H393" s="7"/>
    </row>
    <row r="394" spans="8:8" ht="14.15" x14ac:dyDescent="0.35">
      <c r="H394" s="7"/>
    </row>
    <row r="395" spans="8:8" ht="14.15" x14ac:dyDescent="0.35">
      <c r="H395" s="7"/>
    </row>
    <row r="396" spans="8:8" ht="14.15" x14ac:dyDescent="0.35">
      <c r="H396" s="7"/>
    </row>
    <row r="397" spans="8:8" ht="14.15" x14ac:dyDescent="0.35">
      <c r="H397" s="7"/>
    </row>
    <row r="398" spans="8:8" ht="14.15" x14ac:dyDescent="0.35">
      <c r="H398" s="7"/>
    </row>
    <row r="399" spans="8:8" ht="14.15" x14ac:dyDescent="0.35">
      <c r="H399" s="7"/>
    </row>
    <row r="400" spans="8:8" ht="14.15" x14ac:dyDescent="0.35">
      <c r="H400" s="7"/>
    </row>
    <row r="401" spans="8:8" ht="14.15" x14ac:dyDescent="0.35">
      <c r="H401" s="7"/>
    </row>
    <row r="402" spans="8:8" ht="14.15" x14ac:dyDescent="0.35">
      <c r="H402" s="7"/>
    </row>
    <row r="403" spans="8:8" ht="14.15" x14ac:dyDescent="0.35">
      <c r="H403" s="7"/>
    </row>
    <row r="404" spans="8:8" ht="14.15" x14ac:dyDescent="0.35">
      <c r="H404" s="7"/>
    </row>
    <row r="405" spans="8:8" ht="14.15" x14ac:dyDescent="0.35">
      <c r="H405" s="7"/>
    </row>
    <row r="406" spans="8:8" ht="14.15" x14ac:dyDescent="0.35">
      <c r="H406" s="7"/>
    </row>
    <row r="407" spans="8:8" ht="14.15" x14ac:dyDescent="0.35">
      <c r="H407" s="7"/>
    </row>
    <row r="408" spans="8:8" ht="14.15" x14ac:dyDescent="0.35">
      <c r="H408" s="7"/>
    </row>
    <row r="409" spans="8:8" ht="14.15" x14ac:dyDescent="0.35">
      <c r="H409" s="7"/>
    </row>
    <row r="410" spans="8:8" ht="14.15" x14ac:dyDescent="0.35">
      <c r="H410" s="7"/>
    </row>
    <row r="411" spans="8:8" ht="14.15" x14ac:dyDescent="0.35">
      <c r="H411" s="7"/>
    </row>
    <row r="412" spans="8:8" ht="14.15" x14ac:dyDescent="0.35">
      <c r="H412" s="7"/>
    </row>
    <row r="413" spans="8:8" ht="14.15" x14ac:dyDescent="0.35">
      <c r="H413" s="7"/>
    </row>
    <row r="414" spans="8:8" ht="14.15" x14ac:dyDescent="0.35">
      <c r="H414" s="7"/>
    </row>
    <row r="415" spans="8:8" ht="14.15" x14ac:dyDescent="0.35">
      <c r="H415" s="7"/>
    </row>
    <row r="416" spans="8:8" ht="14.15" x14ac:dyDescent="0.35">
      <c r="H416" s="7"/>
    </row>
    <row r="417" spans="8:8" ht="14.15" x14ac:dyDescent="0.35">
      <c r="H417" s="7"/>
    </row>
    <row r="418" spans="8:8" ht="14.15" x14ac:dyDescent="0.35">
      <c r="H418" s="7"/>
    </row>
    <row r="419" spans="8:8" ht="14.15" x14ac:dyDescent="0.35">
      <c r="H419" s="7"/>
    </row>
    <row r="420" spans="8:8" ht="14.15" x14ac:dyDescent="0.35">
      <c r="H420" s="7"/>
    </row>
    <row r="421" spans="8:8" ht="14.15" x14ac:dyDescent="0.35">
      <c r="H421" s="7"/>
    </row>
    <row r="422" spans="8:8" ht="14.15" x14ac:dyDescent="0.35">
      <c r="H422" s="7"/>
    </row>
    <row r="423" spans="8:8" ht="14.15" x14ac:dyDescent="0.35">
      <c r="H423" s="7"/>
    </row>
    <row r="424" spans="8:8" ht="14.15" x14ac:dyDescent="0.35">
      <c r="H424" s="7"/>
    </row>
    <row r="425" spans="8:8" ht="14.15" x14ac:dyDescent="0.35">
      <c r="H425" s="7"/>
    </row>
    <row r="426" spans="8:8" ht="14.15" x14ac:dyDescent="0.35">
      <c r="H426" s="7"/>
    </row>
    <row r="427" spans="8:8" ht="14.15" x14ac:dyDescent="0.35">
      <c r="H427" s="7"/>
    </row>
    <row r="428" spans="8:8" ht="14.15" x14ac:dyDescent="0.35">
      <c r="H428" s="7"/>
    </row>
    <row r="429" spans="8:8" ht="14.15" x14ac:dyDescent="0.35">
      <c r="H429" s="7"/>
    </row>
    <row r="430" spans="8:8" ht="14.15" x14ac:dyDescent="0.35">
      <c r="H430" s="7"/>
    </row>
    <row r="431" spans="8:8" ht="14.15" x14ac:dyDescent="0.35">
      <c r="H431" s="7"/>
    </row>
    <row r="432" spans="8:8" ht="14.15" x14ac:dyDescent="0.35">
      <c r="H432" s="7"/>
    </row>
    <row r="433" spans="8:8" ht="14.15" x14ac:dyDescent="0.35">
      <c r="H433" s="7"/>
    </row>
    <row r="434" spans="8:8" ht="14.15" x14ac:dyDescent="0.35">
      <c r="H434" s="7"/>
    </row>
    <row r="435" spans="8:8" ht="14.15" x14ac:dyDescent="0.35">
      <c r="H435" s="7"/>
    </row>
    <row r="436" spans="8:8" ht="14.15" x14ac:dyDescent="0.35">
      <c r="H436" s="7"/>
    </row>
    <row r="437" spans="8:8" ht="14.15" x14ac:dyDescent="0.35">
      <c r="H437" s="7"/>
    </row>
    <row r="438" spans="8:8" ht="14.15" x14ac:dyDescent="0.35">
      <c r="H438" s="7"/>
    </row>
    <row r="439" spans="8:8" ht="14.15" x14ac:dyDescent="0.35">
      <c r="H439" s="7"/>
    </row>
    <row r="440" spans="8:8" ht="14.15" x14ac:dyDescent="0.35">
      <c r="H440" s="7"/>
    </row>
    <row r="441" spans="8:8" ht="14.15" x14ac:dyDescent="0.35">
      <c r="H441" s="7"/>
    </row>
    <row r="442" spans="8:8" ht="14.15" x14ac:dyDescent="0.35">
      <c r="H442" s="7"/>
    </row>
    <row r="443" spans="8:8" ht="14.15" x14ac:dyDescent="0.35">
      <c r="H443" s="7"/>
    </row>
    <row r="444" spans="8:8" ht="14.15" x14ac:dyDescent="0.35">
      <c r="H444" s="7"/>
    </row>
    <row r="445" spans="8:8" ht="14.15" x14ac:dyDescent="0.35">
      <c r="H445" s="7"/>
    </row>
    <row r="446" spans="8:8" ht="14.15" x14ac:dyDescent="0.35">
      <c r="H446" s="7"/>
    </row>
    <row r="447" spans="8:8" ht="14.15" x14ac:dyDescent="0.35">
      <c r="H447" s="7"/>
    </row>
    <row r="448" spans="8:8" ht="14.15" x14ac:dyDescent="0.35">
      <c r="H448" s="7"/>
    </row>
    <row r="449" spans="8:8" ht="14.15" x14ac:dyDescent="0.35">
      <c r="H449" s="7"/>
    </row>
    <row r="450" spans="8:8" ht="14.15" x14ac:dyDescent="0.35">
      <c r="H450" s="7"/>
    </row>
    <row r="451" spans="8:8" ht="14.15" x14ac:dyDescent="0.35">
      <c r="H451" s="7"/>
    </row>
    <row r="452" spans="8:8" ht="14.15" x14ac:dyDescent="0.35">
      <c r="H452" s="7"/>
    </row>
    <row r="453" spans="8:8" ht="14.15" x14ac:dyDescent="0.35">
      <c r="H453" s="7"/>
    </row>
    <row r="454" spans="8:8" ht="14.15" x14ac:dyDescent="0.35">
      <c r="H454" s="7"/>
    </row>
    <row r="455" spans="8:8" ht="14.15" x14ac:dyDescent="0.35">
      <c r="H455" s="7"/>
    </row>
    <row r="456" spans="8:8" ht="14.15" x14ac:dyDescent="0.35">
      <c r="H456" s="7"/>
    </row>
    <row r="457" spans="8:8" ht="14.15" x14ac:dyDescent="0.35">
      <c r="H457" s="7"/>
    </row>
    <row r="458" spans="8:8" ht="14.15" x14ac:dyDescent="0.35">
      <c r="H458" s="7"/>
    </row>
    <row r="459" spans="8:8" ht="14.15" x14ac:dyDescent="0.35">
      <c r="H459" s="7"/>
    </row>
    <row r="460" spans="8:8" ht="14.15" x14ac:dyDescent="0.35">
      <c r="H460" s="7"/>
    </row>
    <row r="461" spans="8:8" ht="14.15" x14ac:dyDescent="0.35">
      <c r="H461" s="7"/>
    </row>
    <row r="462" spans="8:8" ht="14.15" x14ac:dyDescent="0.35">
      <c r="H462" s="7"/>
    </row>
    <row r="463" spans="8:8" ht="14.15" x14ac:dyDescent="0.35">
      <c r="H463" s="7"/>
    </row>
    <row r="464" spans="8:8" ht="14.15" x14ac:dyDescent="0.35">
      <c r="H464" s="7"/>
    </row>
    <row r="465" spans="8:8" ht="14.15" x14ac:dyDescent="0.35">
      <c r="H465" s="7"/>
    </row>
    <row r="466" spans="8:8" ht="14.15" x14ac:dyDescent="0.35">
      <c r="H466" s="7"/>
    </row>
    <row r="467" spans="8:8" ht="14.15" x14ac:dyDescent="0.35">
      <c r="H467" s="7"/>
    </row>
    <row r="468" spans="8:8" ht="14.15" x14ac:dyDescent="0.35">
      <c r="H468" s="7"/>
    </row>
    <row r="469" spans="8:8" ht="14.15" x14ac:dyDescent="0.35">
      <c r="H469" s="7"/>
    </row>
    <row r="470" spans="8:8" ht="14.15" x14ac:dyDescent="0.35">
      <c r="H470" s="7"/>
    </row>
    <row r="471" spans="8:8" ht="14.15" x14ac:dyDescent="0.35">
      <c r="H471" s="7"/>
    </row>
    <row r="472" spans="8:8" ht="14.15" x14ac:dyDescent="0.35">
      <c r="H472" s="7"/>
    </row>
    <row r="473" spans="8:8" ht="14.15" x14ac:dyDescent="0.35">
      <c r="H473" s="7"/>
    </row>
    <row r="474" spans="8:8" ht="14.15" x14ac:dyDescent="0.35">
      <c r="H474" s="7"/>
    </row>
    <row r="475" spans="8:8" ht="14.15" x14ac:dyDescent="0.35">
      <c r="H475" s="7"/>
    </row>
    <row r="476" spans="8:8" ht="14.15" x14ac:dyDescent="0.35">
      <c r="H476" s="7"/>
    </row>
    <row r="477" spans="8:8" ht="14.15" x14ac:dyDescent="0.35">
      <c r="H477" s="7"/>
    </row>
    <row r="478" spans="8:8" ht="14.15" x14ac:dyDescent="0.35">
      <c r="H478" s="7"/>
    </row>
    <row r="479" spans="8:8" ht="14.15" x14ac:dyDescent="0.35">
      <c r="H479" s="7"/>
    </row>
    <row r="480" spans="8:8" ht="14.15" x14ac:dyDescent="0.35">
      <c r="H480" s="7"/>
    </row>
    <row r="481" spans="8:8" ht="14.15" x14ac:dyDescent="0.35">
      <c r="H481" s="7"/>
    </row>
    <row r="482" spans="8:8" ht="14.15" x14ac:dyDescent="0.35">
      <c r="H482" s="7"/>
    </row>
    <row r="483" spans="8:8" ht="14.15" x14ac:dyDescent="0.35">
      <c r="H483" s="7"/>
    </row>
    <row r="484" spans="8:8" ht="14.15" x14ac:dyDescent="0.35">
      <c r="H484" s="7"/>
    </row>
    <row r="485" spans="8:8" ht="14.15" x14ac:dyDescent="0.35">
      <c r="H485" s="7"/>
    </row>
    <row r="486" spans="8:8" ht="14.15" x14ac:dyDescent="0.35">
      <c r="H486" s="7"/>
    </row>
    <row r="487" spans="8:8" ht="14.15" x14ac:dyDescent="0.35">
      <c r="H487" s="7"/>
    </row>
    <row r="488" spans="8:8" ht="14.15" x14ac:dyDescent="0.35">
      <c r="H488" s="7"/>
    </row>
    <row r="489" spans="8:8" ht="14.15" x14ac:dyDescent="0.35">
      <c r="H489" s="7"/>
    </row>
    <row r="490" spans="8:8" ht="14.15" x14ac:dyDescent="0.35">
      <c r="H490" s="7"/>
    </row>
    <row r="491" spans="8:8" ht="14.15" x14ac:dyDescent="0.35">
      <c r="H491" s="7"/>
    </row>
    <row r="492" spans="8:8" ht="14.15" x14ac:dyDescent="0.35">
      <c r="H492" s="7"/>
    </row>
    <row r="493" spans="8:8" ht="14.15" x14ac:dyDescent="0.35">
      <c r="H493" s="7"/>
    </row>
    <row r="494" spans="8:8" ht="14.15" x14ac:dyDescent="0.35">
      <c r="H494" s="7"/>
    </row>
    <row r="495" spans="8:8" ht="14.15" x14ac:dyDescent="0.35">
      <c r="H495" s="7"/>
    </row>
    <row r="496" spans="8:8" ht="14.15" x14ac:dyDescent="0.35">
      <c r="H496" s="7"/>
    </row>
    <row r="497" spans="8:8" ht="14.15" x14ac:dyDescent="0.35">
      <c r="H497" s="7"/>
    </row>
    <row r="498" spans="8:8" ht="14.15" x14ac:dyDescent="0.35">
      <c r="H498" s="7"/>
    </row>
    <row r="499" spans="8:8" ht="14.15" x14ac:dyDescent="0.35">
      <c r="H499" s="7"/>
    </row>
    <row r="500" spans="8:8" ht="14.15" x14ac:dyDescent="0.35">
      <c r="H500" s="7"/>
    </row>
    <row r="501" spans="8:8" ht="14.15" x14ac:dyDescent="0.35">
      <c r="H501" s="7"/>
    </row>
    <row r="502" spans="8:8" ht="14.15" x14ac:dyDescent="0.35">
      <c r="H502" s="7"/>
    </row>
    <row r="503" spans="8:8" ht="14.15" x14ac:dyDescent="0.35">
      <c r="H503" s="7"/>
    </row>
    <row r="504" spans="8:8" ht="14.15" x14ac:dyDescent="0.35">
      <c r="H504" s="7"/>
    </row>
    <row r="505" spans="8:8" ht="14.15" x14ac:dyDescent="0.35">
      <c r="H505" s="7"/>
    </row>
    <row r="506" spans="8:8" ht="14.15" x14ac:dyDescent="0.35">
      <c r="H506" s="7"/>
    </row>
    <row r="507" spans="8:8" ht="14.15" x14ac:dyDescent="0.35">
      <c r="H507" s="7"/>
    </row>
    <row r="508" spans="8:8" ht="14.15" x14ac:dyDescent="0.35">
      <c r="H508" s="7"/>
    </row>
    <row r="509" spans="8:8" ht="14.15" x14ac:dyDescent="0.35">
      <c r="H509" s="7"/>
    </row>
    <row r="510" spans="8:8" ht="14.15" x14ac:dyDescent="0.35">
      <c r="H510" s="7"/>
    </row>
    <row r="511" spans="8:8" ht="14.15" x14ac:dyDescent="0.35">
      <c r="H511" s="7"/>
    </row>
    <row r="512" spans="8:8" ht="14.15" x14ac:dyDescent="0.35">
      <c r="H512" s="7"/>
    </row>
    <row r="513" spans="8:8" ht="14.15" x14ac:dyDescent="0.35">
      <c r="H513" s="7"/>
    </row>
    <row r="514" spans="8:8" ht="14.15" x14ac:dyDescent="0.35">
      <c r="H514" s="7"/>
    </row>
    <row r="515" spans="8:8" ht="14.15" x14ac:dyDescent="0.35">
      <c r="H515" s="7"/>
    </row>
    <row r="516" spans="8:8" ht="14.15" x14ac:dyDescent="0.35">
      <c r="H516" s="7"/>
    </row>
    <row r="517" spans="8:8" ht="14.15" x14ac:dyDescent="0.35">
      <c r="H517" s="7"/>
    </row>
    <row r="518" spans="8:8" ht="14.15" x14ac:dyDescent="0.35">
      <c r="H518" s="7"/>
    </row>
    <row r="519" spans="8:8" ht="14.15" x14ac:dyDescent="0.35">
      <c r="H519" s="7"/>
    </row>
    <row r="520" spans="8:8" ht="14.15" x14ac:dyDescent="0.35">
      <c r="H520" s="7"/>
    </row>
    <row r="521" spans="8:8" ht="14.15" x14ac:dyDescent="0.35">
      <c r="H521" s="7"/>
    </row>
    <row r="522" spans="8:8" ht="14.15" x14ac:dyDescent="0.35">
      <c r="H522" s="7"/>
    </row>
    <row r="523" spans="8:8" ht="14.15" x14ac:dyDescent="0.35">
      <c r="H523" s="7"/>
    </row>
    <row r="524" spans="8:8" ht="14.15" x14ac:dyDescent="0.35">
      <c r="H524" s="7"/>
    </row>
    <row r="525" spans="8:8" ht="14.15" x14ac:dyDescent="0.35">
      <c r="H525" s="7"/>
    </row>
    <row r="526" spans="8:8" ht="14.15" x14ac:dyDescent="0.35">
      <c r="H526" s="7"/>
    </row>
    <row r="527" spans="8:8" ht="14.15" x14ac:dyDescent="0.35">
      <c r="H527" s="7"/>
    </row>
    <row r="528" spans="8:8" ht="14.15" x14ac:dyDescent="0.35">
      <c r="H528" s="7"/>
    </row>
    <row r="529" spans="8:8" ht="14.15" x14ac:dyDescent="0.35">
      <c r="H529" s="7"/>
    </row>
    <row r="530" spans="8:8" ht="14.15" x14ac:dyDescent="0.35">
      <c r="H530" s="7"/>
    </row>
    <row r="531" spans="8:8" ht="14.15" x14ac:dyDescent="0.35">
      <c r="H531" s="7"/>
    </row>
    <row r="532" spans="8:8" ht="14.15" x14ac:dyDescent="0.35">
      <c r="H532" s="7"/>
    </row>
    <row r="533" spans="8:8" ht="14.15" x14ac:dyDescent="0.35">
      <c r="H533" s="7"/>
    </row>
    <row r="534" spans="8:8" ht="14.15" x14ac:dyDescent="0.35">
      <c r="H534" s="7"/>
    </row>
    <row r="535" spans="8:8" ht="14.15" x14ac:dyDescent="0.35">
      <c r="H535" s="7"/>
    </row>
    <row r="536" spans="8:8" ht="14.15" x14ac:dyDescent="0.35">
      <c r="H536" s="7"/>
    </row>
    <row r="537" spans="8:8" ht="14.15" x14ac:dyDescent="0.35">
      <c r="H537" s="7"/>
    </row>
    <row r="538" spans="8:8" ht="14.15" x14ac:dyDescent="0.35">
      <c r="H538" s="7"/>
    </row>
    <row r="539" spans="8:8" ht="14.15" x14ac:dyDescent="0.35">
      <c r="H539" s="7"/>
    </row>
    <row r="540" spans="8:8" ht="14.15" x14ac:dyDescent="0.35">
      <c r="H540" s="7"/>
    </row>
    <row r="541" spans="8:8" ht="14.15" x14ac:dyDescent="0.35">
      <c r="H541" s="7"/>
    </row>
    <row r="542" spans="8:8" ht="14.15" x14ac:dyDescent="0.35">
      <c r="H542" s="7"/>
    </row>
    <row r="543" spans="8:8" ht="14.15" x14ac:dyDescent="0.35">
      <c r="H543" s="7"/>
    </row>
    <row r="544" spans="8:8" ht="14.15" x14ac:dyDescent="0.35">
      <c r="H544" s="7"/>
    </row>
    <row r="545" spans="8:8" ht="14.15" x14ac:dyDescent="0.35">
      <c r="H545" s="7"/>
    </row>
    <row r="546" spans="8:8" ht="14.15" x14ac:dyDescent="0.35">
      <c r="H546" s="7"/>
    </row>
    <row r="547" spans="8:8" ht="14.15" x14ac:dyDescent="0.35">
      <c r="H547" s="7"/>
    </row>
    <row r="548" spans="8:8" ht="14.15" x14ac:dyDescent="0.35">
      <c r="H548" s="7"/>
    </row>
    <row r="549" spans="8:8" ht="14.15" x14ac:dyDescent="0.35">
      <c r="H549" s="7"/>
    </row>
    <row r="550" spans="8:8" ht="14.15" x14ac:dyDescent="0.35">
      <c r="H550" s="7"/>
    </row>
    <row r="551" spans="8:8" ht="14.15" x14ac:dyDescent="0.35">
      <c r="H551" s="7"/>
    </row>
    <row r="552" spans="8:8" ht="14.15" x14ac:dyDescent="0.35">
      <c r="H552" s="7"/>
    </row>
    <row r="553" spans="8:8" ht="14.15" x14ac:dyDescent="0.35">
      <c r="H553" s="7"/>
    </row>
    <row r="554" spans="8:8" ht="14.15" x14ac:dyDescent="0.35">
      <c r="H554" s="7"/>
    </row>
    <row r="555" spans="8:8" ht="14.15" x14ac:dyDescent="0.35">
      <c r="H555" s="7"/>
    </row>
    <row r="556" spans="8:8" ht="14.15" x14ac:dyDescent="0.35">
      <c r="H556" s="7"/>
    </row>
    <row r="557" spans="8:8" ht="14.15" x14ac:dyDescent="0.35">
      <c r="H557" s="7"/>
    </row>
    <row r="558" spans="8:8" ht="14.15" x14ac:dyDescent="0.35">
      <c r="H558" s="7"/>
    </row>
    <row r="559" spans="8:8" ht="14.15" x14ac:dyDescent="0.35">
      <c r="H559" s="7"/>
    </row>
    <row r="560" spans="8:8" ht="14.15" x14ac:dyDescent="0.35">
      <c r="H560" s="7"/>
    </row>
    <row r="561" spans="8:8" ht="14.15" x14ac:dyDescent="0.35">
      <c r="H561" s="7"/>
    </row>
    <row r="562" spans="8:8" ht="14.15" x14ac:dyDescent="0.35">
      <c r="H562" s="7"/>
    </row>
    <row r="563" spans="8:8" ht="14.15" x14ac:dyDescent="0.35">
      <c r="H563" s="7"/>
    </row>
    <row r="564" spans="8:8" ht="14.15" x14ac:dyDescent="0.35">
      <c r="H564" s="7"/>
    </row>
    <row r="565" spans="8:8" ht="14.15" x14ac:dyDescent="0.35">
      <c r="H565" s="7"/>
    </row>
    <row r="566" spans="8:8" ht="14.15" x14ac:dyDescent="0.35">
      <c r="H566" s="7"/>
    </row>
    <row r="567" spans="8:8" ht="14.15" x14ac:dyDescent="0.35">
      <c r="H567" s="7"/>
    </row>
    <row r="568" spans="8:8" ht="14.15" x14ac:dyDescent="0.35">
      <c r="H568" s="7"/>
    </row>
    <row r="569" spans="8:8" ht="14.15" x14ac:dyDescent="0.35">
      <c r="H569" s="7"/>
    </row>
    <row r="570" spans="8:8" ht="14.15" x14ac:dyDescent="0.35">
      <c r="H570" s="7"/>
    </row>
    <row r="571" spans="8:8" ht="14.15" x14ac:dyDescent="0.35">
      <c r="H571" s="7"/>
    </row>
    <row r="572" spans="8:8" ht="14.15" x14ac:dyDescent="0.35">
      <c r="H572" s="7"/>
    </row>
    <row r="573" spans="8:8" ht="14.15" x14ac:dyDescent="0.35">
      <c r="H573" s="7"/>
    </row>
    <row r="574" spans="8:8" ht="14.15" x14ac:dyDescent="0.35">
      <c r="H574" s="7"/>
    </row>
    <row r="575" spans="8:8" ht="14.15" x14ac:dyDescent="0.35">
      <c r="H575" s="7"/>
    </row>
    <row r="576" spans="8:8" ht="14.15" x14ac:dyDescent="0.35">
      <c r="H576" s="7"/>
    </row>
    <row r="577" spans="8:8" ht="14.15" x14ac:dyDescent="0.35">
      <c r="H577" s="7"/>
    </row>
    <row r="578" spans="8:8" ht="14.15" x14ac:dyDescent="0.35">
      <c r="H578" s="7"/>
    </row>
    <row r="579" spans="8:8" ht="14.15" x14ac:dyDescent="0.35">
      <c r="H579" s="7"/>
    </row>
    <row r="580" spans="8:8" ht="14.15" x14ac:dyDescent="0.35">
      <c r="H580" s="7"/>
    </row>
    <row r="581" spans="8:8" ht="14.15" x14ac:dyDescent="0.35">
      <c r="H581" s="7"/>
    </row>
    <row r="582" spans="8:8" ht="14.15" x14ac:dyDescent="0.35">
      <c r="H582" s="7"/>
    </row>
    <row r="583" spans="8:8" ht="14.15" x14ac:dyDescent="0.35">
      <c r="H583" s="7"/>
    </row>
    <row r="584" spans="8:8" ht="14.15" x14ac:dyDescent="0.35">
      <c r="H584" s="7"/>
    </row>
    <row r="585" spans="8:8" ht="14.15" x14ac:dyDescent="0.35">
      <c r="H585" s="7"/>
    </row>
    <row r="586" spans="8:8" ht="14.15" x14ac:dyDescent="0.35">
      <c r="H586" s="7"/>
    </row>
    <row r="587" spans="8:8" ht="14.15" x14ac:dyDescent="0.35">
      <c r="H587" s="7"/>
    </row>
    <row r="588" spans="8:8" ht="14.15" x14ac:dyDescent="0.35">
      <c r="H588" s="7"/>
    </row>
    <row r="589" spans="8:8" ht="14.15" x14ac:dyDescent="0.35">
      <c r="H589" s="7"/>
    </row>
    <row r="590" spans="8:8" ht="14.15" x14ac:dyDescent="0.35">
      <c r="H590" s="7"/>
    </row>
    <row r="591" spans="8:8" ht="14.15" x14ac:dyDescent="0.35">
      <c r="H591" s="7"/>
    </row>
    <row r="592" spans="8:8" ht="14.15" x14ac:dyDescent="0.35">
      <c r="H592" s="7"/>
    </row>
    <row r="593" spans="8:8" ht="14.15" x14ac:dyDescent="0.35">
      <c r="H593" s="7"/>
    </row>
    <row r="594" spans="8:8" ht="14.15" x14ac:dyDescent="0.35">
      <c r="H594" s="7"/>
    </row>
    <row r="595" spans="8:8" ht="14.15" x14ac:dyDescent="0.35">
      <c r="H595" s="7"/>
    </row>
    <row r="596" spans="8:8" ht="14.15" x14ac:dyDescent="0.35">
      <c r="H596" s="7"/>
    </row>
    <row r="597" spans="8:8" ht="14.15" x14ac:dyDescent="0.35">
      <c r="H597" s="7"/>
    </row>
    <row r="598" spans="8:8" ht="14.15" x14ac:dyDescent="0.35">
      <c r="H598" s="7"/>
    </row>
    <row r="599" spans="8:8" ht="14.15" x14ac:dyDescent="0.35">
      <c r="H599" s="7"/>
    </row>
    <row r="600" spans="8:8" ht="14.15" x14ac:dyDescent="0.35">
      <c r="H600" s="7"/>
    </row>
    <row r="601" spans="8:8" ht="14.15" x14ac:dyDescent="0.35">
      <c r="H601" s="7"/>
    </row>
    <row r="602" spans="8:8" ht="14.15" x14ac:dyDescent="0.35">
      <c r="H602" s="7"/>
    </row>
    <row r="603" spans="8:8" ht="14.15" x14ac:dyDescent="0.35">
      <c r="H603" s="7"/>
    </row>
    <row r="604" spans="8:8" ht="14.15" x14ac:dyDescent="0.35">
      <c r="H604" s="7"/>
    </row>
    <row r="605" spans="8:8" ht="14.15" x14ac:dyDescent="0.35">
      <c r="H605" s="7"/>
    </row>
    <row r="606" spans="8:8" ht="14.15" x14ac:dyDescent="0.35">
      <c r="H606" s="7"/>
    </row>
    <row r="607" spans="8:8" ht="14.15" x14ac:dyDescent="0.35">
      <c r="H607" s="7"/>
    </row>
    <row r="608" spans="8:8" ht="14.15" x14ac:dyDescent="0.35">
      <c r="H608" s="7"/>
    </row>
    <row r="609" spans="8:8" ht="14.15" x14ac:dyDescent="0.35">
      <c r="H609" s="7"/>
    </row>
    <row r="610" spans="8:8" ht="14.15" x14ac:dyDescent="0.35">
      <c r="H610" s="7"/>
    </row>
    <row r="611" spans="8:8" ht="14.15" x14ac:dyDescent="0.35">
      <c r="H611" s="7"/>
    </row>
    <row r="612" spans="8:8" ht="14.15" x14ac:dyDescent="0.35">
      <c r="H612" s="7"/>
    </row>
    <row r="613" spans="8:8" ht="14.15" x14ac:dyDescent="0.35">
      <c r="H613" s="7"/>
    </row>
    <row r="614" spans="8:8" ht="14.15" x14ac:dyDescent="0.35">
      <c r="H614" s="7"/>
    </row>
    <row r="615" spans="8:8" ht="14.15" x14ac:dyDescent="0.35">
      <c r="H615" s="7"/>
    </row>
    <row r="616" spans="8:8" ht="14.15" x14ac:dyDescent="0.35">
      <c r="H616" s="7"/>
    </row>
    <row r="617" spans="8:8" ht="14.15" x14ac:dyDescent="0.35">
      <c r="H617" s="7"/>
    </row>
    <row r="618" spans="8:8" ht="14.15" x14ac:dyDescent="0.35">
      <c r="H618" s="7"/>
    </row>
    <row r="619" spans="8:8" ht="14.15" x14ac:dyDescent="0.35">
      <c r="H619" s="7"/>
    </row>
    <row r="620" spans="8:8" ht="14.15" x14ac:dyDescent="0.35">
      <c r="H620" s="7"/>
    </row>
    <row r="621" spans="8:8" ht="14.15" x14ac:dyDescent="0.35">
      <c r="H621" s="7"/>
    </row>
    <row r="622" spans="8:8" ht="14.15" x14ac:dyDescent="0.35">
      <c r="H622" s="7"/>
    </row>
    <row r="623" spans="8:8" ht="14.15" x14ac:dyDescent="0.35">
      <c r="H623" s="7"/>
    </row>
    <row r="624" spans="8:8" ht="14.15" x14ac:dyDescent="0.35">
      <c r="H624" s="7"/>
    </row>
    <row r="625" spans="8:8" ht="14.15" x14ac:dyDescent="0.35">
      <c r="H625" s="7"/>
    </row>
    <row r="626" spans="8:8" ht="14.15" x14ac:dyDescent="0.35">
      <c r="H626" s="7"/>
    </row>
    <row r="627" spans="8:8" ht="14.15" x14ac:dyDescent="0.35">
      <c r="H627" s="7"/>
    </row>
    <row r="628" spans="8:8" ht="14.15" x14ac:dyDescent="0.35">
      <c r="H628" s="7"/>
    </row>
    <row r="629" spans="8:8" ht="14.15" x14ac:dyDescent="0.35">
      <c r="H629" s="7"/>
    </row>
    <row r="630" spans="8:8" ht="14.15" x14ac:dyDescent="0.35">
      <c r="H630" s="7"/>
    </row>
    <row r="631" spans="8:8" ht="14.15" x14ac:dyDescent="0.35">
      <c r="H631" s="7"/>
    </row>
    <row r="632" spans="8:8" ht="14.15" x14ac:dyDescent="0.35">
      <c r="H632" s="7"/>
    </row>
    <row r="633" spans="8:8" ht="14.15" x14ac:dyDescent="0.35">
      <c r="H633" s="7"/>
    </row>
    <row r="634" spans="8:8" ht="14.15" x14ac:dyDescent="0.35">
      <c r="H634" s="7"/>
    </row>
    <row r="635" spans="8:8" ht="14.15" x14ac:dyDescent="0.35">
      <c r="H635" s="7"/>
    </row>
    <row r="636" spans="8:8" ht="14.15" x14ac:dyDescent="0.35">
      <c r="H636" s="7"/>
    </row>
    <row r="637" spans="8:8" ht="14.15" x14ac:dyDescent="0.35">
      <c r="H637" s="7"/>
    </row>
    <row r="638" spans="8:8" ht="14.15" x14ac:dyDescent="0.35">
      <c r="H638" s="7"/>
    </row>
    <row r="639" spans="8:8" ht="14.15" x14ac:dyDescent="0.35">
      <c r="H639" s="7"/>
    </row>
    <row r="640" spans="8:8" ht="14.15" x14ac:dyDescent="0.35">
      <c r="H640" s="7"/>
    </row>
    <row r="641" spans="8:8" ht="14.15" x14ac:dyDescent="0.35">
      <c r="H641" s="7"/>
    </row>
    <row r="642" spans="8:8" ht="14.15" x14ac:dyDescent="0.35">
      <c r="H642" s="7"/>
    </row>
    <row r="643" spans="8:8" ht="14.15" x14ac:dyDescent="0.35">
      <c r="H643" s="7"/>
    </row>
    <row r="644" spans="8:8" ht="14.15" x14ac:dyDescent="0.35">
      <c r="H644" s="7"/>
    </row>
    <row r="645" spans="8:8" ht="14.15" x14ac:dyDescent="0.35">
      <c r="H645" s="7"/>
    </row>
    <row r="646" spans="8:8" ht="14.15" x14ac:dyDescent="0.35">
      <c r="H646" s="7"/>
    </row>
    <row r="647" spans="8:8" ht="14.15" x14ac:dyDescent="0.35">
      <c r="H647" s="7"/>
    </row>
    <row r="648" spans="8:8" ht="14.15" x14ac:dyDescent="0.35">
      <c r="H648" s="7"/>
    </row>
    <row r="649" spans="8:8" ht="14.15" x14ac:dyDescent="0.35">
      <c r="H649" s="7"/>
    </row>
    <row r="650" spans="8:8" ht="14.15" x14ac:dyDescent="0.35">
      <c r="H650" s="7"/>
    </row>
    <row r="651" spans="8:8" ht="14.15" x14ac:dyDescent="0.35">
      <c r="H651" s="7"/>
    </row>
    <row r="652" spans="8:8" ht="14.15" x14ac:dyDescent="0.35">
      <c r="H652" s="7"/>
    </row>
    <row r="653" spans="8:8" ht="14.15" x14ac:dyDescent="0.35">
      <c r="H653" s="7"/>
    </row>
    <row r="654" spans="8:8" ht="14.15" x14ac:dyDescent="0.35">
      <c r="H654" s="7"/>
    </row>
    <row r="655" spans="8:8" ht="14.15" x14ac:dyDescent="0.35">
      <c r="H655" s="7"/>
    </row>
    <row r="656" spans="8:8" ht="14.15" x14ac:dyDescent="0.35">
      <c r="H656" s="7"/>
    </row>
    <row r="657" spans="8:8" ht="14.15" x14ac:dyDescent="0.35">
      <c r="H657" s="7"/>
    </row>
    <row r="658" spans="8:8" ht="14.15" x14ac:dyDescent="0.35">
      <c r="H658" s="7"/>
    </row>
    <row r="659" spans="8:8" ht="14.15" x14ac:dyDescent="0.35">
      <c r="H659" s="7"/>
    </row>
    <row r="660" spans="8:8" ht="14.15" x14ac:dyDescent="0.35">
      <c r="H660" s="7"/>
    </row>
    <row r="661" spans="8:8" ht="14.15" x14ac:dyDescent="0.35">
      <c r="H661" s="7"/>
    </row>
    <row r="662" spans="8:8" ht="14.15" x14ac:dyDescent="0.35">
      <c r="H662" s="7"/>
    </row>
    <row r="663" spans="8:8" ht="14.15" x14ac:dyDescent="0.35">
      <c r="H663" s="7"/>
    </row>
    <row r="664" spans="8:8" ht="14.15" x14ac:dyDescent="0.35">
      <c r="H664" s="7"/>
    </row>
    <row r="665" spans="8:8" ht="14.15" x14ac:dyDescent="0.35">
      <c r="H665" s="7"/>
    </row>
    <row r="666" spans="8:8" ht="14.15" x14ac:dyDescent="0.35">
      <c r="H666" s="7"/>
    </row>
    <row r="667" spans="8:8" ht="14.15" x14ac:dyDescent="0.35">
      <c r="H667" s="7"/>
    </row>
    <row r="668" spans="8:8" ht="14.15" x14ac:dyDescent="0.35">
      <c r="H668" s="7"/>
    </row>
    <row r="669" spans="8:8" ht="14.15" x14ac:dyDescent="0.35">
      <c r="H669" s="7"/>
    </row>
    <row r="670" spans="8:8" ht="14.15" x14ac:dyDescent="0.35">
      <c r="H670" s="7"/>
    </row>
    <row r="671" spans="8:8" ht="14.15" x14ac:dyDescent="0.35">
      <c r="H671" s="7"/>
    </row>
    <row r="672" spans="8:8" ht="14.15" x14ac:dyDescent="0.35">
      <c r="H672" s="7"/>
    </row>
    <row r="673" spans="8:8" ht="14.15" x14ac:dyDescent="0.35">
      <c r="H673" s="7"/>
    </row>
    <row r="674" spans="8:8" ht="14.15" x14ac:dyDescent="0.35">
      <c r="H674" s="7"/>
    </row>
    <row r="675" spans="8:8" ht="14.15" x14ac:dyDescent="0.35">
      <c r="H675" s="7"/>
    </row>
    <row r="676" spans="8:8" ht="14.15" x14ac:dyDescent="0.35">
      <c r="H676" s="7"/>
    </row>
    <row r="677" spans="8:8" ht="14.15" x14ac:dyDescent="0.35">
      <c r="H677" s="7"/>
    </row>
    <row r="678" spans="8:8" ht="14.15" x14ac:dyDescent="0.35">
      <c r="H678" s="7"/>
    </row>
    <row r="679" spans="8:8" ht="14.15" x14ac:dyDescent="0.35">
      <c r="H679" s="7"/>
    </row>
    <row r="680" spans="8:8" ht="14.15" x14ac:dyDescent="0.35">
      <c r="H680" s="7"/>
    </row>
    <row r="681" spans="8:8" ht="14.15" x14ac:dyDescent="0.35">
      <c r="H681" s="7"/>
    </row>
    <row r="682" spans="8:8" ht="14.15" x14ac:dyDescent="0.35">
      <c r="H682" s="7"/>
    </row>
    <row r="683" spans="8:8" ht="14.15" x14ac:dyDescent="0.35">
      <c r="H683" s="7"/>
    </row>
    <row r="684" spans="8:8" ht="14.15" x14ac:dyDescent="0.35">
      <c r="H684" s="7"/>
    </row>
    <row r="685" spans="8:8" ht="14.15" x14ac:dyDescent="0.35">
      <c r="H685" s="7"/>
    </row>
    <row r="686" spans="8:8" ht="14.15" x14ac:dyDescent="0.35">
      <c r="H686" s="7"/>
    </row>
    <row r="687" spans="8:8" ht="14.15" x14ac:dyDescent="0.35">
      <c r="H687" s="7"/>
    </row>
    <row r="688" spans="8:8" ht="14.15" x14ac:dyDescent="0.35">
      <c r="H688" s="7"/>
    </row>
    <row r="689" spans="8:8" ht="14.15" x14ac:dyDescent="0.35">
      <c r="H689" s="7"/>
    </row>
    <row r="690" spans="8:8" ht="14.15" x14ac:dyDescent="0.35">
      <c r="H690" s="7"/>
    </row>
    <row r="691" spans="8:8" ht="14.15" x14ac:dyDescent="0.35">
      <c r="H691" s="7"/>
    </row>
    <row r="692" spans="8:8" ht="14.15" x14ac:dyDescent="0.35">
      <c r="H692" s="7"/>
    </row>
    <row r="693" spans="8:8" ht="14.15" x14ac:dyDescent="0.35">
      <c r="H693" s="7"/>
    </row>
    <row r="694" spans="8:8" ht="14.15" x14ac:dyDescent="0.35">
      <c r="H694" s="7"/>
    </row>
    <row r="695" spans="8:8" ht="14.15" x14ac:dyDescent="0.35">
      <c r="H695" s="7"/>
    </row>
    <row r="696" spans="8:8" ht="14.15" x14ac:dyDescent="0.35">
      <c r="H696" s="7"/>
    </row>
    <row r="697" spans="8:8" ht="14.15" x14ac:dyDescent="0.35">
      <c r="H697" s="7"/>
    </row>
    <row r="698" spans="8:8" ht="14.15" x14ac:dyDescent="0.35">
      <c r="H698" s="7"/>
    </row>
    <row r="699" spans="8:8" ht="14.15" x14ac:dyDescent="0.35">
      <c r="H699" s="7"/>
    </row>
    <row r="700" spans="8:8" ht="14.15" x14ac:dyDescent="0.35">
      <c r="H700" s="7"/>
    </row>
    <row r="701" spans="8:8" ht="14.15" x14ac:dyDescent="0.35">
      <c r="H701" s="7"/>
    </row>
    <row r="702" spans="8:8" ht="14.15" x14ac:dyDescent="0.35">
      <c r="H702" s="7"/>
    </row>
    <row r="703" spans="8:8" ht="14.15" x14ac:dyDescent="0.35">
      <c r="H703" s="7"/>
    </row>
    <row r="704" spans="8:8" ht="14.15" x14ac:dyDescent="0.35">
      <c r="H704" s="7"/>
    </row>
    <row r="705" spans="8:8" ht="14.15" x14ac:dyDescent="0.35">
      <c r="H705" s="7"/>
    </row>
    <row r="706" spans="8:8" ht="14.15" x14ac:dyDescent="0.35">
      <c r="H706" s="7"/>
    </row>
    <row r="707" spans="8:8" ht="14.15" x14ac:dyDescent="0.35">
      <c r="H707" s="7"/>
    </row>
    <row r="708" spans="8:8" ht="14.15" x14ac:dyDescent="0.35">
      <c r="H708" s="7"/>
    </row>
    <row r="709" spans="8:8" ht="14.15" x14ac:dyDescent="0.35">
      <c r="H709" s="7"/>
    </row>
    <row r="710" spans="8:8" ht="14.15" x14ac:dyDescent="0.35">
      <c r="H710" s="7"/>
    </row>
    <row r="711" spans="8:8" ht="14.15" x14ac:dyDescent="0.35">
      <c r="H711" s="7"/>
    </row>
    <row r="712" spans="8:8" ht="14.15" x14ac:dyDescent="0.35">
      <c r="H712" s="7"/>
    </row>
    <row r="713" spans="8:8" ht="14.15" x14ac:dyDescent="0.35">
      <c r="H713" s="7"/>
    </row>
    <row r="714" spans="8:8" ht="14.15" x14ac:dyDescent="0.35">
      <c r="H714" s="7"/>
    </row>
    <row r="715" spans="8:8" ht="14.15" x14ac:dyDescent="0.35">
      <c r="H715" s="7"/>
    </row>
    <row r="716" spans="8:8" ht="14.15" x14ac:dyDescent="0.35">
      <c r="H716" s="7"/>
    </row>
    <row r="717" spans="8:8" ht="14.15" x14ac:dyDescent="0.35">
      <c r="H717" s="7"/>
    </row>
    <row r="718" spans="8:8" ht="14.15" x14ac:dyDescent="0.35">
      <c r="H718" s="7"/>
    </row>
    <row r="719" spans="8:8" ht="14.15" x14ac:dyDescent="0.35">
      <c r="H719" s="7"/>
    </row>
    <row r="720" spans="8:8" ht="14.15" x14ac:dyDescent="0.35">
      <c r="H720" s="7"/>
    </row>
    <row r="721" spans="8:8" ht="14.15" x14ac:dyDescent="0.35">
      <c r="H721" s="7"/>
    </row>
    <row r="722" spans="8:8" ht="14.15" x14ac:dyDescent="0.35">
      <c r="H722" s="7"/>
    </row>
    <row r="723" spans="8:8" ht="14.15" x14ac:dyDescent="0.35">
      <c r="H723" s="7"/>
    </row>
    <row r="724" spans="8:8" ht="14.15" x14ac:dyDescent="0.35">
      <c r="H724" s="7"/>
    </row>
    <row r="725" spans="8:8" ht="14.15" x14ac:dyDescent="0.35">
      <c r="H725" s="7"/>
    </row>
    <row r="726" spans="8:8" ht="14.15" x14ac:dyDescent="0.35">
      <c r="H726" s="7"/>
    </row>
    <row r="727" spans="8:8" ht="14.15" x14ac:dyDescent="0.35">
      <c r="H727" s="7"/>
    </row>
    <row r="728" spans="8:8" ht="14.15" x14ac:dyDescent="0.35">
      <c r="H728" s="7"/>
    </row>
    <row r="729" spans="8:8" ht="14.15" x14ac:dyDescent="0.35">
      <c r="H729" s="7"/>
    </row>
    <row r="730" spans="8:8" ht="14.15" x14ac:dyDescent="0.35">
      <c r="H730" s="7"/>
    </row>
    <row r="731" spans="8:8" ht="14.15" x14ac:dyDescent="0.35">
      <c r="H731" s="7"/>
    </row>
    <row r="732" spans="8:8" ht="14.15" x14ac:dyDescent="0.35">
      <c r="H732" s="7"/>
    </row>
    <row r="733" spans="8:8" ht="14.15" x14ac:dyDescent="0.35">
      <c r="H733" s="7"/>
    </row>
    <row r="734" spans="8:8" ht="14.15" x14ac:dyDescent="0.35">
      <c r="H734" s="7"/>
    </row>
    <row r="735" spans="8:8" ht="14.15" x14ac:dyDescent="0.35">
      <c r="H735" s="7"/>
    </row>
    <row r="736" spans="8:8" ht="14.15" x14ac:dyDescent="0.35">
      <c r="H736" s="7"/>
    </row>
    <row r="737" spans="8:8" ht="14.15" x14ac:dyDescent="0.35">
      <c r="H737" s="7"/>
    </row>
    <row r="738" spans="8:8" ht="14.15" x14ac:dyDescent="0.35">
      <c r="H738" s="7"/>
    </row>
    <row r="739" spans="8:8" ht="14.15" x14ac:dyDescent="0.35">
      <c r="H739" s="7"/>
    </row>
    <row r="740" spans="8:8" ht="14.15" x14ac:dyDescent="0.35">
      <c r="H740" s="7"/>
    </row>
    <row r="741" spans="8:8" ht="14.15" x14ac:dyDescent="0.35">
      <c r="H741" s="7"/>
    </row>
    <row r="742" spans="8:8" ht="14.15" x14ac:dyDescent="0.35">
      <c r="H742" s="7"/>
    </row>
    <row r="743" spans="8:8" ht="14.15" x14ac:dyDescent="0.35">
      <c r="H743" s="7"/>
    </row>
    <row r="744" spans="8:8" ht="14.15" x14ac:dyDescent="0.35">
      <c r="H744" s="7"/>
    </row>
    <row r="745" spans="8:8" ht="14.15" x14ac:dyDescent="0.35">
      <c r="H745" s="7"/>
    </row>
    <row r="746" spans="8:8" ht="14.15" x14ac:dyDescent="0.35">
      <c r="H746" s="7"/>
    </row>
    <row r="747" spans="8:8" ht="14.15" x14ac:dyDescent="0.35">
      <c r="H747" s="7"/>
    </row>
    <row r="748" spans="8:8" ht="14.15" x14ac:dyDescent="0.35">
      <c r="H748" s="7"/>
    </row>
    <row r="749" spans="8:8" ht="14.15" x14ac:dyDescent="0.35">
      <c r="H749" s="7"/>
    </row>
    <row r="750" spans="8:8" ht="14.15" x14ac:dyDescent="0.35">
      <c r="H750" s="7"/>
    </row>
    <row r="751" spans="8:8" ht="14.15" x14ac:dyDescent="0.35">
      <c r="H751" s="7"/>
    </row>
    <row r="752" spans="8:8" ht="14.15" x14ac:dyDescent="0.35">
      <c r="H752" s="7"/>
    </row>
    <row r="753" spans="8:8" ht="14.15" x14ac:dyDescent="0.35">
      <c r="H753" s="7"/>
    </row>
    <row r="754" spans="8:8" ht="14.15" x14ac:dyDescent="0.35">
      <c r="H754" s="7"/>
    </row>
    <row r="755" spans="8:8" ht="14.15" x14ac:dyDescent="0.35">
      <c r="H755" s="7"/>
    </row>
    <row r="756" spans="8:8" ht="14.15" x14ac:dyDescent="0.35">
      <c r="H756" s="7"/>
    </row>
    <row r="757" spans="8:8" ht="14.15" x14ac:dyDescent="0.35">
      <c r="H757" s="7"/>
    </row>
    <row r="758" spans="8:8" ht="14.15" x14ac:dyDescent="0.35">
      <c r="H758" s="7"/>
    </row>
    <row r="759" spans="8:8" ht="14.15" x14ac:dyDescent="0.35">
      <c r="H759" s="7"/>
    </row>
    <row r="760" spans="8:8" ht="14.15" x14ac:dyDescent="0.35">
      <c r="H760" s="7"/>
    </row>
    <row r="761" spans="8:8" ht="14.15" x14ac:dyDescent="0.35">
      <c r="H761" s="7"/>
    </row>
    <row r="762" spans="8:8" ht="14.15" x14ac:dyDescent="0.35">
      <c r="H762" s="7"/>
    </row>
    <row r="763" spans="8:8" ht="14.15" x14ac:dyDescent="0.35">
      <c r="H763" s="7"/>
    </row>
    <row r="764" spans="8:8" ht="14.15" x14ac:dyDescent="0.35">
      <c r="H764" s="7"/>
    </row>
    <row r="765" spans="8:8" ht="14.15" x14ac:dyDescent="0.35">
      <c r="H765" s="7"/>
    </row>
    <row r="766" spans="8:8" ht="14.15" x14ac:dyDescent="0.35">
      <c r="H766" s="7"/>
    </row>
    <row r="767" spans="8:8" ht="14.15" x14ac:dyDescent="0.35">
      <c r="H767" s="7"/>
    </row>
    <row r="768" spans="8:8" ht="14.15" x14ac:dyDescent="0.35">
      <c r="H768" s="7"/>
    </row>
    <row r="769" spans="8:8" ht="14.15" x14ac:dyDescent="0.35">
      <c r="H769" s="7"/>
    </row>
    <row r="770" spans="8:8" ht="14.15" x14ac:dyDescent="0.35">
      <c r="H770" s="7"/>
    </row>
    <row r="771" spans="8:8" ht="14.15" x14ac:dyDescent="0.35">
      <c r="H771" s="7"/>
    </row>
    <row r="772" spans="8:8" ht="14.15" x14ac:dyDescent="0.35">
      <c r="H772" s="7"/>
    </row>
    <row r="773" spans="8:8" ht="14.15" x14ac:dyDescent="0.35">
      <c r="H773" s="7"/>
    </row>
    <row r="774" spans="8:8" ht="14.15" x14ac:dyDescent="0.35">
      <c r="H774" s="7"/>
    </row>
    <row r="775" spans="8:8" ht="14.15" x14ac:dyDescent="0.35">
      <c r="H775" s="7"/>
    </row>
    <row r="776" spans="8:8" ht="14.15" x14ac:dyDescent="0.35">
      <c r="H776" s="7"/>
    </row>
    <row r="777" spans="8:8" ht="14.15" x14ac:dyDescent="0.35">
      <c r="H777" s="7"/>
    </row>
    <row r="778" spans="8:8" ht="14.15" x14ac:dyDescent="0.35">
      <c r="H778" s="7"/>
    </row>
    <row r="779" spans="8:8" ht="14.15" x14ac:dyDescent="0.35">
      <c r="H779" s="7"/>
    </row>
    <row r="780" spans="8:8" ht="14.15" x14ac:dyDescent="0.35">
      <c r="H780" s="7"/>
    </row>
    <row r="781" spans="8:8" ht="14.15" x14ac:dyDescent="0.35">
      <c r="H781" s="7"/>
    </row>
    <row r="782" spans="8:8" ht="14.15" x14ac:dyDescent="0.35">
      <c r="H782" s="7"/>
    </row>
    <row r="783" spans="8:8" ht="14.15" x14ac:dyDescent="0.35">
      <c r="H783" s="7"/>
    </row>
    <row r="784" spans="8:8" ht="14.15" x14ac:dyDescent="0.35">
      <c r="H784" s="7"/>
    </row>
    <row r="785" spans="8:8" ht="14.15" x14ac:dyDescent="0.35">
      <c r="H785" s="7"/>
    </row>
    <row r="786" spans="8:8" ht="14.15" x14ac:dyDescent="0.35">
      <c r="H786" s="7"/>
    </row>
    <row r="787" spans="8:8" ht="14.15" x14ac:dyDescent="0.35">
      <c r="H787" s="7"/>
    </row>
    <row r="788" spans="8:8" ht="14.15" x14ac:dyDescent="0.35">
      <c r="H788" s="7"/>
    </row>
    <row r="789" spans="8:8" ht="14.15" x14ac:dyDescent="0.35">
      <c r="H789" s="7"/>
    </row>
    <row r="790" spans="8:8" ht="14.15" x14ac:dyDescent="0.35">
      <c r="H790" s="7"/>
    </row>
    <row r="791" spans="8:8" ht="14.15" x14ac:dyDescent="0.35">
      <c r="H791" s="7"/>
    </row>
    <row r="792" spans="8:8" ht="14.15" x14ac:dyDescent="0.35">
      <c r="H792" s="7"/>
    </row>
    <row r="793" spans="8:8" ht="14.15" x14ac:dyDescent="0.35">
      <c r="H793" s="7"/>
    </row>
    <row r="794" spans="8:8" ht="14.15" x14ac:dyDescent="0.35">
      <c r="H794" s="7"/>
    </row>
    <row r="795" spans="8:8" ht="14.15" x14ac:dyDescent="0.35">
      <c r="H795" s="7"/>
    </row>
    <row r="796" spans="8:8" ht="14.15" x14ac:dyDescent="0.35">
      <c r="H796" s="7"/>
    </row>
    <row r="797" spans="8:8" ht="14.15" x14ac:dyDescent="0.35">
      <c r="H797" s="7"/>
    </row>
    <row r="798" spans="8:8" ht="14.15" x14ac:dyDescent="0.35">
      <c r="H798" s="7"/>
    </row>
    <row r="799" spans="8:8" ht="14.15" x14ac:dyDescent="0.35">
      <c r="H799" s="7"/>
    </row>
    <row r="800" spans="8:8" ht="14.15" x14ac:dyDescent="0.35">
      <c r="H800" s="7"/>
    </row>
    <row r="801" spans="8:8" ht="14.15" x14ac:dyDescent="0.35">
      <c r="H801" s="7"/>
    </row>
    <row r="802" spans="8:8" ht="14.15" x14ac:dyDescent="0.35">
      <c r="H802" s="7"/>
    </row>
    <row r="803" spans="8:8" ht="14.15" x14ac:dyDescent="0.35">
      <c r="H803" s="7"/>
    </row>
    <row r="804" spans="8:8" ht="14.15" x14ac:dyDescent="0.35">
      <c r="H804" s="7"/>
    </row>
    <row r="805" spans="8:8" ht="14.15" x14ac:dyDescent="0.35">
      <c r="H805" s="7"/>
    </row>
    <row r="806" spans="8:8" ht="14.15" x14ac:dyDescent="0.35">
      <c r="H806" s="7"/>
    </row>
    <row r="807" spans="8:8" ht="14.15" x14ac:dyDescent="0.35">
      <c r="H807" s="7"/>
    </row>
    <row r="808" spans="8:8" ht="14.15" x14ac:dyDescent="0.35">
      <c r="H808" s="7"/>
    </row>
    <row r="809" spans="8:8" ht="14.15" x14ac:dyDescent="0.35">
      <c r="H809" s="7"/>
    </row>
    <row r="810" spans="8:8" ht="14.15" x14ac:dyDescent="0.35">
      <c r="H810" s="7"/>
    </row>
    <row r="811" spans="8:8" ht="14.15" x14ac:dyDescent="0.35">
      <c r="H811" s="7"/>
    </row>
    <row r="812" spans="8:8" ht="14.15" x14ac:dyDescent="0.35">
      <c r="H812" s="7"/>
    </row>
    <row r="813" spans="8:8" ht="14.15" x14ac:dyDescent="0.35">
      <c r="H813" s="7"/>
    </row>
    <row r="814" spans="8:8" ht="14.15" x14ac:dyDescent="0.35">
      <c r="H814" s="7"/>
    </row>
    <row r="815" spans="8:8" ht="14.15" x14ac:dyDescent="0.35">
      <c r="H815" s="7"/>
    </row>
    <row r="816" spans="8:8" ht="14.15" x14ac:dyDescent="0.35">
      <c r="H816" s="7"/>
    </row>
    <row r="817" spans="8:8" ht="14.15" x14ac:dyDescent="0.35">
      <c r="H817" s="7"/>
    </row>
    <row r="818" spans="8:8" ht="14.15" x14ac:dyDescent="0.35">
      <c r="H818" s="7"/>
    </row>
    <row r="819" spans="8:8" ht="14.15" x14ac:dyDescent="0.35">
      <c r="H819" s="7"/>
    </row>
    <row r="820" spans="8:8" ht="14.15" x14ac:dyDescent="0.35">
      <c r="H820" s="7"/>
    </row>
    <row r="821" spans="8:8" ht="14.15" x14ac:dyDescent="0.35">
      <c r="H821" s="7"/>
    </row>
    <row r="822" spans="8:8" ht="14.15" x14ac:dyDescent="0.35">
      <c r="H822" s="7"/>
    </row>
    <row r="823" spans="8:8" ht="14.15" x14ac:dyDescent="0.35">
      <c r="H823" s="7"/>
    </row>
    <row r="824" spans="8:8" ht="14.15" x14ac:dyDescent="0.35">
      <c r="H824" s="7"/>
    </row>
    <row r="825" spans="8:8" ht="14.15" x14ac:dyDescent="0.35">
      <c r="H825" s="7"/>
    </row>
    <row r="826" spans="8:8" ht="14.15" x14ac:dyDescent="0.35">
      <c r="H826" s="7"/>
    </row>
    <row r="827" spans="8:8" ht="14.15" x14ac:dyDescent="0.35">
      <c r="H827" s="7"/>
    </row>
    <row r="828" spans="8:8" ht="14.15" x14ac:dyDescent="0.35">
      <c r="H828" s="7"/>
    </row>
    <row r="829" spans="8:8" ht="14.15" x14ac:dyDescent="0.35">
      <c r="H829" s="7"/>
    </row>
    <row r="830" spans="8:8" ht="14.15" x14ac:dyDescent="0.35">
      <c r="H830" s="7"/>
    </row>
    <row r="831" spans="8:8" ht="14.15" x14ac:dyDescent="0.35">
      <c r="H831" s="7"/>
    </row>
    <row r="832" spans="8:8" ht="14.15" x14ac:dyDescent="0.35">
      <c r="H832" s="7"/>
    </row>
    <row r="833" spans="8:8" ht="14.15" x14ac:dyDescent="0.35">
      <c r="H833" s="7"/>
    </row>
    <row r="834" spans="8:8" ht="14.15" x14ac:dyDescent="0.35">
      <c r="H834" s="7"/>
    </row>
    <row r="835" spans="8:8" ht="14.15" x14ac:dyDescent="0.35">
      <c r="H835" s="7"/>
    </row>
    <row r="836" spans="8:8" ht="14.15" x14ac:dyDescent="0.35">
      <c r="H836" s="7"/>
    </row>
    <row r="837" spans="8:8" ht="14.15" x14ac:dyDescent="0.35">
      <c r="H837" s="7"/>
    </row>
    <row r="838" spans="8:8" ht="14.15" x14ac:dyDescent="0.35">
      <c r="H838" s="7"/>
    </row>
    <row r="839" spans="8:8" ht="14.15" x14ac:dyDescent="0.35">
      <c r="H839" s="7"/>
    </row>
    <row r="840" spans="8:8" ht="14.15" x14ac:dyDescent="0.35">
      <c r="H840" s="7"/>
    </row>
    <row r="841" spans="8:8" ht="14.15" x14ac:dyDescent="0.35">
      <c r="H841" s="7"/>
    </row>
    <row r="842" spans="8:8" ht="14.15" x14ac:dyDescent="0.35">
      <c r="H842" s="7"/>
    </row>
    <row r="843" spans="8:8" ht="14.15" x14ac:dyDescent="0.35">
      <c r="H843" s="7"/>
    </row>
    <row r="844" spans="8:8" ht="14.15" x14ac:dyDescent="0.35">
      <c r="H844" s="7"/>
    </row>
    <row r="845" spans="8:8" ht="14.15" x14ac:dyDescent="0.35">
      <c r="H845" s="7"/>
    </row>
    <row r="846" spans="8:8" ht="14.15" x14ac:dyDescent="0.35">
      <c r="H846" s="7"/>
    </row>
    <row r="847" spans="8:8" ht="14.15" x14ac:dyDescent="0.35">
      <c r="H847" s="7"/>
    </row>
    <row r="848" spans="8:8" ht="14.15" x14ac:dyDescent="0.35">
      <c r="H848" s="7"/>
    </row>
    <row r="849" spans="8:8" ht="14.15" x14ac:dyDescent="0.35">
      <c r="H849" s="7"/>
    </row>
    <row r="850" spans="8:8" ht="14.15" x14ac:dyDescent="0.35">
      <c r="H850" s="7"/>
    </row>
    <row r="851" spans="8:8" ht="14.15" x14ac:dyDescent="0.35">
      <c r="H851" s="7"/>
    </row>
    <row r="852" spans="8:8" ht="14.15" x14ac:dyDescent="0.35">
      <c r="H852" s="7"/>
    </row>
    <row r="853" spans="8:8" ht="14.15" x14ac:dyDescent="0.35">
      <c r="H853" s="7"/>
    </row>
    <row r="854" spans="8:8" ht="14.15" x14ac:dyDescent="0.35">
      <c r="H854" s="7"/>
    </row>
    <row r="855" spans="8:8" ht="14.15" x14ac:dyDescent="0.35">
      <c r="H855" s="7"/>
    </row>
    <row r="856" spans="8:8" ht="14.15" x14ac:dyDescent="0.35">
      <c r="H856" s="7"/>
    </row>
    <row r="857" spans="8:8" ht="14.15" x14ac:dyDescent="0.35">
      <c r="H857" s="7"/>
    </row>
    <row r="858" spans="8:8" ht="14.15" x14ac:dyDescent="0.35">
      <c r="H858" s="7"/>
    </row>
    <row r="859" spans="8:8" ht="14.15" x14ac:dyDescent="0.35">
      <c r="H859" s="7"/>
    </row>
    <row r="860" spans="8:8" ht="14.15" x14ac:dyDescent="0.35">
      <c r="H860" s="7"/>
    </row>
    <row r="861" spans="8:8" ht="14.15" x14ac:dyDescent="0.35">
      <c r="H861" s="7"/>
    </row>
    <row r="862" spans="8:8" ht="14.15" x14ac:dyDescent="0.35">
      <c r="H862" s="7"/>
    </row>
    <row r="863" spans="8:8" ht="14.15" x14ac:dyDescent="0.35">
      <c r="H863" s="7"/>
    </row>
    <row r="864" spans="8:8" ht="14.15" x14ac:dyDescent="0.35">
      <c r="H864" s="7"/>
    </row>
    <row r="865" spans="8:8" ht="14.15" x14ac:dyDescent="0.35">
      <c r="H865" s="7"/>
    </row>
    <row r="866" spans="8:8" ht="14.15" x14ac:dyDescent="0.35">
      <c r="H866" s="7"/>
    </row>
    <row r="867" spans="8:8" ht="14.15" x14ac:dyDescent="0.35">
      <c r="H867" s="7"/>
    </row>
    <row r="868" spans="8:8" ht="14.15" x14ac:dyDescent="0.35">
      <c r="H868" s="7"/>
    </row>
    <row r="869" spans="8:8" ht="14.15" x14ac:dyDescent="0.35">
      <c r="H869" s="7"/>
    </row>
    <row r="870" spans="8:8" ht="14.15" x14ac:dyDescent="0.35">
      <c r="H870" s="7"/>
    </row>
    <row r="871" spans="8:8" ht="14.15" x14ac:dyDescent="0.35">
      <c r="H871" s="7"/>
    </row>
    <row r="872" spans="8:8" ht="14.15" x14ac:dyDescent="0.35">
      <c r="H872" s="7"/>
    </row>
    <row r="873" spans="8:8" ht="14.15" x14ac:dyDescent="0.35">
      <c r="H873" s="7"/>
    </row>
    <row r="874" spans="8:8" ht="14.15" x14ac:dyDescent="0.35">
      <c r="H874" s="7"/>
    </row>
    <row r="875" spans="8:8" ht="14.15" x14ac:dyDescent="0.35">
      <c r="H875" s="7"/>
    </row>
    <row r="876" spans="8:8" ht="14.15" x14ac:dyDescent="0.35">
      <c r="H876" s="7"/>
    </row>
    <row r="877" spans="8:8" ht="14.15" x14ac:dyDescent="0.35">
      <c r="H877" s="7"/>
    </row>
    <row r="878" spans="8:8" ht="14.15" x14ac:dyDescent="0.35">
      <c r="H878" s="7"/>
    </row>
    <row r="879" spans="8:8" ht="14.15" x14ac:dyDescent="0.35">
      <c r="H879" s="7"/>
    </row>
    <row r="880" spans="8:8" ht="14.15" x14ac:dyDescent="0.35">
      <c r="H880" s="7"/>
    </row>
    <row r="881" spans="8:8" ht="14.15" x14ac:dyDescent="0.35">
      <c r="H881" s="7"/>
    </row>
    <row r="882" spans="8:8" ht="14.15" x14ac:dyDescent="0.35">
      <c r="H882" s="7"/>
    </row>
    <row r="883" spans="8:8" ht="14.15" x14ac:dyDescent="0.35">
      <c r="H883" s="7"/>
    </row>
    <row r="884" spans="8:8" ht="14.15" x14ac:dyDescent="0.35">
      <c r="H884" s="7"/>
    </row>
    <row r="885" spans="8:8" ht="14.15" x14ac:dyDescent="0.35">
      <c r="H885" s="7"/>
    </row>
    <row r="886" spans="8:8" ht="14.15" x14ac:dyDescent="0.35">
      <c r="H886" s="7"/>
    </row>
    <row r="887" spans="8:8" ht="14.15" x14ac:dyDescent="0.35">
      <c r="H887" s="7"/>
    </row>
    <row r="888" spans="8:8" ht="14.15" x14ac:dyDescent="0.35">
      <c r="H888" s="7"/>
    </row>
    <row r="889" spans="8:8" ht="14.15" x14ac:dyDescent="0.35">
      <c r="H889" s="7"/>
    </row>
    <row r="890" spans="8:8" ht="14.15" x14ac:dyDescent="0.35">
      <c r="H890" s="7"/>
    </row>
    <row r="891" spans="8:8" ht="14.15" x14ac:dyDescent="0.35">
      <c r="H891" s="7"/>
    </row>
    <row r="892" spans="8:8" ht="14.15" x14ac:dyDescent="0.35">
      <c r="H892" s="7"/>
    </row>
    <row r="893" spans="8:8" ht="14.15" x14ac:dyDescent="0.35">
      <c r="H893" s="7"/>
    </row>
    <row r="894" spans="8:8" ht="14.15" x14ac:dyDescent="0.35">
      <c r="H894" s="7"/>
    </row>
    <row r="895" spans="8:8" ht="14.15" x14ac:dyDescent="0.35">
      <c r="H895" s="7"/>
    </row>
    <row r="896" spans="8:8" ht="14.15" x14ac:dyDescent="0.35">
      <c r="H896" s="7"/>
    </row>
    <row r="897" spans="8:8" ht="14.15" x14ac:dyDescent="0.35">
      <c r="H897" s="7"/>
    </row>
    <row r="898" spans="8:8" ht="14.15" x14ac:dyDescent="0.35">
      <c r="H898" s="7"/>
    </row>
    <row r="899" spans="8:8" ht="14.15" x14ac:dyDescent="0.35">
      <c r="H899" s="7"/>
    </row>
    <row r="900" spans="8:8" ht="14.15" x14ac:dyDescent="0.35">
      <c r="H900" s="7"/>
    </row>
    <row r="901" spans="8:8" ht="14.15" x14ac:dyDescent="0.35">
      <c r="H901" s="7"/>
    </row>
    <row r="902" spans="8:8" ht="14.15" x14ac:dyDescent="0.35">
      <c r="H902" s="7"/>
    </row>
    <row r="903" spans="8:8" ht="14.15" x14ac:dyDescent="0.35">
      <c r="H903" s="7"/>
    </row>
    <row r="904" spans="8:8" ht="14.15" x14ac:dyDescent="0.35">
      <c r="H904" s="7"/>
    </row>
    <row r="905" spans="8:8" ht="14.15" x14ac:dyDescent="0.35">
      <c r="H905" s="7"/>
    </row>
    <row r="906" spans="8:8" ht="14.15" x14ac:dyDescent="0.35">
      <c r="H906" s="7"/>
    </row>
    <row r="907" spans="8:8" ht="14.15" x14ac:dyDescent="0.35">
      <c r="H907" s="7"/>
    </row>
    <row r="908" spans="8:8" ht="14.15" x14ac:dyDescent="0.35">
      <c r="H908" s="7"/>
    </row>
    <row r="909" spans="8:8" ht="14.15" x14ac:dyDescent="0.35">
      <c r="H909" s="7"/>
    </row>
    <row r="910" spans="8:8" ht="14.15" x14ac:dyDescent="0.35">
      <c r="H910" s="7"/>
    </row>
    <row r="911" spans="8:8" ht="14.15" x14ac:dyDescent="0.35">
      <c r="H911" s="7"/>
    </row>
    <row r="912" spans="8:8" ht="14.15" x14ac:dyDescent="0.35">
      <c r="H912" s="7"/>
    </row>
    <row r="913" spans="8:8" ht="14.15" x14ac:dyDescent="0.35">
      <c r="H913" s="7"/>
    </row>
    <row r="914" spans="8:8" ht="14.15" x14ac:dyDescent="0.35">
      <c r="H914" s="7"/>
    </row>
    <row r="915" spans="8:8" ht="14.15" x14ac:dyDescent="0.35">
      <c r="H915" s="7"/>
    </row>
    <row r="916" spans="8:8" ht="14.15" x14ac:dyDescent="0.35">
      <c r="H916" s="7"/>
    </row>
    <row r="917" spans="8:8" ht="14.15" x14ac:dyDescent="0.35">
      <c r="H917" s="7"/>
    </row>
    <row r="918" spans="8:8" ht="14.15" x14ac:dyDescent="0.35">
      <c r="H918" s="7"/>
    </row>
    <row r="919" spans="8:8" ht="14.15" x14ac:dyDescent="0.35">
      <c r="H919" s="7"/>
    </row>
    <row r="920" spans="8:8" ht="14.15" x14ac:dyDescent="0.35">
      <c r="H920" s="7"/>
    </row>
    <row r="921" spans="8:8" ht="14.15" x14ac:dyDescent="0.35">
      <c r="H921" s="7"/>
    </row>
    <row r="922" spans="8:8" ht="14.15" x14ac:dyDescent="0.35">
      <c r="H922" s="7"/>
    </row>
    <row r="923" spans="8:8" ht="14.15" x14ac:dyDescent="0.35">
      <c r="H923" s="7"/>
    </row>
    <row r="924" spans="8:8" ht="14.15" x14ac:dyDescent="0.35">
      <c r="H924" s="7"/>
    </row>
    <row r="925" spans="8:8" ht="14.15" x14ac:dyDescent="0.35">
      <c r="H925" s="7"/>
    </row>
    <row r="926" spans="8:8" ht="14.15" x14ac:dyDescent="0.35">
      <c r="H926" s="7"/>
    </row>
    <row r="927" spans="8:8" ht="14.15" x14ac:dyDescent="0.35">
      <c r="H927" s="7"/>
    </row>
    <row r="928" spans="8:8" ht="14.15" x14ac:dyDescent="0.35">
      <c r="H928" s="7"/>
    </row>
    <row r="929" spans="8:8" ht="14.15" x14ac:dyDescent="0.35">
      <c r="H929" s="7"/>
    </row>
    <row r="930" spans="8:8" ht="14.15" x14ac:dyDescent="0.35">
      <c r="H930" s="7"/>
    </row>
    <row r="931" spans="8:8" ht="14.15" x14ac:dyDescent="0.35">
      <c r="H931" s="7"/>
    </row>
    <row r="932" spans="8:8" ht="14.15" x14ac:dyDescent="0.35">
      <c r="H932" s="7"/>
    </row>
    <row r="933" spans="8:8" ht="14.15" x14ac:dyDescent="0.35">
      <c r="H933" s="7"/>
    </row>
    <row r="934" spans="8:8" ht="14.15" x14ac:dyDescent="0.35">
      <c r="H934" s="7"/>
    </row>
    <row r="935" spans="8:8" ht="14.15" x14ac:dyDescent="0.35">
      <c r="H935" s="7"/>
    </row>
    <row r="936" spans="8:8" ht="14.15" x14ac:dyDescent="0.35">
      <c r="H936" s="7"/>
    </row>
    <row r="937" spans="8:8" ht="14.15" x14ac:dyDescent="0.35">
      <c r="H937" s="7"/>
    </row>
    <row r="938" spans="8:8" ht="14.15" x14ac:dyDescent="0.35">
      <c r="H938" s="7"/>
    </row>
    <row r="939" spans="8:8" ht="14.15" x14ac:dyDescent="0.35">
      <c r="H939" s="7"/>
    </row>
    <row r="940" spans="8:8" ht="14.15" x14ac:dyDescent="0.35">
      <c r="H940" s="7"/>
    </row>
    <row r="941" spans="8:8" ht="14.15" x14ac:dyDescent="0.35">
      <c r="H941" s="7"/>
    </row>
    <row r="942" spans="8:8" ht="14.15" x14ac:dyDescent="0.35">
      <c r="H942" s="7"/>
    </row>
    <row r="943" spans="8:8" ht="14.15" x14ac:dyDescent="0.35">
      <c r="H943" s="7"/>
    </row>
    <row r="944" spans="8:8" ht="14.15" x14ac:dyDescent="0.35">
      <c r="H944" s="7"/>
    </row>
    <row r="945" spans="8:8" ht="14.15" x14ac:dyDescent="0.35">
      <c r="H945" s="7"/>
    </row>
    <row r="946" spans="8:8" ht="14.15" x14ac:dyDescent="0.35">
      <c r="H946" s="7"/>
    </row>
    <row r="947" spans="8:8" ht="14.15" x14ac:dyDescent="0.35">
      <c r="H947" s="7"/>
    </row>
    <row r="948" spans="8:8" ht="14.15" x14ac:dyDescent="0.35">
      <c r="H948" s="7"/>
    </row>
    <row r="949" spans="8:8" ht="14.15" x14ac:dyDescent="0.35">
      <c r="H949" s="7"/>
    </row>
    <row r="950" spans="8:8" ht="14.15" x14ac:dyDescent="0.35">
      <c r="H950" s="7"/>
    </row>
    <row r="951" spans="8:8" ht="14.15" x14ac:dyDescent="0.35">
      <c r="H951" s="7"/>
    </row>
    <row r="952" spans="8:8" ht="14.15" x14ac:dyDescent="0.35">
      <c r="H952" s="7"/>
    </row>
    <row r="953" spans="8:8" ht="14.15" x14ac:dyDescent="0.35">
      <c r="H953" s="7"/>
    </row>
    <row r="954" spans="8:8" ht="14.15" x14ac:dyDescent="0.35">
      <c r="H954" s="7"/>
    </row>
    <row r="955" spans="8:8" ht="14.15" x14ac:dyDescent="0.35">
      <c r="H955" s="7"/>
    </row>
    <row r="956" spans="8:8" ht="14.15" x14ac:dyDescent="0.35">
      <c r="H956" s="7"/>
    </row>
    <row r="957" spans="8:8" ht="14.15" x14ac:dyDescent="0.35">
      <c r="H957" s="7"/>
    </row>
    <row r="958" spans="8:8" ht="14.15" x14ac:dyDescent="0.35">
      <c r="H958" s="7"/>
    </row>
    <row r="959" spans="8:8" ht="14.15" x14ac:dyDescent="0.35">
      <c r="H959" s="7"/>
    </row>
    <row r="960" spans="8:8" ht="14.15" x14ac:dyDescent="0.35">
      <c r="H960" s="7"/>
    </row>
    <row r="961" spans="8:8" ht="14.15" x14ac:dyDescent="0.35">
      <c r="H961" s="7"/>
    </row>
    <row r="962" spans="8:8" ht="14.15" x14ac:dyDescent="0.35">
      <c r="H962" s="7"/>
    </row>
    <row r="963" spans="8:8" ht="14.15" x14ac:dyDescent="0.35">
      <c r="H963" s="7"/>
    </row>
    <row r="964" spans="8:8" ht="14.15" x14ac:dyDescent="0.35">
      <c r="H964" s="7"/>
    </row>
    <row r="965" spans="8:8" ht="14.15" x14ac:dyDescent="0.35">
      <c r="H965" s="7"/>
    </row>
    <row r="966" spans="8:8" ht="14.15" x14ac:dyDescent="0.35">
      <c r="H966" s="7"/>
    </row>
    <row r="967" spans="8:8" ht="14.15" x14ac:dyDescent="0.35">
      <c r="H967" s="7"/>
    </row>
    <row r="968" spans="8:8" ht="14.15" x14ac:dyDescent="0.35">
      <c r="H968" s="7"/>
    </row>
    <row r="969" spans="8:8" ht="14.15" x14ac:dyDescent="0.35">
      <c r="H969" s="7"/>
    </row>
    <row r="970" spans="8:8" ht="14.15" x14ac:dyDescent="0.35">
      <c r="H970" s="7"/>
    </row>
    <row r="971" spans="8:8" ht="14.15" x14ac:dyDescent="0.35">
      <c r="H971" s="7"/>
    </row>
    <row r="972" spans="8:8" ht="14.15" x14ac:dyDescent="0.35">
      <c r="H972" s="7"/>
    </row>
    <row r="973" spans="8:8" ht="14.15" x14ac:dyDescent="0.35">
      <c r="H973" s="7"/>
    </row>
    <row r="974" spans="8:8" ht="14.15" x14ac:dyDescent="0.35">
      <c r="H974" s="7"/>
    </row>
    <row r="975" spans="8:8" ht="14.15" x14ac:dyDescent="0.35">
      <c r="H975" s="7"/>
    </row>
    <row r="976" spans="8:8" ht="14.15" x14ac:dyDescent="0.35">
      <c r="H976" s="7"/>
    </row>
    <row r="977" spans="8:8" ht="14.15" x14ac:dyDescent="0.35">
      <c r="H977" s="7"/>
    </row>
    <row r="978" spans="8:8" ht="14.15" x14ac:dyDescent="0.35">
      <c r="H978" s="7"/>
    </row>
    <row r="979" spans="8:8" ht="14.15" x14ac:dyDescent="0.35">
      <c r="H979" s="7"/>
    </row>
    <row r="980" spans="8:8" ht="14.15" x14ac:dyDescent="0.35">
      <c r="H980" s="7"/>
    </row>
    <row r="981" spans="8:8" ht="14.15" x14ac:dyDescent="0.35">
      <c r="H981" s="7"/>
    </row>
    <row r="982" spans="8:8" ht="14.15" x14ac:dyDescent="0.35">
      <c r="H982" s="7"/>
    </row>
    <row r="983" spans="8:8" ht="14.15" x14ac:dyDescent="0.35">
      <c r="H983" s="7"/>
    </row>
    <row r="984" spans="8:8" ht="14.15" x14ac:dyDescent="0.35">
      <c r="H984" s="7"/>
    </row>
    <row r="985" spans="8:8" ht="14.15" x14ac:dyDescent="0.35">
      <c r="H985" s="7"/>
    </row>
    <row r="986" spans="8:8" ht="14.15" x14ac:dyDescent="0.35">
      <c r="H986" s="7"/>
    </row>
    <row r="987" spans="8:8" ht="14.15" x14ac:dyDescent="0.35">
      <c r="H987" s="7"/>
    </row>
    <row r="988" spans="8:8" ht="14.15" x14ac:dyDescent="0.35">
      <c r="H988" s="7"/>
    </row>
    <row r="989" spans="8:8" ht="14.15" x14ac:dyDescent="0.35">
      <c r="H989" s="7"/>
    </row>
    <row r="990" spans="8:8" ht="14.15" x14ac:dyDescent="0.35">
      <c r="H990" s="7"/>
    </row>
    <row r="991" spans="8:8" ht="14.15" x14ac:dyDescent="0.35">
      <c r="H991" s="7"/>
    </row>
    <row r="992" spans="8:8" ht="14.15" x14ac:dyDescent="0.35">
      <c r="H992" s="7"/>
    </row>
    <row r="993" spans="8:8" ht="14.15" x14ac:dyDescent="0.35">
      <c r="H993" s="7"/>
    </row>
    <row r="994" spans="8:8" ht="14.15" x14ac:dyDescent="0.35">
      <c r="H994" s="7"/>
    </row>
    <row r="995" spans="8:8" ht="14.15" x14ac:dyDescent="0.35">
      <c r="H995" s="7"/>
    </row>
    <row r="996" spans="8:8" ht="14.15" x14ac:dyDescent="0.35">
      <c r="H996" s="7"/>
    </row>
    <row r="997" spans="8:8" ht="14.15" x14ac:dyDescent="0.35">
      <c r="H997" s="7"/>
    </row>
    <row r="998" spans="8:8" ht="14.15" x14ac:dyDescent="0.35">
      <c r="H998" s="7"/>
    </row>
    <row r="999" spans="8:8" ht="14.15" x14ac:dyDescent="0.35">
      <c r="H999" s="7"/>
    </row>
    <row r="1000" spans="8:8" ht="14.15" x14ac:dyDescent="0.35">
      <c r="H1000" s="7"/>
    </row>
  </sheetData>
  <printOptions horizontalCentered="1" gridLines="1"/>
  <pageMargins left="0.7" right="0.7" top="0.75" bottom="0.75" header="0" footer="0"/>
  <pageSetup paperSize="3" fitToHeight="0" pageOrder="overThenDown" orientation="landscape" cellComments="atEnd"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Cornelius_Clean</vt:lpstr>
      <vt:lpstr>Ambiguity_dataset</vt:lpstr>
      <vt:lpstr>Inconsistency_dataset</vt:lpstr>
      <vt:lpstr>Inconsistency_PivotTable</vt:lpstr>
      <vt:lpstr>Ambiguity_Requirements_80</vt:lpstr>
      <vt:lpstr>Reorganized_Ambiguity</vt:lpstr>
      <vt:lpstr>Ambiguity_dataset_Human_Label</vt:lpstr>
      <vt:lpstr>Ambiguity_gpt-5.4_Result</vt:lpstr>
      <vt:lpstr>Ambiguity_claude-sonnet-4-5_Res</vt:lpstr>
      <vt:lpstr>Ambiguity_Evaluation Hum_vs_gpt</vt:lpstr>
      <vt:lpstr>Ambiguity_Evaluation Hum_vs_Cla</vt:lpstr>
      <vt:lpstr>Inconsistency_Requirements_112</vt:lpstr>
      <vt:lpstr>INCONSISTENCY_Human_Result</vt:lpstr>
      <vt:lpstr>INCONSISTENCY_gpt-5.4_Result</vt:lpstr>
      <vt:lpstr>INCONSISTENCY_claude-sonnet-4-5</vt:lpstr>
      <vt:lpstr>Inconsistency_Eval Hum_vs GPT</vt:lpstr>
      <vt:lpstr>Inconsistency_Eval. Hum_vs Clau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MANDY</cp:lastModifiedBy>
  <dcterms:modified xsi:type="dcterms:W3CDTF">2026-09-27T15:49:54Z</dcterms:modified>
</cp:coreProperties>
</file>